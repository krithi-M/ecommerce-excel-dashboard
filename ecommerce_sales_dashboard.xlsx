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Ex3.xml" ContentType="application/vnd.ms-office.chartex+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Ex4.xml" ContentType="application/vnd.ms-office.chartex+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tables/table2.xml" ContentType="application/vnd.openxmlformats-officedocument.spreadsheetml.tab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D:\projects\"/>
    </mc:Choice>
  </mc:AlternateContent>
  <xr:revisionPtr revIDLastSave="0" documentId="13_ncr:1_{8C3DB1B5-B082-4B00-8F81-743516A0C212}" xr6:coauthVersionLast="47" xr6:coauthVersionMax="47" xr10:uidLastSave="{00000000-0000-0000-0000-000000000000}"/>
  <bookViews>
    <workbookView xWindow="-108" yWindow="-108" windowWidth="23256" windowHeight="12456" xr2:uid="{7BAC6704-11AE-4A03-A486-BCBF26A0EA1C}"/>
  </bookViews>
  <sheets>
    <sheet name="Dashboard" sheetId="8" r:id="rId1"/>
    <sheet name="Sales" sheetId="1" r:id="rId2"/>
    <sheet name="SalesByCategory" sheetId="2" r:id="rId3"/>
    <sheet name="ProfitGained" sheetId="3" r:id="rId4"/>
    <sheet name="MonthlySales" sheetId="4" r:id="rId5"/>
    <sheet name="Top5Cust" sheetId="5" r:id="rId6"/>
    <sheet name="SalesByState" sheetId="6" r:id="rId7"/>
    <sheet name="CustomerCount" sheetId="7" r:id="rId8"/>
  </sheets>
  <definedNames>
    <definedName name="_xlchart.v2.4" hidden="1">SalesByCategory!$D$4:$D$20</definedName>
    <definedName name="_xlchart.v2.5" hidden="1">SalesByCategory!$E$4:$E$20</definedName>
    <definedName name="_xlchart.v2.6" hidden="1">SalesByCategory!$D$4:$D$20</definedName>
    <definedName name="_xlchart.v2.7" hidden="1">SalesByCategory!$E$4:$E$20</definedName>
    <definedName name="_xlchart.v5.0" hidden="1">SalesByState!$D$3</definedName>
    <definedName name="_xlchart.v5.1" hidden="1">SalesByState!$D$4:$D$48</definedName>
    <definedName name="_xlchart.v5.10" hidden="1">SalesByState!$E$3</definedName>
    <definedName name="_xlchart.v5.11" hidden="1">SalesByState!$E$4:$E$48</definedName>
    <definedName name="_xlchart.v5.2" hidden="1">SalesByState!$E$3</definedName>
    <definedName name="_xlchart.v5.3" hidden="1">SalesByState!$E$4:$E$48</definedName>
    <definedName name="_xlchart.v5.8" hidden="1">SalesByState!$D$3</definedName>
    <definedName name="_xlchart.v5.9" hidden="1">SalesByState!$D$4:$D$48</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6" l="1"/>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E4" i="6"/>
  <c r="D4" i="6"/>
  <c r="D3" i="5"/>
  <c r="E3" i="5"/>
  <c r="D4" i="5"/>
  <c r="E4" i="5"/>
  <c r="D5" i="5"/>
  <c r="E5" i="5"/>
  <c r="D6" i="5"/>
  <c r="E6" i="5"/>
  <c r="E2" i="5"/>
  <c r="D2" i="5"/>
  <c r="E5" i="2"/>
  <c r="E6" i="2"/>
  <c r="E7" i="2"/>
  <c r="E8" i="2"/>
  <c r="E9" i="2"/>
  <c r="E10" i="2"/>
  <c r="E11" i="2"/>
  <c r="E12" i="2"/>
  <c r="E13" i="2"/>
  <c r="E14" i="2"/>
  <c r="E15" i="2"/>
  <c r="E16" i="2"/>
  <c r="E17" i="2"/>
  <c r="E18" i="2"/>
  <c r="E19" i="2"/>
  <c r="E20" i="2"/>
  <c r="E4" i="2"/>
  <c r="D5" i="2"/>
  <c r="D6" i="2"/>
  <c r="D7" i="2"/>
  <c r="D8" i="2"/>
  <c r="D9" i="2"/>
  <c r="D10" i="2"/>
  <c r="D11" i="2"/>
  <c r="D12" i="2"/>
  <c r="D13" i="2"/>
  <c r="D14" i="2"/>
  <c r="D15" i="2"/>
  <c r="D16" i="2"/>
  <c r="D17" i="2"/>
  <c r="D18" i="2"/>
  <c r="D19" i="2"/>
  <c r="D20"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alcChain>
</file>

<file path=xl/sharedStrings.xml><?xml version="1.0" encoding="utf-8"?>
<sst xmlns="http://schemas.openxmlformats.org/spreadsheetml/2006/main" count="14593" uniqueCount="2117">
  <si>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</si>
  <si>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</si>
  <si>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</si>
  <si>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</si>
  <si>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</si>
  <si>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</si>
  <si>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</si>
  <si>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</si>
  <si>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</si>
  <si>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</si>
  <si>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</si>
  <si>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</si>
  <si>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</si>
  <si>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</si>
  <si>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</si>
  <si>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</si>
  <si>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</si>
  <si>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</si>
  <si>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</si>
  <si>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</si>
  <si>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</si>
  <si>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</si>
  <si>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</si>
  <si>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</si>
  <si>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</si>
  <si>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</si>
  <si>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</si>
  <si>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</si>
  <si>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</si>
  <si>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</si>
  <si>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</si>
  <si>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</si>
  <si>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</si>
  <si>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</si>
  <si>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</si>
  <si>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</si>
  <si>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</si>
  <si>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</si>
  <si>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</si>
  <si>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</si>
  <si>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</si>
  <si>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</si>
  <si>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</si>
  <si>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</si>
  <si>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</si>
  <si>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</si>
  <si>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</si>
  <si>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</si>
  <si>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</si>
  <si>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</si>
  <si>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</si>
  <si>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</si>
  <si>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</si>
  <si>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</si>
  <si>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</si>
  <si>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</si>
  <si>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</si>
  <si>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</si>
  <si>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</si>
  <si>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</si>
  <si>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</si>
  <si>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</si>
  <si>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</si>
  <si>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</si>
  <si>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</si>
  <si>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</si>
  <si>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</si>
  <si>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</si>
  <si>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</si>
  <si>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</si>
  <si>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</si>
  <si>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</si>
  <si>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</si>
  <si>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</si>
  <si>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</si>
  <si>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</si>
  <si>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</si>
  <si>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</si>
  <si>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</si>
  <si>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</si>
  <si>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</si>
  <si>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</si>
  <si>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</si>
  <si>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</si>
  <si>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</si>
  <si>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</si>
  <si>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</si>
  <si>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</si>
  <si>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</si>
  <si>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</si>
  <si>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</si>
  <si>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</si>
  <si>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</si>
  <si>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</si>
  <si>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</si>
  <si>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</si>
  <si>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</si>
  <si>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</si>
  <si>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</si>
  <si>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</si>
  <si>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</si>
  <si>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</si>
  <si>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</si>
  <si>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</si>
  <si>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</si>
  <si>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</si>
  <si>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</si>
  <si>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</si>
  <si>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</si>
  <si>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</si>
  <si>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</si>
  <si>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</si>
  <si>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</si>
  <si>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</si>
  <si>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</si>
  <si>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</si>
  <si>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</si>
  <si>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</si>
  <si>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</si>
  <si>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</si>
  <si>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</si>
  <si>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</si>
  <si>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</si>
  <si>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</si>
  <si>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</si>
  <si>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</si>
  <si>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</si>
  <si>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</si>
  <si>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</si>
  <si>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</si>
  <si>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</si>
  <si>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</si>
  <si>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</si>
  <si>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</si>
  <si>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</si>
  <si>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</si>
  <si>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</si>
  <si>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</si>
  <si>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</si>
  <si>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</si>
  <si>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</si>
  <si>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</si>
  <si>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</si>
  <si>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</si>
  <si>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</si>
  <si>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</si>
  <si>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</si>
  <si>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</si>
  <si>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</si>
  <si>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</si>
  <si>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</si>
  <si>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</si>
  <si>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</si>
  <si>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</si>
  <si>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</si>
  <si>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</si>
  <si>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</si>
  <si>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</si>
  <si>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</si>
  <si>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</si>
  <si>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</si>
  <si>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</si>
  <si>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</si>
  <si>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</si>
  <si>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</si>
  <si>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</si>
  <si>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</si>
  <si>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</si>
  <si>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</si>
  <si>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</si>
  <si>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</si>
  <si>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</si>
  <si>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</si>
  <si>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</si>
  <si>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</si>
  <si>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</si>
  <si>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</si>
  <si>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</si>
  <si>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</si>
  <si>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</si>
  <si>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</si>
  <si>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</si>
  <si>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</si>
  <si>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</si>
  <si>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</si>
  <si>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</si>
  <si>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</si>
  <si>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</si>
  <si>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</si>
  <si>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</si>
  <si>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</si>
  <si>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</si>
  <si>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</si>
  <si>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</si>
  <si>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</si>
  <si>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</si>
  <si>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 x 11</t>
  </si>
  <si>
    <t>Marina Lichtenstein</t>
  </si>
  <si>
    <t>Logitech G600 MMO Gaming Mouse</t>
  </si>
  <si>
    <t>Belkin 8 Outlet Surge Protector</t>
  </si>
  <si>
    <t>Supplies</t>
  </si>
  <si>
    <t>Compact Automatic Electric Letter Opener</t>
  </si>
  <si>
    <t>Barry Französisch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</si>
  <si>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</si>
  <si>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</si>
  <si>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</si>
  <si>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</si>
  <si>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</si>
  <si>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</si>
  <si>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</si>
  <si>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</si>
  <si>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</si>
  <si>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</si>
  <si>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</si>
  <si>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</si>
  <si>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</si>
  <si>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</si>
  <si>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</si>
  <si>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</si>
  <si>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</si>
  <si>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</si>
  <si>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</si>
  <si>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</si>
  <si>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</si>
  <si>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</si>
  <si>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</si>
  <si>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</si>
  <si>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</si>
  <si>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</si>
  <si>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</si>
  <si>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</si>
  <si>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</si>
  <si>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</si>
  <si>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</si>
  <si>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</si>
  <si>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</si>
  <si>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</si>
  <si>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</si>
  <si>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</si>
  <si>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</si>
  <si>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</si>
  <si>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</si>
  <si>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</si>
  <si>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</si>
  <si>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</si>
  <si>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</si>
  <si>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</si>
  <si>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</si>
  <si>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</si>
  <si>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</si>
  <si>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</si>
  <si>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</si>
  <si>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</si>
  <si>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</si>
  <si>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</si>
  <si>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</si>
  <si>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</si>
  <si>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</si>
  <si>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</si>
  <si>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</si>
  <si>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</si>
  <si>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</si>
  <si>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</si>
  <si>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</si>
  <si>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</si>
  <si>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</si>
  <si>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</si>
  <si>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</si>
  <si>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</si>
  <si>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</si>
  <si>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</si>
  <si>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</si>
  <si>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</si>
  <si>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</si>
  <si>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</si>
  <si>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</si>
  <si>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</si>
  <si>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</si>
  <si>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</si>
  <si>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</si>
  <si>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</si>
  <si>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</si>
  <si>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</si>
  <si>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</si>
  <si>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Résumé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</si>
  <si>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</si>
  <si>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</si>
  <si>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</si>
  <si>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</si>
  <si>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</si>
  <si>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</si>
  <si>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</si>
  <si>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</si>
  <si>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</si>
  <si>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</si>
  <si>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</si>
  <si>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</si>
  <si>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</si>
  <si>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 30456 USB Flash Drive 8GB</t>
  </si>
  <si>
    <t>Staple magnet</t>
  </si>
  <si>
    <t>Premium Transparent Presentation Covers, No Pattern/Clear, 8 1/2" x 11"</t>
  </si>
  <si>
    <t>Rick Bensley</t>
  </si>
  <si>
    <t>Machines</t>
  </si>
  <si>
    <t>Hewlett-Packard Deskjet 6540 Color Inkjet Printer</t>
  </si>
  <si>
    <t>Xerox 1963</t>
  </si>
  <si>
    <t>Neil Französisch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</si>
  <si>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</si>
  <si>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</si>
  <si>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</si>
  <si>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</si>
  <si>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</si>
  <si>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</si>
  <si>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</si>
  <si>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</si>
  <si>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</si>
  <si>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</si>
  <si>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</si>
  <si>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</si>
  <si>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</si>
  <si>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</si>
  <si>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</si>
  <si>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</si>
  <si>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</si>
  <si>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</si>
  <si>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</si>
  <si>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</si>
  <si>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</si>
  <si>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</si>
  <si>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</si>
  <si>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</si>
  <si>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</si>
  <si>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</si>
  <si>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</si>
  <si>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</si>
  <si>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</si>
  <si>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</si>
  <si>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</si>
  <si>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</si>
  <si>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</si>
  <si>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</si>
  <si>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</si>
  <si>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</si>
  <si>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</si>
  <si>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</si>
  <si>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</si>
  <si>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</si>
  <si>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</si>
  <si>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</si>
  <si>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</si>
  <si>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</si>
  <si>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</si>
  <si>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</si>
  <si>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</si>
  <si>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</si>
  <si>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</si>
  <si>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</si>
  <si>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</si>
  <si>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</si>
  <si>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</si>
  <si>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</si>
  <si>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</si>
  <si>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</si>
  <si>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</si>
  <si>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</si>
  <si>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</si>
  <si>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</si>
  <si>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</si>
  <si>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</si>
  <si>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</si>
  <si>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</si>
  <si>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</si>
  <si>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</si>
  <si>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</si>
  <si>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</si>
  <si>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</si>
  <si>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</si>
  <si>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</si>
  <si>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</si>
  <si>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</si>
  <si>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</si>
  <si>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</si>
  <si>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</si>
  <si>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</si>
  <si>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</si>
  <si>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</si>
  <si>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 Swivel Flash Drive USB flash drive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</si>
  <si>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</si>
  <si>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</si>
  <si>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</si>
  <si>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</si>
  <si>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</si>
  <si>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</si>
  <si>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</si>
  <si>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</si>
  <si>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</si>
  <si>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</si>
  <si>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</si>
  <si>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</si>
  <si>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</si>
  <si>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</si>
  <si>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</si>
  <si>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</si>
  <si>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</si>
  <si>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</si>
  <si>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</si>
  <si>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</si>
  <si>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</si>
  <si>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</si>
  <si>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</si>
  <si>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</si>
  <si>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</si>
  <si>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</si>
  <si>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</si>
  <si>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</si>
  <si>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</si>
  <si>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</si>
  <si>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</si>
  <si>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</si>
  <si>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</si>
  <si>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</si>
  <si>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</si>
  <si>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</si>
  <si>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</si>
  <si>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</si>
  <si>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</si>
  <si>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</si>
  <si>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</si>
  <si>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</si>
  <si>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</si>
  <si>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</si>
  <si>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</si>
  <si>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</si>
  <si>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</si>
  <si>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</si>
  <si>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</si>
  <si>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</si>
  <si>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</si>
  <si>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</si>
  <si>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</si>
  <si>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</si>
  <si>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</si>
  <si>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</si>
  <si>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</si>
  <si>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Häberlin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</si>
  <si>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</si>
  <si>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</si>
  <si>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</si>
  <si>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</si>
  <si>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</si>
  <si>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</si>
  <si>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</si>
  <si>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</si>
  <si>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</si>
  <si>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</si>
  <si>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</si>
  <si>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</si>
  <si>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</si>
  <si>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</si>
  <si>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</si>
  <si>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</si>
  <si>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</si>
  <si>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</si>
  <si>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</si>
  <si>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</si>
  <si>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</si>
  <si>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</si>
  <si>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</si>
  <si>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</si>
  <si>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</si>
  <si>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</si>
  <si>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</si>
  <si>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</si>
  <si>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</si>
  <si>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</si>
  <si>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 Secure+ Hardware Encrypted USB 2.0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</si>
  <si>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</si>
  <si>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</si>
  <si>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</si>
  <si>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</si>
  <si>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</si>
  <si>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</si>
  <si>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</si>
  <si>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</si>
  <si>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</si>
  <si>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</si>
  <si>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</si>
  <si>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</si>
  <si>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</si>
  <si>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</si>
  <si>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</si>
  <si>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</si>
  <si>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</si>
  <si>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</si>
  <si>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</si>
  <si>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</si>
  <si>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</si>
  <si>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</si>
  <si>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</si>
  <si>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</si>
  <si>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</si>
  <si>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</si>
  <si>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</si>
  <si>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</si>
  <si>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</si>
  <si>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</si>
  <si>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</si>
  <si>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</si>
  <si>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</si>
  <si>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</si>
  <si>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</si>
  <si>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</si>
  <si>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</si>
  <si>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</si>
  <si>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</si>
  <si>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</si>
  <si>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</si>
  <si>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</si>
  <si>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</si>
  <si>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</si>
  <si>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</si>
  <si>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</si>
  <si>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</si>
  <si>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</si>
  <si>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</si>
  <si>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</si>
  <si>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</si>
  <si>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</si>
  <si>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</si>
  <si>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</si>
  <si>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</si>
  <si>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</si>
  <si>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</si>
  <si>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</si>
  <si>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</si>
  <si>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</si>
  <si>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</si>
  <si>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</si>
  <si>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</si>
  <si>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</si>
  <si>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</si>
  <si>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</si>
  <si>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</si>
  <si>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</si>
  <si>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</si>
  <si>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</si>
  <si>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</si>
  <si>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</si>
  <si>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</si>
  <si>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</si>
  <si>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</si>
  <si>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</si>
  <si>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</si>
  <si>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</si>
  <si>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</si>
  <si>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</si>
  <si>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</si>
  <si>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</si>
  <si>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</si>
  <si>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</si>
  <si>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</si>
  <si>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</si>
  <si>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</si>
  <si>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</si>
  <si>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</si>
  <si>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</si>
  <si>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</si>
  <si>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</si>
  <si>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</si>
  <si>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</si>
  <si>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</si>
  <si>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</si>
  <si>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</si>
  <si>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</si>
  <si>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</si>
  <si>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</si>
  <si>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</si>
  <si>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</si>
  <si>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</si>
  <si>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</si>
  <si>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</si>
  <si>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</si>
  <si>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</si>
  <si>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</si>
  <si>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</si>
  <si>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</si>
  <si>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</si>
  <si>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</si>
  <si>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</si>
  <si>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</si>
  <si>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</si>
  <si>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</si>
  <si>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</si>
  <si>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</si>
  <si>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</si>
  <si>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</si>
  <si>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</si>
  <si>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</si>
  <si>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</si>
  <si>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</si>
  <si>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</si>
  <si>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</si>
  <si>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</si>
  <si>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</si>
  <si>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</si>
  <si>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</si>
  <si>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</si>
  <si>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</si>
  <si>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</si>
  <si>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</si>
  <si>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</si>
  <si>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</si>
  <si>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</si>
  <si>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</si>
  <si>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</si>
  <si>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</si>
  <si>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</si>
  <si>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</si>
  <si>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</si>
  <si>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</si>
  <si>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</si>
  <si>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</si>
  <si>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</si>
  <si>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</si>
  <si>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</si>
  <si>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</si>
  <si>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</si>
  <si>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</si>
  <si>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</si>
  <si>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</si>
  <si>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</si>
  <si>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</si>
  <si>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</si>
  <si>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</si>
  <si>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</si>
  <si>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</si>
  <si>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</si>
  <si>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</si>
  <si>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</si>
  <si>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</si>
  <si>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</si>
  <si>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</si>
  <si>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</si>
  <si>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</si>
  <si>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</si>
  <si>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</si>
  <si>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</si>
  <si>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</si>
  <si>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</si>
  <si>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</si>
  <si>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</si>
  <si>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</si>
  <si>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</si>
  <si>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</si>
  <si>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 Office Telephone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</si>
  <si>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</si>
  <si>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</si>
  <si>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</si>
  <si>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</si>
  <si>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</si>
  <si>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</si>
  <si>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</si>
  <si>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</si>
  <si>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</si>
  <si>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</si>
  <si>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</si>
  <si>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</si>
  <si>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</si>
  <si>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</si>
  <si>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</si>
  <si>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</si>
  <si>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</si>
  <si>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</si>
  <si>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</si>
  <si>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 Clip USB flash drive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</si>
  <si>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</si>
  <si>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</si>
  <si>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</si>
  <si>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</si>
  <si>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</si>
  <si>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</si>
  <si>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</si>
  <si>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</si>
  <si>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</si>
  <si>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</si>
  <si>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</si>
  <si>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</si>
  <si>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</si>
  <si>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</si>
  <si>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</si>
  <si>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</si>
  <si>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</si>
  <si>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</si>
  <si>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</si>
  <si>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</si>
  <si>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</si>
  <si>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</si>
  <si>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</si>
  <si>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</si>
  <si>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</si>
  <si>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</si>
  <si>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 x 11</t>
  </si>
  <si>
    <t>Ibico Plastic Spiral Binding Combs</t>
  </si>
  <si>
    <t>Evan Henry</t>
  </si>
  <si>
    <t>Nortel Networks T7316 E Nt8 B27</t>
  </si>
  <si>
    <t>Plantronics Encore H101 Dual Earpieces Headset</t>
  </si>
  <si>
    <t>Angle-D Ring Binders</t>
  </si>
  <si>
    <t>Newell 317</t>
  </si>
  <si>
    <t>Motorola L804</t>
  </si>
  <si>
    <t>Xerox 1999</t>
  </si>
  <si>
    <t>Greg Tran</t>
  </si>
  <si>
    <t>Letter Slitter</t>
  </si>
  <si>
    <t>1.7 Cubic Foot Compact "Cube" Office Refrigerators</t>
  </si>
  <si>
    <t>Resi Pölking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</si>
  <si>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</si>
  <si>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</si>
  <si>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</si>
  <si>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</si>
  <si>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</si>
  <si>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</si>
  <si>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</si>
  <si>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</si>
  <si>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</si>
  <si>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</si>
  <si>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</si>
  <si>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</si>
  <si>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</si>
  <si>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</si>
  <si>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</si>
  <si>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</si>
  <si>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</si>
  <si>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</si>
  <si>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</si>
  <si>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</si>
  <si>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</si>
  <si>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</si>
  <si>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</si>
  <si>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</si>
  <si>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</si>
  <si>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</si>
  <si>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</si>
  <si>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</si>
  <si>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</si>
  <si>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</si>
  <si>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</si>
  <si>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</si>
  <si>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</si>
  <si>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</si>
  <si>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</si>
  <si>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</si>
  <si>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</si>
  <si>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</si>
  <si>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</si>
  <si>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</si>
  <si>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</si>
  <si>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</si>
  <si>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</si>
  <si>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</si>
  <si>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</si>
  <si>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</si>
  <si>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</si>
  <si>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</si>
  <si>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</si>
  <si>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</si>
  <si>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</si>
  <si>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</si>
  <si>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</si>
  <si>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</si>
  <si>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</si>
  <si>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</si>
  <si>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</si>
  <si>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</si>
  <si>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</si>
  <si>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</si>
  <si>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</si>
  <si>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</si>
  <si>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</si>
  <si>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</si>
  <si>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</si>
  <si>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</si>
  <si>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</si>
  <si>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</si>
  <si>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</si>
  <si>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</si>
  <si>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</si>
  <si>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</si>
  <si>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</si>
  <si>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</si>
  <si>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</si>
  <si>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</si>
  <si>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</si>
  <si>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</si>
  <si>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</si>
  <si>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</si>
  <si>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</si>
  <si>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</si>
  <si>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</si>
  <si>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</si>
  <si>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</si>
  <si>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</si>
  <si>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</si>
  <si>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</si>
  <si>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</si>
  <si>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 phone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</si>
  <si>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</si>
  <si>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</si>
  <si>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</si>
  <si>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</si>
  <si>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</si>
  <si>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</si>
  <si>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</si>
  <si>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</si>
  <si>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</si>
  <si>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</si>
  <si>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</si>
  <si>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</si>
  <si>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</si>
  <si>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</si>
  <si>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</si>
  <si>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</si>
  <si>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</si>
  <si>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</si>
  <si>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</si>
  <si>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</si>
  <si>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</si>
  <si>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</si>
  <si>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</si>
  <si>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</si>
  <si>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</si>
  <si>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</si>
  <si>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</si>
  <si>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</si>
  <si>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</si>
  <si>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 Phone Headset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</si>
  <si>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</si>
  <si>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</si>
  <si>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</si>
  <si>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</si>
  <si>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</si>
  <si>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</si>
  <si>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</si>
  <si>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</si>
  <si>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</si>
  <si>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</si>
  <si>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</si>
  <si>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</si>
  <si>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</si>
  <si>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</si>
  <si>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</si>
  <si>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</si>
  <si>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</si>
  <si>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</si>
  <si>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</si>
  <si>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</si>
  <si>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</si>
  <si>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</si>
  <si>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</si>
  <si>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 phone</t>
  </si>
  <si>
    <t>Joel Eaton</t>
  </si>
  <si>
    <t>KeyTronic 6101 Series - Keyboard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</si>
  <si>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</si>
  <si>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</si>
  <si>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</si>
  <si>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</si>
  <si>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</si>
  <si>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</si>
  <si>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</si>
  <si>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</si>
  <si>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</si>
  <si>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</si>
  <si>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</si>
  <si>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</si>
  <si>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</si>
  <si>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</si>
  <si>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</si>
  <si>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</si>
  <si>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</si>
  <si>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</si>
  <si>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</si>
  <si>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</si>
  <si>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</si>
  <si>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</si>
  <si>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</si>
  <si>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</si>
  <si>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</si>
  <si>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</si>
  <si>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</si>
  <si>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</si>
  <si>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</si>
  <si>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</si>
  <si>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</si>
  <si>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</si>
  <si>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</si>
  <si>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</si>
  <si>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</si>
  <si>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</si>
  <si>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</si>
  <si>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</si>
  <si>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</si>
  <si>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</si>
  <si>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</si>
  <si>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</si>
  <si>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 Headset - headset - Full size, Binaural</t>
  </si>
  <si>
    <t>Maxwell Schwartz</t>
  </si>
  <si>
    <t>Southworth Structures Collection</t>
  </si>
  <si>
    <t>Michael Chen</t>
  </si>
  <si>
    <t>NETGEAR AC1750 Dual Band Gigabit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</si>
  <si>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</si>
  <si>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</si>
  <si>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</si>
  <si>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</si>
  <si>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</si>
  <si>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</si>
  <si>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</si>
  <si>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</si>
  <si>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</si>
  <si>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</si>
  <si>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</si>
  <si>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</si>
  <si>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</si>
  <si>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</si>
  <si>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</si>
  <si>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</si>
  <si>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</si>
  <si>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</si>
  <si>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</si>
  <si>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</si>
  <si>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</si>
  <si>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</si>
  <si>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</si>
  <si>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</si>
  <si>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</si>
  <si>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</si>
  <si>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</si>
  <si>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</si>
  <si>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</si>
  <si>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</si>
  <si>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</si>
  <si>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</si>
  <si>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</si>
  <si>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</si>
  <si>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</si>
  <si>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</si>
  <si>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</si>
  <si>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</si>
  <si>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</si>
  <si>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</si>
  <si>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</si>
  <si>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</si>
  <si>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</si>
  <si>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</si>
  <si>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</si>
  <si>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</si>
  <si>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</si>
  <si>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</si>
  <si>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</si>
  <si>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</si>
  <si>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</si>
  <si>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</si>
  <si>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</si>
  <si>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</si>
  <si>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</si>
  <si>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</si>
  <si>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</si>
  <si>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</si>
  <si>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</si>
  <si>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</si>
  <si>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</si>
  <si>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</si>
  <si>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</si>
  <si>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</si>
  <si>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</si>
  <si>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</si>
  <si>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</si>
  <si>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</si>
  <si>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</si>
  <si>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</si>
  <si>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</si>
  <si>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</si>
  <si>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</si>
  <si>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</si>
  <si>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</si>
  <si>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</si>
  <si>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</si>
  <si>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</si>
  <si>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</si>
  <si>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</si>
  <si>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</si>
  <si>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</si>
  <si>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</si>
  <si>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</si>
  <si>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</si>
  <si>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</si>
  <si>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</si>
  <si>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</si>
  <si>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</si>
  <si>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</si>
  <si>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</si>
  <si>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</si>
  <si>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</si>
  <si>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</si>
  <si>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</si>
  <si>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</si>
  <si>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</si>
  <si>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</si>
  <si>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</si>
  <si>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</si>
  <si>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</si>
  <si>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</si>
  <si>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</si>
  <si>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</si>
  <si>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</si>
  <si>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 8gb Micro Traveldrive Usb 2.0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</si>
  <si>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</si>
  <si>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</si>
  <si>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</si>
  <si>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</si>
  <si>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</si>
  <si>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</si>
  <si>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</si>
  <si>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Pillow Soft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</si>
  <si>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</si>
  <si>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</si>
  <si>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</si>
  <si>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</si>
  <si>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</si>
  <si>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</si>
  <si>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</si>
  <si>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</si>
  <si>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</si>
  <si>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</si>
  <si>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</si>
  <si>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</si>
  <si>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</si>
  <si>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</si>
  <si>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</si>
  <si>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</si>
  <si>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</si>
  <si>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</si>
  <si>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</si>
  <si>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</si>
  <si>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</si>
  <si>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</si>
  <si>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</si>
  <si>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</si>
  <si>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</si>
  <si>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</si>
  <si>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</si>
  <si>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</si>
  <si>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</si>
  <si>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</si>
  <si>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</si>
  <si>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</si>
  <si>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</si>
  <si>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</si>
  <si>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</si>
  <si>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</si>
  <si>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</si>
  <si>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</si>
  <si>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</si>
  <si>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</si>
  <si>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</si>
  <si>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</si>
  <si>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</si>
  <si>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</si>
  <si>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</si>
  <si>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 x 11</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</si>
  <si>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</si>
  <si>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</si>
  <si>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</si>
  <si>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</si>
  <si>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</si>
  <si>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</si>
  <si>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</si>
  <si>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 headset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</si>
  <si>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</si>
  <si>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</si>
  <si>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</si>
  <si>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</si>
  <si>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</si>
  <si>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</si>
  <si>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</si>
  <si>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</si>
  <si>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</si>
  <si>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</si>
  <si>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</si>
  <si>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</si>
  <si>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</si>
  <si>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</si>
  <si>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</si>
  <si>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</si>
  <si>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</si>
  <si>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</si>
  <si>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</si>
  <si>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</si>
  <si>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</si>
  <si>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</si>
  <si>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</si>
  <si>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</si>
  <si>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</si>
  <si>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</si>
  <si>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</si>
  <si>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</si>
  <si>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</si>
  <si>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</si>
  <si>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</si>
  <si>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</si>
  <si>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</si>
  <si>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</si>
  <si>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</si>
  <si>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</si>
  <si>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</si>
  <si>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</si>
  <si>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</si>
  <si>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</si>
  <si>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</si>
  <si>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</si>
  <si>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</si>
  <si>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</si>
  <si>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</si>
  <si>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</si>
  <si>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</si>
  <si>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</si>
  <si>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</si>
  <si>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</si>
  <si>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</si>
  <si>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</si>
  <si>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</si>
  <si>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</si>
  <si>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</si>
  <si>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</si>
  <si>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</si>
  <si>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</si>
  <si>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</si>
  <si>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</si>
  <si>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</si>
  <si>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</si>
  <si>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</si>
  <si>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</si>
  <si>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</si>
  <si>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</si>
  <si>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</si>
  <si>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</si>
  <si>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</si>
  <si>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</si>
  <si>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</si>
  <si>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</si>
  <si>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</si>
  <si>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</si>
  <si>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</si>
  <si>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</si>
  <si>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</si>
  <si>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</si>
  <si>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</si>
  <si>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</si>
  <si>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</si>
  <si>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</si>
  <si>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</si>
  <si>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</si>
  <si>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</si>
  <si>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</si>
  <si>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</si>
  <si>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</si>
  <si>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</si>
  <si>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</si>
  <si>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</si>
  <si>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</si>
  <si>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</si>
  <si>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</si>
  <si>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</si>
  <si>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</si>
  <si>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</si>
  <si>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</si>
  <si>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</si>
  <si>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</si>
  <si>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</si>
  <si>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</si>
  <si>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</si>
  <si>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</si>
  <si>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</si>
  <si>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</si>
  <si>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</si>
  <si>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</si>
  <si>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</si>
  <si>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</si>
  <si>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</si>
  <si>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</si>
  <si>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</si>
  <si>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</si>
  <si>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</si>
  <si>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</si>
  <si>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</si>
  <si>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</si>
  <si>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</si>
  <si>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</si>
  <si>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</si>
  <si>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</si>
  <si>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</si>
  <si>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</si>
  <si>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</si>
  <si>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 KT400U2 - Keyboard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</si>
  <si>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</si>
  <si>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</si>
  <si>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</si>
  <si>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</si>
  <si>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</si>
  <si>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</si>
  <si>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</si>
  <si>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</si>
  <si>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</si>
  <si>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</si>
  <si>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</si>
  <si>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</si>
  <si>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</si>
  <si>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</si>
  <si>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</si>
  <si>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</si>
  <si>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</si>
  <si>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</si>
  <si>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</si>
  <si>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</si>
  <si>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</si>
  <si>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</si>
  <si>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</si>
  <si>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</si>
  <si>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</si>
  <si>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</si>
  <si>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</si>
  <si>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</si>
  <si>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</si>
  <si>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</si>
  <si>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</si>
  <si>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</si>
  <si>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</si>
  <si>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</si>
  <si>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</si>
  <si>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</si>
  <si>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</si>
  <si>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</si>
  <si>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</si>
  <si>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</si>
  <si>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</si>
  <si>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</si>
  <si>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</si>
  <si>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</si>
  <si>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</si>
  <si>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</si>
  <si>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</si>
  <si>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</si>
  <si>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</si>
  <si>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</si>
  <si>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</si>
  <si>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</si>
  <si>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</si>
  <si>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</si>
  <si>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</si>
  <si>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</si>
  <si>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</si>
  <si>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</si>
  <si>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</si>
  <si>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</si>
  <si>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</si>
  <si>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</si>
  <si>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</si>
  <si>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</si>
  <si>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</si>
  <si>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</si>
  <si>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</si>
  <si>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</si>
  <si>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</si>
  <si>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</si>
  <si>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</si>
  <si>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</si>
  <si>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</si>
  <si>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</si>
  <si>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</si>
  <si>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</si>
  <si>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</si>
  <si>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</si>
  <si>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</si>
  <si>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</si>
  <si>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</si>
  <si>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</si>
  <si>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</si>
  <si>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</si>
  <si>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</si>
  <si>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</si>
  <si>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</si>
  <si>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</si>
  <si>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</si>
  <si>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</si>
  <si>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</si>
  <si>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</si>
  <si>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</si>
  <si>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</si>
  <si>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</si>
  <si>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</si>
  <si>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</si>
  <si>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</si>
  <si>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</si>
  <si>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</si>
  <si>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</si>
  <si>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</si>
  <si>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</si>
  <si>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</si>
  <si>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</si>
  <si>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</si>
  <si>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</si>
  <si>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</si>
  <si>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</si>
  <si>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</si>
  <si>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</si>
  <si>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</si>
  <si>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</si>
  <si>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</si>
  <si>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</si>
  <si>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</si>
  <si>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</si>
  <si>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</si>
  <si>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</si>
  <si>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</si>
  <si>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</si>
  <si>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</si>
  <si>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</si>
  <si>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</si>
  <si>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</si>
  <si>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</si>
  <si>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</si>
  <si>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</si>
  <si>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</si>
  <si>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</si>
  <si>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</si>
  <si>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</si>
  <si>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</si>
  <si>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</si>
  <si>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</si>
  <si>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</si>
  <si>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</si>
  <si>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</si>
  <si>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</si>
  <si>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</si>
  <si>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</si>
  <si>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</si>
  <si>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</si>
  <si>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</si>
  <si>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</si>
  <si>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</si>
  <si>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</si>
  <si>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</si>
  <si>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</si>
  <si>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</si>
  <si>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</si>
  <si>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</si>
  <si>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</si>
  <si>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</si>
  <si>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</si>
  <si>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</si>
  <si>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</si>
  <si>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</si>
  <si>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</si>
  <si>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</si>
  <si>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</si>
  <si>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</si>
  <si>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</si>
  <si>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</si>
  <si>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</si>
  <si>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</si>
  <si>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</si>
  <si>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</si>
  <si>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</si>
  <si>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</si>
  <si>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</si>
  <si>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</si>
  <si>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</si>
  <si>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</si>
  <si>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</si>
  <si>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</si>
  <si>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</si>
  <si>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</si>
  <si>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</si>
  <si>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</si>
  <si>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</si>
  <si>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</si>
  <si>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</si>
  <si>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</si>
  <si>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</si>
  <si>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</si>
  <si>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</si>
  <si>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</si>
  <si>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</si>
  <si>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</si>
  <si>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</si>
  <si>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</si>
  <si>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</si>
  <si>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</si>
  <si>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</si>
  <si>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</si>
  <si>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</si>
  <si>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</si>
  <si>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</si>
  <si>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</si>
  <si>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</si>
  <si>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</si>
  <si>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</si>
  <si>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</si>
  <si>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</si>
  <si>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</si>
  <si>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</si>
  <si>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</si>
  <si>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</si>
  <si>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</si>
  <si>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</si>
  <si>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</si>
  <si>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</si>
  <si>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</si>
  <si>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</si>
  <si>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</si>
  <si>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</si>
  <si>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</si>
  <si>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</si>
  <si>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</si>
  <si>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</si>
  <si>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</si>
  <si>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</si>
  <si>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</si>
  <si>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</si>
  <si>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</si>
  <si>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</si>
  <si>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</si>
  <si>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</si>
  <si>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</si>
  <si>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</si>
  <si>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</si>
  <si>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</si>
  <si>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</si>
  <si>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</si>
  <si>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</si>
  <si>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</si>
  <si>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 USB 2.0 Swivel Flash Drive USB flash drive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</si>
  <si>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</si>
  <si>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</si>
  <si>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</si>
  <si>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</si>
  <si>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</si>
  <si>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</si>
  <si>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</si>
  <si>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</si>
  <si>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</si>
  <si>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</si>
  <si>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</si>
  <si>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</si>
  <si>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</si>
  <si>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</si>
  <si>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</si>
  <si>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</si>
  <si>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</si>
  <si>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</si>
  <si>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</si>
  <si>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</si>
  <si>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</si>
  <si>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</si>
  <si>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</si>
  <si>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</si>
  <si>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</si>
  <si>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</si>
  <si>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</si>
  <si>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</si>
  <si>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</si>
  <si>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</si>
  <si>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</si>
  <si>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</si>
  <si>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</si>
  <si>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</si>
  <si>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</si>
  <si>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</si>
  <si>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</si>
  <si>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</si>
  <si>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</si>
  <si>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</si>
  <si>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</si>
  <si>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</si>
  <si>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</si>
  <si>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</si>
  <si>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</si>
  <si>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</si>
  <si>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</si>
  <si>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</si>
  <si>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</si>
  <si>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</si>
  <si>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</si>
  <si>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</si>
  <si>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</si>
  <si>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</si>
  <si>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</si>
  <si>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</si>
  <si>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</si>
  <si>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</si>
  <si>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</si>
  <si>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</si>
  <si>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</si>
  <si>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</si>
  <si>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</si>
  <si>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</si>
  <si>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</si>
  <si>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</si>
  <si>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</si>
  <si>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</si>
  <si>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</si>
  <si>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</si>
  <si>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</si>
  <si>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</si>
  <si>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</si>
  <si>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</si>
  <si>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</si>
  <si>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</si>
  <si>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</si>
  <si>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</si>
  <si>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</si>
  <si>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</si>
  <si>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</si>
  <si>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</si>
  <si>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</si>
  <si>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</si>
  <si>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</si>
  <si>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</si>
  <si>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</si>
  <si>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</si>
  <si>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</si>
  <si>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</si>
  <si>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</si>
  <si>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</si>
  <si>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</si>
  <si>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</si>
  <si>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</si>
  <si>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</si>
  <si>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</si>
  <si>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</si>
  <si>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 speaker phone</t>
  </si>
  <si>
    <t>Plantronics Voyager Pro HD - Bluetooth Headset</t>
  </si>
  <si>
    <t>Ken Heidel</t>
  </si>
  <si>
    <t>Cisco IP Phone 7961G VoIP phone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</si>
  <si>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</si>
  <si>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</si>
  <si>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</si>
  <si>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</si>
  <si>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</si>
  <si>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</si>
  <si>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</si>
  <si>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</si>
  <si>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</si>
  <si>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</si>
  <si>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</si>
  <si>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</si>
  <si>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</si>
  <si>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</si>
  <si>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</si>
  <si>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</si>
  <si>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</si>
  <si>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</si>
  <si>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</si>
  <si>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</si>
  <si>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</si>
  <si>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</si>
  <si>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</si>
  <si>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</si>
  <si>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</si>
  <si>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</si>
  <si>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</si>
  <si>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</si>
  <si>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</si>
  <si>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</si>
  <si>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</si>
  <si>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</si>
  <si>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</si>
  <si>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</si>
  <si>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</si>
  <si>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</si>
  <si>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</si>
  <si>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</si>
  <si>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</si>
  <si>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</si>
  <si>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</si>
  <si>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</si>
  <si>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</si>
  <si>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</si>
  <si>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</si>
  <si>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</si>
  <si>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</si>
  <si>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</si>
  <si>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</si>
  <si>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</si>
  <si>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</si>
  <si>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</si>
  <si>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</si>
  <si>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</si>
  <si>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</si>
  <si>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</si>
  <si>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</si>
  <si>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</si>
  <si>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</si>
  <si>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</si>
  <si>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</si>
  <si>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</si>
  <si>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 Telephone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</si>
  <si>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</si>
  <si>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</si>
  <si>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</si>
  <si>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</si>
  <si>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</si>
  <si>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</si>
  <si>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</si>
  <si>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Französisch</t>
  </si>
  <si>
    <t>Personal Filing Tote with Lid, Black/Gray</t>
  </si>
  <si>
    <t>Xerox 1974</t>
  </si>
  <si>
    <t>Bevis Boat-Shaped Conference Table</t>
  </si>
  <si>
    <t>Darren Budd</t>
  </si>
  <si>
    <t>Imation 16GB Mini TravelDrive USB 2.0 Flash Drive</t>
  </si>
  <si>
    <t>Maris LaWare</t>
  </si>
  <si>
    <t>Jeremy Lonsdale</t>
  </si>
  <si>
    <t>Candace McMahon</t>
  </si>
  <si>
    <t>Xerox 221</t>
  </si>
  <si>
    <t>Robert Marley</t>
  </si>
  <si>
    <t>Adams Write n' Stick Phone Message Book, 11" X 5 1/4", 200 Messages</t>
  </si>
  <si>
    <t>Xerox 192</t>
  </si>
  <si>
    <t>Jamie Frazer</t>
  </si>
  <si>
    <t>Newell 310</t>
  </si>
  <si>
    <t>Peter Bühler</t>
  </si>
  <si>
    <t>Ames Color-File Green Diamond Border X-ray Mailers</t>
  </si>
  <si>
    <t>Eldon 100 Class Desk Accessories</t>
  </si>
  <si>
    <t>Logitech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</si>
  <si>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</si>
  <si>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</si>
  <si>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</si>
  <si>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</si>
  <si>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</si>
  <si>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</si>
  <si>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</si>
  <si>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</si>
  <si>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</si>
  <si>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</si>
  <si>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</si>
  <si>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</si>
  <si>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</si>
  <si>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</si>
  <si>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</si>
  <si>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</si>
  <si>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</si>
  <si>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</si>
  <si>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</si>
  <si>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</si>
  <si>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</si>
  <si>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</si>
  <si>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</si>
  <si>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</si>
  <si>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</si>
  <si>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</si>
  <si>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</si>
  <si>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</si>
  <si>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</si>
  <si>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</si>
  <si>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</si>
  <si>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</si>
  <si>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</si>
  <si>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</si>
  <si>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</si>
  <si>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</si>
  <si>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</si>
  <si>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</si>
  <si>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</si>
  <si>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</si>
  <si>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</si>
  <si>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</si>
  <si>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</si>
  <si>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</si>
  <si>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</si>
  <si>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</si>
  <si>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</si>
  <si>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</si>
  <si>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</si>
  <si>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</si>
  <si>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</si>
  <si>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</si>
  <si>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</si>
  <si>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</si>
  <si>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</si>
  <si>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</si>
  <si>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</si>
  <si>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</si>
  <si>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</si>
  <si>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</si>
  <si>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</si>
  <si>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</si>
  <si>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</si>
  <si>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</si>
  <si>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</si>
  <si>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</si>
  <si>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</si>
  <si>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</si>
  <si>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</si>
  <si>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</si>
  <si>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</si>
  <si>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</si>
  <si>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</si>
  <si>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</si>
  <si>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</si>
  <si>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</si>
  <si>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</si>
  <si>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</si>
  <si>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</si>
  <si>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</si>
  <si>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</si>
  <si>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</si>
  <si>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</si>
  <si>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</si>
  <si>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</si>
  <si>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</si>
  <si>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</si>
  <si>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</si>
  <si>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</si>
  <si>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</si>
  <si>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</si>
  <si>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</si>
  <si>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</si>
  <si>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</si>
  <si>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</si>
  <si>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</si>
  <si>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</si>
  <si>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</si>
  <si>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</si>
  <si>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</si>
  <si>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</si>
  <si>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</si>
  <si>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</si>
  <si>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</si>
  <si>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</si>
  <si>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</si>
  <si>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</si>
  <si>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</si>
  <si>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 32GB Pocket Pro USB 3.0 Flash Drive - 32 GB - Black - 1 P ...</t>
  </si>
  <si>
    <t>Matt Collins</t>
  </si>
  <si>
    <t>DAX Metal Frame, Desktop, Stepped-Edge</t>
  </si>
  <si>
    <t>Avery 509</t>
  </si>
  <si>
    <t>Elizabeth Moffitt</t>
  </si>
  <si>
    <t>Kingston Digital DataTraveler 8GB USB 2.0</t>
  </si>
  <si>
    <t>Jabra Supreme Plus Driver Edition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</si>
  <si>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</si>
  <si>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</si>
  <si>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</si>
  <si>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</si>
  <si>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</si>
  <si>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</si>
  <si>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</si>
  <si>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</si>
  <si>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</si>
  <si>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</si>
  <si>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</si>
  <si>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</si>
  <si>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</si>
  <si>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</si>
  <si>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</si>
  <si>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</si>
  <si>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</si>
  <si>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</si>
  <si>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</si>
  <si>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</si>
  <si>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</si>
  <si>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</si>
  <si>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</si>
  <si>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</si>
  <si>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</si>
  <si>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</si>
  <si>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</si>
  <si>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</si>
  <si>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</si>
  <si>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</si>
  <si>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</si>
  <si>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</si>
  <si>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</si>
  <si>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</si>
  <si>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</si>
  <si>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</si>
  <si>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</si>
  <si>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</si>
  <si>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</si>
  <si>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</si>
  <si>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</si>
  <si>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</si>
  <si>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</si>
  <si>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</si>
  <si>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</si>
  <si>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</si>
  <si>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</si>
  <si>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</si>
  <si>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</si>
  <si>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</si>
  <si>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</si>
  <si>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</si>
  <si>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</si>
  <si>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</si>
  <si>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</si>
  <si>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</si>
  <si>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</si>
  <si>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</si>
  <si>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</si>
  <si>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</si>
  <si>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</si>
  <si>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</si>
  <si>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</si>
  <si>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</si>
  <si>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</si>
  <si>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</si>
  <si>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</si>
  <si>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</si>
  <si>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</si>
  <si>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</si>
  <si>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</si>
  <si>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</si>
  <si>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</si>
  <si>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</si>
  <si>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</si>
  <si>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</si>
  <si>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</si>
  <si>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</si>
  <si>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</si>
  <si>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</si>
  <si>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</si>
  <si>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</si>
  <si>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</si>
  <si>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</si>
  <si>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</si>
  <si>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</si>
  <si>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</si>
  <si>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</si>
  <si>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</si>
  <si>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</si>
  <si>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</si>
  <si>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</si>
  <si>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</si>
  <si>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</si>
  <si>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</si>
  <si>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</si>
  <si>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</si>
  <si>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</si>
  <si>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</si>
  <si>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</si>
  <si>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</si>
  <si>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</si>
  <si>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</si>
  <si>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</si>
  <si>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</si>
  <si>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</si>
  <si>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</si>
  <si>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</si>
  <si>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</si>
  <si>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</si>
  <si>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</si>
  <si>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</si>
  <si>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</si>
  <si>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</si>
  <si>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</si>
  <si>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</si>
  <si>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</si>
  <si>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</si>
  <si>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</si>
  <si>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</si>
  <si>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</si>
  <si>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</si>
  <si>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</si>
  <si>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</si>
  <si>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</si>
  <si>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</si>
  <si>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</si>
  <si>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</si>
  <si>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</si>
  <si>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</si>
  <si>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 Secure Drive + Hardware Encrypted USB flash drive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</si>
  <si>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</si>
  <si>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</si>
  <si>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</si>
  <si>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</si>
  <si>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</si>
  <si>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</si>
  <si>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</si>
  <si>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</si>
  <si>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</si>
  <si>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</si>
  <si>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</si>
  <si>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</si>
  <si>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</si>
  <si>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</si>
  <si>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</si>
  <si>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</si>
  <si>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</si>
  <si>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</si>
  <si>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</si>
  <si>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</si>
  <si>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</si>
  <si>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</si>
  <si>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</si>
  <si>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</si>
  <si>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</si>
  <si>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</si>
  <si>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</si>
  <si>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</si>
  <si>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</si>
  <si>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</si>
  <si>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</si>
  <si>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</si>
  <si>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</si>
  <si>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</si>
  <si>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</si>
  <si>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</si>
  <si>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</si>
  <si>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</si>
  <si>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</si>
  <si>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</si>
  <si>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</si>
  <si>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</si>
  <si>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</si>
  <si>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</si>
  <si>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</si>
  <si>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</si>
  <si>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</si>
  <si>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</si>
  <si>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</si>
  <si>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</si>
  <si>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</si>
  <si>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</si>
  <si>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</si>
  <si>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</si>
  <si>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</si>
  <si>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</si>
  <si>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</si>
  <si>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</si>
  <si>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</si>
  <si>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</si>
  <si>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</si>
  <si>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</si>
  <si>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</si>
  <si>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</si>
  <si>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</si>
  <si>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</si>
  <si>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</si>
  <si>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</si>
  <si>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</si>
  <si>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</si>
  <si>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</si>
  <si>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</si>
  <si>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</si>
  <si>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</si>
  <si>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</si>
  <si>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</si>
  <si>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</si>
  <si>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</si>
  <si>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</si>
  <si>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</si>
  <si>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 KT800P2 - Keyboard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</si>
  <si>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</si>
  <si>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</si>
  <si>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</si>
  <si>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</si>
  <si>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</si>
  <si>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</si>
  <si>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</si>
  <si>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</si>
  <si>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</si>
  <si>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</si>
  <si>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</si>
  <si>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</si>
  <si>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</si>
  <si>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</si>
  <si>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</si>
  <si>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</si>
  <si>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</si>
  <si>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</si>
  <si>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</si>
  <si>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</si>
  <si>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</si>
  <si>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</si>
  <si>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</si>
  <si>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</si>
  <si>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 Flash Drive Imation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</si>
  <si>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</si>
  <si>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</si>
  <si>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</si>
  <si>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</si>
  <si>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</si>
  <si>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</si>
  <si>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</si>
  <si>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</si>
  <si>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</si>
  <si>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</si>
  <si>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</si>
  <si>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</si>
  <si>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</si>
  <si>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</si>
  <si>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</si>
  <si>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</si>
  <si>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</si>
  <si>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</si>
  <si>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</si>
  <si>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</si>
  <si>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</si>
  <si>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</si>
  <si>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</si>
  <si>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</si>
  <si>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</si>
  <si>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</si>
  <si>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</si>
  <si>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</si>
  <si>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</si>
  <si>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</si>
  <si>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</si>
  <si>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</si>
  <si>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</si>
  <si>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</si>
  <si>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</si>
  <si>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</si>
  <si>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</si>
  <si>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</si>
  <si>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</si>
  <si>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</si>
  <si>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</si>
  <si>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</si>
  <si>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</si>
  <si>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</si>
  <si>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</si>
  <si>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</si>
  <si>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</si>
  <si>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</si>
  <si>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</si>
  <si>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</si>
  <si>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</si>
  <si>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</si>
  <si>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</si>
  <si>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</si>
  <si>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</si>
  <si>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</si>
  <si>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</si>
  <si>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</si>
  <si>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</si>
  <si>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</si>
  <si>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</si>
  <si>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</si>
  <si>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</si>
  <si>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</si>
  <si>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</si>
  <si>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</si>
  <si>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</si>
  <si>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</si>
  <si>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</si>
  <si>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</si>
  <si>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Imàge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</si>
  <si>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</si>
  <si>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</si>
  <si>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</si>
  <si>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</si>
  <si>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</si>
  <si>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</si>
  <si>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</si>
  <si>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</si>
  <si>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</si>
  <si>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</si>
  <si>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</si>
  <si>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</si>
  <si>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</si>
  <si>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</si>
  <si>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</si>
  <si>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</si>
  <si>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</si>
  <si>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</si>
  <si>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</si>
  <si>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</si>
  <si>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</si>
  <si>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</si>
  <si>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</si>
  <si>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</si>
  <si>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</si>
  <si>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</si>
  <si>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</si>
  <si>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</si>
  <si>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</si>
  <si>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</si>
  <si>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</si>
  <si>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</si>
  <si>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</si>
  <si>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</si>
  <si>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</si>
  <si>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</si>
  <si>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</si>
  <si>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</si>
  <si>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</si>
  <si>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</si>
  <si>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</si>
  <si>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</si>
  <si>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</si>
  <si>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</si>
  <si>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</si>
  <si>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</si>
  <si>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</si>
  <si>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</si>
  <si>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</si>
  <si>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</si>
  <si>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 Z-906 Speaker sys - home theater - 5.1-CH</t>
  </si>
  <si>
    <t>Brenda Bowman</t>
  </si>
  <si>
    <t>Eleni McCrary</t>
  </si>
  <si>
    <t>Advantus Employee of the Month Certificate Frame, 11 x 13-1/2</t>
  </si>
  <si>
    <t>Dexim XPower Skin Super-Thin Power Case for iPhone 5 - Black</t>
  </si>
  <si>
    <t>Max Jones</t>
  </si>
  <si>
    <t>Xerox 222</t>
  </si>
  <si>
    <t>Year</t>
  </si>
  <si>
    <t>Month</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</si>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</sst>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hadow/>
      <sz val="16"/>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2"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1" fillId="0" borderId="0" xfId="0" applyFont="1" applyAlignment="1">
      <alignment horizontal="center" vertical="center"/>
    </xf>
    <xf numFmtId="2" fontId="0" fillId="0" borderId="0" xfId="0" applyNumberFormat="1" applyAlignment="1">
      <alignment horizontal="left"/>
    </xf>
    <xf numFmtId="14" fontId="0" fillId="0" borderId="0" xfId="0" applyNumberFormat="1" applyAlignment="1">
      <alignment horizontal="left"/>
    </xf>
    <xf numFmtId="0" fontId="0" fillId="0" borderId="0" xfId="0" pivotButton="1" applyAlignment="1">
      <alignment horizontal="left"/>
    </xf>
  </cellXfs>
  <cellStyles count="1">
    <cellStyle name="Normal" xfId="0" builtinId="0"/>
  </cellStyles>
  <dxfs count="28">
    <dxf>
      <alignment horizontal="left" vertical="bottom" textRotation="0" wrapText="0" indent="0" justifyLastLine="0" shrinkToFit="0" readingOrder="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dxf>
    <dxf>
      <alignment horizontal="left"/>
    </dxf>
    <dxf>
      <alignment horizontal="left"/>
    </dxf>
    <dxf>
      <alignment horizontal="left"/>
    </dxf>
    <dxf>
      <alignment horizontal="left"/>
    </dxf>
    <dxf>
      <numFmt numFmtId="2" formatCode="0.0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3" defaultTableStyle="TableStyleMedium2" defaultPivotStyle="PivotStyleLight16">
    <tableStyle name="SlicerStyleLight1 2" pivot="0" table="0" count="10" xr9:uid="{57038EF1-72E2-4D3A-8D25-BA1425CE9DB7}">
      <tableStyleElement type="wholeTable" dxfId="27"/>
      <tableStyleElement type="headerRow" dxfId="26"/>
    </tableStyle>
    <tableStyle name="SlicerStyleLight5 2" pivot="0" table="0" count="10" xr9:uid="{6C52845C-410F-4B39-A20F-CFC132091441}">
      <tableStyleElement type="wholeTable" dxfId="25"/>
      <tableStyleElement type="headerRow" dxfId="24"/>
    </tableStyle>
    <tableStyle name="SlicerStyleLight5 3" pivot="0" table="0" count="10" xr9:uid="{15592A38-A1C7-4FC8-808B-96193A56B105}">
      <tableStyleElement type="wholeTable" dxfId="23"/>
      <tableStyleElement type="headerRow" dxfId="22"/>
    </tableStyle>
  </tableStyles>
  <colors>
    <mruColors>
      <color rgb="FFF6C6EF"/>
      <color rgb="FFE767D5"/>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5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5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sales.xlsx]MonthlySales!PivotTable7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MonthlySales!$B$3</c:f>
              <c:strCache>
                <c:ptCount val="1"/>
                <c:pt idx="0">
                  <c:v>Total</c:v>
                </c:pt>
              </c:strCache>
            </c:strRef>
          </c:tx>
          <c:spPr>
            <a:solidFill>
              <a:schemeClr val="accent1"/>
            </a:solidFill>
            <a:ln>
              <a:noFill/>
            </a:ln>
            <a:effectLst/>
          </c:spPr>
          <c:cat>
            <c:strRef>
              <c:f>MonthlySales!$A$4:$A$16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MonthlySales!$B$4:$B$16</c:f>
              <c:numCache>
                <c:formatCode>0.00</c:formatCode>
                <c:ptCount val="12"/>
                <c:pt idx="0">
                  <c:v>32410.979999999992</c:v>
                </c:pt>
                <c:pt idx="1">
                  <c:v>16471.32</c:v>
                </c:pt>
                <c:pt idx="2">
                  <c:v>94417.300000000105</c:v>
                </c:pt>
                <c:pt idx="3">
                  <c:v>62209.23000000001</c:v>
                </c:pt>
                <c:pt idx="4">
                  <c:v>53779.999999999985</c:v>
                </c:pt>
                <c:pt idx="5">
                  <c:v>40302.679999999993</c:v>
                </c:pt>
                <c:pt idx="6">
                  <c:v>33946.369999999995</c:v>
                </c:pt>
                <c:pt idx="7">
                  <c:v>27909.469999999979</c:v>
                </c:pt>
                <c:pt idx="8">
                  <c:v>81777.340000000026</c:v>
                </c:pt>
                <c:pt idx="9">
                  <c:v>31453.369999999992</c:v>
                </c:pt>
                <c:pt idx="10">
                  <c:v>78628.739999999991</c:v>
                </c:pt>
                <c:pt idx="11">
                  <c:v>69545.640000000029</c:v>
                </c:pt>
              </c:numCache>
            </c:numRef>
          </c:val>
          <c:extLst>
            <c:ext xmlns:c16="http://schemas.microsoft.com/office/drawing/2014/chart" uri="{C3380CC4-5D6E-409C-BE32-E72D297353CC}">
              <c16:uniqueId val="{00000000-F542-4517-AE90-017F3F5DDB3B}"/>
            </c:ext>
          </c:extLst>
        </c:ser>
        <c:dLbls>
          <c:showLegendKey val="0"/>
          <c:showVal val="0"/>
          <c:showCatName val="0"/>
          <c:showSerName val="0"/>
          <c:showPercent val="0"/>
          <c:showBubbleSize val="0"/>
        </c:dLbls>
        <c:axId val="58718015"/>
        <c:axId val="58729535"/>
      </c:areaChart>
      <c:catAx>
        <c:axId val="587180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29535"/>
        <c:crosses val="autoZero"/>
        <c:auto val="1"/>
        <c:lblAlgn val="ctr"/>
        <c:lblOffset val="100"/>
        <c:noMultiLvlLbl val="0"/>
      </c:catAx>
      <c:valAx>
        <c:axId val="587295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1801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sales.xlsx]ProfitGained!PivotTable6</c:name>
    <c:fmtId val="3"/>
  </c:pivotSource>
  <c:chart>
    <c:autoTitleDeleted val="0"/>
    <c:pivotFmts>
      <c:pivotFmt>
        <c:idx val="0"/>
      </c:pivotFmt>
      <c:pivotFmt>
        <c:idx val="1"/>
      </c:pivotFmt>
      <c:pivotFmt>
        <c:idx val="2"/>
      </c:pivotFmt>
      <c:pivotFmt>
        <c:idx val="3"/>
      </c:pivotFmt>
      <c:pivotFmt>
        <c:idx val="4"/>
      </c:pivotFmt>
      <c:pivotFmt>
        <c:idx val="5"/>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1981627296587"/>
          <c:y val="0.2638888888888889"/>
          <c:w val="0.74630708661417322"/>
          <c:h val="0.62871172353455818"/>
        </c:manualLayout>
      </c:layout>
      <c:lineChart>
        <c:grouping val="standard"/>
        <c:varyColors val="0"/>
        <c:ser>
          <c:idx val="0"/>
          <c:order val="0"/>
          <c:tx>
            <c:strRef>
              <c:f>ProfitGained!$B$3:$B$4</c:f>
              <c:strCache>
                <c:ptCount val="1"/>
                <c:pt idx="0">
                  <c:v>Furniture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ProfitGained!$A$5:$A$6</c:f>
              <c:strCache>
                <c:ptCount val="2"/>
                <c:pt idx="0">
                  <c:v>2014</c:v>
                </c:pt>
                <c:pt idx="1">
                  <c:v>2015</c:v>
                </c:pt>
              </c:strCache>
            </c:strRef>
          </c:cat>
          <c:val>
            <c:numRef>
              <c:f>ProfitGained!$B$5:$B$6</c:f>
              <c:numCache>
                <c:formatCode>0.00</c:formatCode>
                <c:ptCount val="2"/>
                <c:pt idx="0">
                  <c:v>5469.7699999999977</c:v>
                </c:pt>
                <c:pt idx="1">
                  <c:v>404.80000000000047</c:v>
                </c:pt>
              </c:numCache>
            </c:numRef>
          </c:val>
          <c:smooth val="0"/>
          <c:extLst>
            <c:ext xmlns:c16="http://schemas.microsoft.com/office/drawing/2014/chart" uri="{C3380CC4-5D6E-409C-BE32-E72D297353CC}">
              <c16:uniqueId val="{00000000-FE93-4FD4-AD66-F693A598D2EA}"/>
            </c:ext>
          </c:extLst>
        </c:ser>
        <c:ser>
          <c:idx val="1"/>
          <c:order val="1"/>
          <c:tx>
            <c:strRef>
              <c:f>ProfitGained!$C$3:$C$4</c:f>
              <c:strCache>
                <c:ptCount val="1"/>
                <c:pt idx="0">
                  <c:v>Office Supplies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ProfitGained!$A$5:$A$6</c:f>
              <c:strCache>
                <c:ptCount val="2"/>
                <c:pt idx="0">
                  <c:v>2014</c:v>
                </c:pt>
                <c:pt idx="1">
                  <c:v>2015</c:v>
                </c:pt>
              </c:strCache>
            </c:strRef>
          </c:cat>
          <c:val>
            <c:numRef>
              <c:f>ProfitGained!$C$5:$C$6</c:f>
              <c:numCache>
                <c:formatCode>0.00</c:formatCode>
                <c:ptCount val="2"/>
                <c:pt idx="0">
                  <c:v>22593.399999999965</c:v>
                </c:pt>
                <c:pt idx="1">
                  <c:v>10950.090000000007</c:v>
                </c:pt>
              </c:numCache>
            </c:numRef>
          </c:val>
          <c:smooth val="0"/>
          <c:extLst>
            <c:ext xmlns:c16="http://schemas.microsoft.com/office/drawing/2014/chart" uri="{C3380CC4-5D6E-409C-BE32-E72D297353CC}">
              <c16:uniqueId val="{00000001-FE93-4FD4-AD66-F693A598D2EA}"/>
            </c:ext>
          </c:extLst>
        </c:ser>
        <c:ser>
          <c:idx val="2"/>
          <c:order val="2"/>
          <c:tx>
            <c:strRef>
              <c:f>ProfitGained!$D$3:$D$4</c:f>
              <c:strCache>
                <c:ptCount val="1"/>
                <c:pt idx="0">
                  <c:v>Technology</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ProfitGained!$A$5:$A$6</c:f>
              <c:strCache>
                <c:ptCount val="2"/>
                <c:pt idx="0">
                  <c:v>2014</c:v>
                </c:pt>
                <c:pt idx="1">
                  <c:v>2015</c:v>
                </c:pt>
              </c:strCache>
            </c:strRef>
          </c:cat>
          <c:val>
            <c:numRef>
              <c:f>ProfitGained!$D$5:$D$6</c:f>
              <c:numCache>
                <c:formatCode>0.00</c:formatCode>
                <c:ptCount val="2"/>
                <c:pt idx="0">
                  <c:v>21492.950000000008</c:v>
                </c:pt>
                <c:pt idx="1">
                  <c:v>7563.7699999999977</c:v>
                </c:pt>
              </c:numCache>
            </c:numRef>
          </c:val>
          <c:smooth val="0"/>
          <c:extLst>
            <c:ext xmlns:c16="http://schemas.microsoft.com/office/drawing/2014/chart" uri="{C3380CC4-5D6E-409C-BE32-E72D297353CC}">
              <c16:uniqueId val="{00000002-FE93-4FD4-AD66-F693A598D2EA}"/>
            </c:ext>
          </c:extLst>
        </c:ser>
        <c:dLbls>
          <c:showLegendKey val="0"/>
          <c:showVal val="0"/>
          <c:showCatName val="0"/>
          <c:showSerName val="0"/>
          <c:showPercent val="0"/>
          <c:showBubbleSize val="0"/>
        </c:dLbls>
        <c:marker val="1"/>
        <c:smooth val="0"/>
        <c:axId val="58753535"/>
        <c:axId val="58764575"/>
      </c:lineChart>
      <c:catAx>
        <c:axId val="587535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64575"/>
        <c:crosses val="autoZero"/>
        <c:auto val="1"/>
        <c:lblAlgn val="ctr"/>
        <c:lblOffset val="100"/>
        <c:noMultiLvlLbl val="0"/>
      </c:catAx>
      <c:valAx>
        <c:axId val="587645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53535"/>
        <c:crosses val="autoZero"/>
        <c:crossBetween val="between"/>
      </c:valAx>
      <c:spPr>
        <a:noFill/>
        <a:ln>
          <a:noFill/>
        </a:ln>
        <a:effectLst/>
      </c:spPr>
    </c:plotArea>
    <c:legend>
      <c:legendPos val="r"/>
      <c:layout>
        <c:manualLayout>
          <c:xMode val="edge"/>
          <c:yMode val="edge"/>
          <c:x val="0.18391579177602796"/>
          <c:y val="2.5104257801108223E-2"/>
          <c:w val="0.62441754155730533"/>
          <c:h val="0.218309638378536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374269005847952"/>
          <c:y val="8.130081300813009E-3"/>
          <c:w val="0.35672514619883039"/>
          <c:h val="0.99186991869918695"/>
        </c:manualLayout>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7E4-4CBC-97D0-1657EE16624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7E4-4CBC-97D0-1657EE16624C}"/>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7E4-4CBC-97D0-1657EE16624C}"/>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87E4-4CBC-97D0-1657EE16624C}"/>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87E4-4CBC-97D0-1657EE16624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Top5Cust!$D$2:$D$6</c:f>
              <c:strCache>
                <c:ptCount val="5"/>
                <c:pt idx="0">
                  <c:v>Sanjit Chand</c:v>
                </c:pt>
                <c:pt idx="1">
                  <c:v>Christopher Martinez</c:v>
                </c:pt>
                <c:pt idx="2">
                  <c:v>Nathan Mautz</c:v>
                </c:pt>
                <c:pt idx="3">
                  <c:v>Tom Boeckenhauer</c:v>
                </c:pt>
                <c:pt idx="4">
                  <c:v>Shirley Daniels</c:v>
                </c:pt>
              </c:strCache>
            </c:strRef>
          </c:cat>
          <c:val>
            <c:numRef>
              <c:f>Top5Cust!$E$2:$E$6</c:f>
              <c:numCache>
                <c:formatCode>0.00</c:formatCode>
                <c:ptCount val="5"/>
                <c:pt idx="0">
                  <c:v>5462.59</c:v>
                </c:pt>
                <c:pt idx="1">
                  <c:v>3192.08</c:v>
                </c:pt>
                <c:pt idx="2">
                  <c:v>2747.34</c:v>
                </c:pt>
                <c:pt idx="3">
                  <c:v>2567.64</c:v>
                </c:pt>
                <c:pt idx="4">
                  <c:v>2070.7600000000002</c:v>
                </c:pt>
              </c:numCache>
            </c:numRef>
          </c:val>
          <c:extLst>
            <c:ext xmlns:c16="http://schemas.microsoft.com/office/drawing/2014/chart" uri="{C3380CC4-5D6E-409C-BE32-E72D297353CC}">
              <c16:uniqueId val="{0000000A-87E4-4CBC-97D0-1657EE16624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0.57599323110926925"/>
          <c:y val="7.9266372191280993E-2"/>
          <c:w val="0.42111272275176131"/>
          <c:h val="0.8638230587030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sales.xlsx]CustomerCount!PivotTable11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764891676676"/>
          <c:y val="5.5555371755001214E-2"/>
          <c:w val="0.74910286637899082"/>
          <c:h val="0.8416746864975212"/>
        </c:manualLayout>
      </c:layout>
      <c:barChart>
        <c:barDir val="col"/>
        <c:grouping val="clustered"/>
        <c:varyColors val="0"/>
        <c:ser>
          <c:idx val="0"/>
          <c:order val="0"/>
          <c:tx>
            <c:strRef>
              <c:f>CustomerCount!$F$5</c:f>
              <c:strCache>
                <c:ptCount val="1"/>
                <c:pt idx="0">
                  <c:v>Total</c:v>
                </c:pt>
              </c:strCache>
            </c:strRef>
          </c:tx>
          <c:spPr>
            <a:solidFill>
              <a:schemeClr val="accent1"/>
            </a:solidFill>
            <a:ln>
              <a:noFill/>
            </a:ln>
            <a:effectLst/>
          </c:spPr>
          <c:invertIfNegative val="0"/>
          <c:cat>
            <c:strRef>
              <c:f>CustomerCount!$E$6:$E$7</c:f>
              <c:strCache>
                <c:ptCount val="2"/>
                <c:pt idx="0">
                  <c:v>2014</c:v>
                </c:pt>
                <c:pt idx="1">
                  <c:v>2015</c:v>
                </c:pt>
              </c:strCache>
            </c:strRef>
          </c:cat>
          <c:val>
            <c:numRef>
              <c:f>CustomerCount!$F$6:$F$7</c:f>
              <c:numCache>
                <c:formatCode>General</c:formatCode>
                <c:ptCount val="2"/>
                <c:pt idx="0">
                  <c:v>595</c:v>
                </c:pt>
                <c:pt idx="1">
                  <c:v>259</c:v>
                </c:pt>
              </c:numCache>
            </c:numRef>
          </c:val>
          <c:extLst>
            <c:ext xmlns:c16="http://schemas.microsoft.com/office/drawing/2014/chart" uri="{C3380CC4-5D6E-409C-BE32-E72D297353CC}">
              <c16:uniqueId val="{00000000-998A-4F03-B4FC-DD9C8D75EABF}"/>
            </c:ext>
          </c:extLst>
        </c:ser>
        <c:dLbls>
          <c:showLegendKey val="0"/>
          <c:showVal val="0"/>
          <c:showCatName val="0"/>
          <c:showSerName val="0"/>
          <c:showPercent val="0"/>
          <c:showBubbleSize val="0"/>
        </c:dLbls>
        <c:gapWidth val="219"/>
        <c:axId val="1815244287"/>
        <c:axId val="1815247647"/>
      </c:barChart>
      <c:catAx>
        <c:axId val="181524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247647"/>
        <c:crosses val="autoZero"/>
        <c:auto val="1"/>
        <c:lblAlgn val="ctr"/>
        <c:lblOffset val="100"/>
        <c:noMultiLvlLbl val="0"/>
      </c:catAx>
      <c:valAx>
        <c:axId val="1815247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24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sales.xlsx]ProfitGained!PivotTable6</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1981627296587"/>
          <c:y val="0.2638888888888889"/>
          <c:w val="0.74630708661417322"/>
          <c:h val="0.62871172353455818"/>
        </c:manualLayout>
      </c:layout>
      <c:lineChart>
        <c:grouping val="standard"/>
        <c:varyColors val="0"/>
        <c:ser>
          <c:idx val="0"/>
          <c:order val="0"/>
          <c:tx>
            <c:strRef>
              <c:f>ProfitGained!$B$3:$B$4</c:f>
              <c:strCache>
                <c:ptCount val="1"/>
                <c:pt idx="0">
                  <c:v>Furniture</c:v>
                </c:pt>
              </c:strCache>
            </c:strRef>
          </c:tx>
          <c:spPr>
            <a:ln w="28575" cap="rnd">
              <a:solidFill>
                <a:schemeClr val="accent1"/>
              </a:solidFill>
              <a:round/>
            </a:ln>
            <a:effectLst/>
          </c:spPr>
          <c:marker>
            <c:symbol val="none"/>
          </c:marker>
          <c:cat>
            <c:strRef>
              <c:f>ProfitGained!$A$5:$A$6</c:f>
              <c:strCache>
                <c:ptCount val="2"/>
                <c:pt idx="0">
                  <c:v>2014</c:v>
                </c:pt>
                <c:pt idx="1">
                  <c:v>2015</c:v>
                </c:pt>
              </c:strCache>
            </c:strRef>
          </c:cat>
          <c:val>
            <c:numRef>
              <c:f>ProfitGained!$B$5:$B$6</c:f>
              <c:numCache>
                <c:formatCode>0.00</c:formatCode>
                <c:ptCount val="2"/>
                <c:pt idx="0">
                  <c:v>5469.7699999999977</c:v>
                </c:pt>
                <c:pt idx="1">
                  <c:v>404.80000000000047</c:v>
                </c:pt>
              </c:numCache>
            </c:numRef>
          </c:val>
          <c:smooth val="0"/>
          <c:extLst>
            <c:ext xmlns:c16="http://schemas.microsoft.com/office/drawing/2014/chart" uri="{C3380CC4-5D6E-409C-BE32-E72D297353CC}">
              <c16:uniqueId val="{00000000-F033-468B-AB9F-74868F1B2903}"/>
            </c:ext>
          </c:extLst>
        </c:ser>
        <c:ser>
          <c:idx val="1"/>
          <c:order val="1"/>
          <c:tx>
            <c:strRef>
              <c:f>ProfitGained!$C$3:$C$4</c:f>
              <c:strCache>
                <c:ptCount val="1"/>
                <c:pt idx="0">
                  <c:v>Office Supplies</c:v>
                </c:pt>
              </c:strCache>
            </c:strRef>
          </c:tx>
          <c:spPr>
            <a:ln w="28575" cap="rnd">
              <a:solidFill>
                <a:schemeClr val="accent2"/>
              </a:solidFill>
              <a:round/>
            </a:ln>
            <a:effectLst/>
          </c:spPr>
          <c:marker>
            <c:symbol val="none"/>
          </c:marker>
          <c:cat>
            <c:strRef>
              <c:f>ProfitGained!$A$5:$A$6</c:f>
              <c:strCache>
                <c:ptCount val="2"/>
                <c:pt idx="0">
                  <c:v>2014</c:v>
                </c:pt>
                <c:pt idx="1">
                  <c:v>2015</c:v>
                </c:pt>
              </c:strCache>
            </c:strRef>
          </c:cat>
          <c:val>
            <c:numRef>
              <c:f>ProfitGained!$C$5:$C$6</c:f>
              <c:numCache>
                <c:formatCode>0.00</c:formatCode>
                <c:ptCount val="2"/>
                <c:pt idx="0">
                  <c:v>22593.399999999965</c:v>
                </c:pt>
                <c:pt idx="1">
                  <c:v>10950.090000000007</c:v>
                </c:pt>
              </c:numCache>
            </c:numRef>
          </c:val>
          <c:smooth val="0"/>
          <c:extLst>
            <c:ext xmlns:c16="http://schemas.microsoft.com/office/drawing/2014/chart" uri="{C3380CC4-5D6E-409C-BE32-E72D297353CC}">
              <c16:uniqueId val="{00000001-F033-468B-AB9F-74868F1B2903}"/>
            </c:ext>
          </c:extLst>
        </c:ser>
        <c:ser>
          <c:idx val="2"/>
          <c:order val="2"/>
          <c:tx>
            <c:strRef>
              <c:f>ProfitGained!$D$3:$D$4</c:f>
              <c:strCache>
                <c:ptCount val="1"/>
                <c:pt idx="0">
                  <c:v>Technology</c:v>
                </c:pt>
              </c:strCache>
            </c:strRef>
          </c:tx>
          <c:spPr>
            <a:ln w="28575" cap="rnd">
              <a:solidFill>
                <a:schemeClr val="accent3"/>
              </a:solidFill>
              <a:round/>
            </a:ln>
            <a:effectLst/>
          </c:spPr>
          <c:marker>
            <c:symbol val="none"/>
          </c:marker>
          <c:cat>
            <c:strRef>
              <c:f>ProfitGained!$A$5:$A$6</c:f>
              <c:strCache>
                <c:ptCount val="2"/>
                <c:pt idx="0">
                  <c:v>2014</c:v>
                </c:pt>
                <c:pt idx="1">
                  <c:v>2015</c:v>
                </c:pt>
              </c:strCache>
            </c:strRef>
          </c:cat>
          <c:val>
            <c:numRef>
              <c:f>ProfitGained!$D$5:$D$6</c:f>
              <c:numCache>
                <c:formatCode>0.00</c:formatCode>
                <c:ptCount val="2"/>
                <c:pt idx="0">
                  <c:v>21492.950000000008</c:v>
                </c:pt>
                <c:pt idx="1">
                  <c:v>7563.7699999999977</c:v>
                </c:pt>
              </c:numCache>
            </c:numRef>
          </c:val>
          <c:smooth val="0"/>
          <c:extLst>
            <c:ext xmlns:c16="http://schemas.microsoft.com/office/drawing/2014/chart" uri="{C3380CC4-5D6E-409C-BE32-E72D297353CC}">
              <c16:uniqueId val="{00000002-F033-468B-AB9F-74868F1B2903}"/>
            </c:ext>
          </c:extLst>
        </c:ser>
        <c:dLbls>
          <c:showLegendKey val="0"/>
          <c:showVal val="0"/>
          <c:showCatName val="0"/>
          <c:showSerName val="0"/>
          <c:showPercent val="0"/>
          <c:showBubbleSize val="0"/>
        </c:dLbls>
        <c:smooth val="0"/>
        <c:axId val="58753535"/>
        <c:axId val="58764575"/>
      </c:lineChart>
      <c:catAx>
        <c:axId val="5875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64575"/>
        <c:crosses val="autoZero"/>
        <c:auto val="1"/>
        <c:lblAlgn val="ctr"/>
        <c:lblOffset val="100"/>
        <c:noMultiLvlLbl val="0"/>
      </c:catAx>
      <c:valAx>
        <c:axId val="587645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53535"/>
        <c:crosses val="autoZero"/>
        <c:crossBetween val="between"/>
      </c:valAx>
      <c:spPr>
        <a:noFill/>
        <a:ln>
          <a:noFill/>
        </a:ln>
        <a:effectLst/>
      </c:spPr>
    </c:plotArea>
    <c:legend>
      <c:legendPos val="r"/>
      <c:layout>
        <c:manualLayout>
          <c:xMode val="edge"/>
          <c:yMode val="edge"/>
          <c:x val="0.18391579177602796"/>
          <c:y val="2.5104257801108223E-2"/>
          <c:w val="0.62441754155730533"/>
          <c:h val="0.218309638378536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sales.xlsx]MonthlySales!PivotTable7</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MonthlySales!$B$3</c:f>
              <c:strCache>
                <c:ptCount val="1"/>
                <c:pt idx="0">
                  <c:v>Total</c:v>
                </c:pt>
              </c:strCache>
            </c:strRef>
          </c:tx>
          <c:spPr>
            <a:solidFill>
              <a:schemeClr val="accent1"/>
            </a:solidFill>
            <a:ln>
              <a:noFill/>
            </a:ln>
            <a:effectLst/>
          </c:spPr>
          <c:cat>
            <c:strRef>
              <c:f>MonthlySales!$A$4:$A$16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MonthlySales!$B$4:$B$16</c:f>
              <c:numCache>
                <c:formatCode>0.00</c:formatCode>
                <c:ptCount val="12"/>
                <c:pt idx="0">
                  <c:v>32410.979999999992</c:v>
                </c:pt>
                <c:pt idx="1">
                  <c:v>16471.32</c:v>
                </c:pt>
                <c:pt idx="2">
                  <c:v>94417.300000000105</c:v>
                </c:pt>
                <c:pt idx="3">
                  <c:v>62209.23000000001</c:v>
                </c:pt>
                <c:pt idx="4">
                  <c:v>53779.999999999985</c:v>
                </c:pt>
                <c:pt idx="5">
                  <c:v>40302.679999999993</c:v>
                </c:pt>
                <c:pt idx="6">
                  <c:v>33946.369999999995</c:v>
                </c:pt>
                <c:pt idx="7">
                  <c:v>27909.469999999979</c:v>
                </c:pt>
                <c:pt idx="8">
                  <c:v>81777.340000000026</c:v>
                </c:pt>
                <c:pt idx="9">
                  <c:v>31453.369999999992</c:v>
                </c:pt>
                <c:pt idx="10">
                  <c:v>78628.739999999991</c:v>
                </c:pt>
                <c:pt idx="11">
                  <c:v>69545.640000000029</c:v>
                </c:pt>
              </c:numCache>
            </c:numRef>
          </c:val>
          <c:extLst>
            <c:ext xmlns:c16="http://schemas.microsoft.com/office/drawing/2014/chart" uri="{C3380CC4-5D6E-409C-BE32-E72D297353CC}">
              <c16:uniqueId val="{00000000-8ED3-405D-BD7A-179D4096EABA}"/>
            </c:ext>
          </c:extLst>
        </c:ser>
        <c:dLbls>
          <c:showLegendKey val="0"/>
          <c:showVal val="0"/>
          <c:showCatName val="0"/>
          <c:showSerName val="0"/>
          <c:showPercent val="0"/>
          <c:showBubbleSize val="0"/>
        </c:dLbls>
        <c:axId val="58718015"/>
        <c:axId val="58729535"/>
      </c:areaChart>
      <c:catAx>
        <c:axId val="587180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29535"/>
        <c:crosses val="autoZero"/>
        <c:auto val="1"/>
        <c:lblAlgn val="ctr"/>
        <c:lblOffset val="100"/>
        <c:noMultiLvlLbl val="0"/>
      </c:catAx>
      <c:valAx>
        <c:axId val="587295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1801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AD6-4571-82A2-C8DE0577D8A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AD6-4571-82A2-C8DE0577D8A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AD6-4571-82A2-C8DE0577D8A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AD6-4571-82A2-C8DE0577D8A9}"/>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FAD6-4571-82A2-C8DE0577D8A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Top5Cust!$D$2:$D$6</c:f>
              <c:strCache>
                <c:ptCount val="5"/>
                <c:pt idx="0">
                  <c:v>Sanjit Chand</c:v>
                </c:pt>
                <c:pt idx="1">
                  <c:v>Christopher Martinez</c:v>
                </c:pt>
                <c:pt idx="2">
                  <c:v>Nathan Mautz</c:v>
                </c:pt>
                <c:pt idx="3">
                  <c:v>Tom Boeckenhauer</c:v>
                </c:pt>
                <c:pt idx="4">
                  <c:v>Shirley Daniels</c:v>
                </c:pt>
              </c:strCache>
            </c:strRef>
          </c:cat>
          <c:val>
            <c:numRef>
              <c:f>Top5Cust!$E$2:$E$6</c:f>
              <c:numCache>
                <c:formatCode>0.00</c:formatCode>
                <c:ptCount val="5"/>
                <c:pt idx="0">
                  <c:v>5462.59</c:v>
                </c:pt>
                <c:pt idx="1">
                  <c:v>3192.08</c:v>
                </c:pt>
                <c:pt idx="2">
                  <c:v>2747.34</c:v>
                </c:pt>
                <c:pt idx="3">
                  <c:v>2567.64</c:v>
                </c:pt>
                <c:pt idx="4">
                  <c:v>2070.7600000000002</c:v>
                </c:pt>
              </c:numCache>
            </c:numRef>
          </c:val>
          <c:extLst>
            <c:ext xmlns:c16="http://schemas.microsoft.com/office/drawing/2014/chart" uri="{C3380CC4-5D6E-409C-BE32-E72D297353CC}">
              <c16:uniqueId val="{00000000-26AE-4E3F-9080-1D578DF4B12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sales.xlsx]CustomerCount!PivotTable11</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76501524880008"/>
          <c:y val="5.5555555555555552E-2"/>
          <c:w val="0.74910286637899082"/>
          <c:h val="0.8416746864975212"/>
        </c:manualLayout>
      </c:layout>
      <c:barChart>
        <c:barDir val="col"/>
        <c:grouping val="clustered"/>
        <c:varyColors val="0"/>
        <c:ser>
          <c:idx val="0"/>
          <c:order val="0"/>
          <c:tx>
            <c:strRef>
              <c:f>CustomerCount!$F$5</c:f>
              <c:strCache>
                <c:ptCount val="1"/>
                <c:pt idx="0">
                  <c:v>Total</c:v>
                </c:pt>
              </c:strCache>
            </c:strRef>
          </c:tx>
          <c:spPr>
            <a:solidFill>
              <a:schemeClr val="accent1"/>
            </a:solidFill>
            <a:ln>
              <a:noFill/>
            </a:ln>
            <a:effectLst/>
          </c:spPr>
          <c:invertIfNegative val="0"/>
          <c:cat>
            <c:strRef>
              <c:f>CustomerCount!$E$6:$E$7</c:f>
              <c:strCache>
                <c:ptCount val="2"/>
                <c:pt idx="0">
                  <c:v>2014</c:v>
                </c:pt>
                <c:pt idx="1">
                  <c:v>2015</c:v>
                </c:pt>
              </c:strCache>
            </c:strRef>
          </c:cat>
          <c:val>
            <c:numRef>
              <c:f>CustomerCount!$F$6:$F$7</c:f>
              <c:numCache>
                <c:formatCode>General</c:formatCode>
                <c:ptCount val="2"/>
                <c:pt idx="0">
                  <c:v>595</c:v>
                </c:pt>
                <c:pt idx="1">
                  <c:v>259</c:v>
                </c:pt>
              </c:numCache>
            </c:numRef>
          </c:val>
          <c:extLst>
            <c:ext xmlns:c16="http://schemas.microsoft.com/office/drawing/2014/chart" uri="{C3380CC4-5D6E-409C-BE32-E72D297353CC}">
              <c16:uniqueId val="{00000000-9B04-4EC4-AEC5-43919344BF3B}"/>
            </c:ext>
          </c:extLst>
        </c:ser>
        <c:dLbls>
          <c:showLegendKey val="0"/>
          <c:showVal val="0"/>
          <c:showCatName val="0"/>
          <c:showSerName val="0"/>
          <c:showPercent val="0"/>
          <c:showBubbleSize val="0"/>
        </c:dLbls>
        <c:gapWidth val="219"/>
        <c:axId val="1815244287"/>
        <c:axId val="1815247647"/>
      </c:barChart>
      <c:catAx>
        <c:axId val="181524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247647"/>
        <c:crosses val="autoZero"/>
        <c:auto val="1"/>
        <c:lblAlgn val="ctr"/>
        <c:lblOffset val="100"/>
        <c:noMultiLvlLbl val="0"/>
      </c:catAx>
      <c:valAx>
        <c:axId val="1815247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24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plotSurface>
          <cx:spPr>
            <a:noFill/>
          </cx:spPr>
        </cx:plotSurface>
        <cx:series layoutId="funnel" uniqueId="{D4237395-07A3-4BAC-AF2A-F9AEF04C463F}">
          <cx:dataLabels>
            <cx:visibility seriesName="0" categoryName="0" value="1"/>
          </cx:dataLabels>
          <cx:dataId val="0"/>
        </cx:series>
      </cx:plotAreaRegion>
      <cx:axis id="0">
        <cx:catScaling gapWidth="0.0599999987"/>
        <cx:tickLabels/>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E2DDE59B-49D0-49B4-A0B4-AD529D2EF69F}">
          <cx:dataId val="0"/>
          <cx:layoutPr>
            <cx:geography cultureLanguage="en-US" cultureRegion="IN" attribution="Powered by Bing">
              <cx:geoCache provider="{E9337A44-BEBE-4D9F-B70C-5C5E7DAFC167}">
                <cx:binary>7H1pbxu5tu1fCfL5lZtkcSge3L5AV0myLQ9xbGf8UlBsp+Z5rl9/V9mKY1eU2OcePzwYeEIDnUSi
yOLi5l577U3qv676f13FN5vyTZ/EafWvq/7vt35d5//666/qyr9JNtVeElyVWZV9r/eusuSv7Pv3
4Ormr+ty0wWp9xcjlP915W/K+qZ/+9//hW/zbrLj7GpTB1n6vrkph/Obqonr6g/v7XzrzeY6CdJF
UNVlcFXTv9++i+KNnyWbt29u0jqoh8shv/n77aNPvX3z1/y7fun3TYyh1c012ppiT1gm51KQuxd9
+ybOUm/7tqHVniCWSYhS+u71o+/TTYL2zxnR7Xg219flTVXhkW7//7Dlo/HjjaO3b66yJq2nefMw
hX+//ZAG9c31m4t6U99Ub98EVebcfcDJpof4cHH71H89nvn//q/ZP2AeZv/yAJz5pD311i/Y/BNv
vm1eFBq2p6TkjDH1GBNL7lmcmCYjbCcmzxjJbkjuG84Q+ef4VSLibOLge1amwUvai9pjgkupqd5p
L5TqPUkVU5TTXfbyvDHthudh2xlCzj+vEqF/ymDM0peEh+8xbTJmUX43+zPToZTuwaaElkLe4oft
7m4rvdvOnjGg3djcN5wB88/XVwnMYXodbF4UGL0Hk9HcEtad3Zi/7GkADT4Gu9rtSzwG5hkD2g3M
fcMZMIenrxKYf8pok1YbOMEXYwB8z9LaIiYVdyZjPUZGsz1uairED+RmyDxnRLuh+dlyhs0/568S
GydL05urOrhq6peDh9M9oQQVprllaNixHhI0BZZgWrAdNsPlmaPZDc2jxjN0nMtXik6clZvr7OWg
Ma09GI4QhG/3rBk0lIBcc2WZEpvdQy/jZE8P5Xe4/Gg5B+XdqwRlcRNvuk1582N+XiCg0XuEWEoy
c7ud6Zm9iD0uLclNil1ves3M5jkj2o3Nz5YzbBbL14nNNu58k31/gxXbJN9elEjDeAiMg5p8BpDa
I1QyLc0tQHj/ofH8CIefO6zfgLXz4ebAOa8SuBX2iOD6BVk1s/aEFoJy6AC3r9lGZ4EiWMrkbBIK
ptdsv3vGgHajdN9wBszqdQak+zdZ6b2oEbE9yeH8uaZ3Ez8HxtzjnJuKk5+s+6EtPWNAu4G5bzgD
Zv+fV2kx5z50pDeHVbxJr3/sNv+5KwJ1k8xiWmw3Mj1j1grUjloWmeLR29fMbJ47qt0QPW49w+n8
8FXidHgN+fMFAeJ7cDJEsR9azQwgSvmeFNpUFpmxhCcHshuTbbMZGIeL1wlGHAdpFlQviAfZo8AC
hHmr3sy4m6X3KLekKayf3O7hdnb4jBH9Bpj7lnNsXqenOcy6F/T/nO0RhRSB4vzOzWCjehiDahNJ
AkIkJdv35Y81caeqPTWa32By+wxzPF6ngzm96d6c3PTB1QvuXibf44yaUJrvpMyJdT1EhRK5R5G7
0cQCLXhoJ88bzW5UHradYXN68ir3saOXFtQssGGumFZqJynTFrwOoVDctrsYNOqH6Dw9nt3I/Gg3
Q+Xo4nWigilprqLhx9z853TMRCqTKWZJsU2bzby9JfaYpZQy6TaKmfn8o2eM6DfI3LecY/PlVWLz
MUAY89JpNUGZpU25TTPPsFHWnoRGLUDWdlLl54xoNzY/W86w+fg6Pc1x1gTVC+duyJ62EGBKuU1p
zmiZpsggUAtZN3IHzkyxedaQdqPzoOkMnuPXCc/JJkhvXm5P42LPRDaaiwe+5CEHkHqPUUk56NtO
aJ4czm5Yts1mkJy8Tp3zImtq/42zKTPEM5uXw8Y0oXCaGhxtK87M+JlFYDZQZpCTvsNmxpqfP67d
IM3bz9C6cF6l7znZlMPLyjRTGgfEABb0mD8ruacIRTmB3toO8HvI054zkt3I/Gw5w+TkdSoBJ5uq
2lz5TXVT19WPSfrPCRvCTlTSQL1UW0KGMObh5gb9TBKBQihrxqCfPZ7fwfPoceYYvVLHE1z5gbdJ
XxAeFA4AG40czt3+NeNs4NMAToOw7d7fTp4xot8AdN9yjs3hq9zT3pU3XvaSyMDzmBaynKa8Q2a2
s1FG9lDOgfw0n1nO0yPZjciPdjM83r3OQo5J41jflNXN8ILWAm0TUowW5pYNsNlmBqlZWQK1xFvI
ZiT6eWPajc7DtjOETtev0mJOApTaVFn9gnSNS1BpjRwn4szb18zbaL5HNRKcqC78sSru1M1njWU3
MA+aznA5eR3laVd/rNO+Y0t3RODRJ//dInUNfdmE/GxuFbUZk9ao+ZiyBvdMbWY7s/Lx3w9rN0qz
5o+e5HXUpp8EVTX9l+fBj7X7n9MzE5VnDKU298mYmZdBtgZVtgzVUdvyqFl888xB7cbkUeO57Vy8
yj3tU1BdZWkVvCQRgFMxUeJkyq0y8ytEykSCGjnOuz1vFuI8a0i7AXrQdAbPp8NXCc+04rKmfEkD
QiJAKpTV8t2UYKq8hRytKNtygpkg/ZwR7QbnZ8sZNievs4zw06bycRKrflESrfY4pfA61lZynh8l
uCXRKL/5AR/4wkN54Hlj2o3Pw7YzhD690vAzS+sXPVDAUSaImmiqUdx0+5pxAkrgfjiSCnIqMHwI
zMnTQ9mNyn3DGSQnl69yQ5uigoNNksN0XrIAl5t70hJIFfwoWJ8BM1U9KdTnIha6A25Gp589rN0g
zZrPoDo9eKVQfSs3VfSS0Q5QwCE1E0jco/BQWwOlhj6AJPaPaGjme05vnh7R7wD60XKOzetMH1ze
TKFodXPzY5d5AWYtcMATU09QHHj7mmkFOABqcpNN5wzv3p+5nmcNaTc6D5rO4Ll8HRHpo1HjyPTp
Tbt5yVpoU++ZQnJk3LaUeqZ6UioR9gho0lvwZtg8PZ7dwPxo9+j58HgfX+mG1r35kpXRy9kMkgXI
1DA+HYu+fc3djkAxLiFwTNtsziwanfzGUyP6HTI/Ws6x+fI6scnK/zv5UJyGMlFMe285M0KtUN1p
wXCk3LqkOULPHtdvcJq1n6PlvEq03vnBC9YUcoKgByc9tNq9u+GkB94xcdbjpxL3kFs/NZrdyNy1
muHx7nVStTPQgWqI282L1kcBF0vj1oEtHyAEXuUhXVNqzzItayo5vM/FPcTluaPajc/j1jOczv55
lXZzcVv1sdhEL5tEQE2uCReDCOcOh9keB6Fnj5kEeQY5i0qfO57dCD1uPUPoYvEqEbq86V/0nDvF
wU/T4qi3uSfND00IEY8J8gAT+lke+tCEnhzObmS2zWaQXH5+lZB8qDf+y1G2iUqjvANawPZo+yzM
ub2sQ6GukMkZFXhqHLuhuGs1Q+LD/yPx5vc3Ed1f17TY1Jvl7T1PDy4j+vO7tw+O26dmTd/cLeSd
kendW4fXf7+FXYA0318fNX3HtuH2cpTHNxz9bHKzqeq/3xrWdJOExXEegVILGxwBat3N3VuoiYeO
DS3bmsJWnHp7+yad+NjtDVS4XUoo+LaplBH1JG/fQGi/fQubJRg9EhjghMgAanp/vdZZFg+ombif
je3f36RNcpYFaV39/RYbbH73qWmkguNbcNMVRkEYYgR4S7x/tTmHbowP0/8T0pzxyuTGgTYMHtpB
OIwHjeYVFsj9nOzoBsLIL90oUCSN3shUFPu4m5FW5dCOrXFQjZxeRlkyLMyGWO+SrjUS+899YULn
fWlo1Dh5a2o1VYE+7gtYhJVuTfdgoJl+R2TZnkhBzTUfSX+WyyTwn+gQl4L80qUytaQCd57h7DYK
5B532UeVKKgq3YNgKF3PdousPs7KxsvszEgy4Vi60x8JSlPYijReay5EHIfDvsw6lu4Xwmsc0ba8
s5s+DfbzMCgPdNYbgT3oknxL+6A8LnSl9wvX0/vdWAb7iRyYk7p9uh5KmryPo1jvx0ZZf6C1TNe6
LfOV4SbBqTvUwSn3QpEuTC/194eCJIeBVw3Loq6S98zg440Og/GjH/Hyo8q9E9IMwbJTceo0eUwO
RmZGJ5wzaTl+aDbvWdUk30dzzN6NZhd+YCQI7ZS48UoUfurQIGmdJku7A5K52aIYC7ZvtSSzy2Lo
ltTvczuuzepI0To7LXOrs+s4Mjck9oyDWHbFYiyN7qAYYuXZvNeudCyDZVeVlSTHckz69zob/cYm
RWd5dmnxFalY+SWIDN1Fi94vVVXYaui8rvqC6kYxVMd+mocrlSqdOp2Lde4QPyO5Tcwk/daUKv8S
Np71KdQRO9ce0b7TkUpfh1aVhzbVpUrthA1ZZBth0K/K1iKejdNF/rfIjy3hBCmP35G4tXJHci87
Vk3XHA1N2n20hjF2IjcoF4zFWHvh6FU2D0LxLjDpud8HxHH7cDj3Cy2XFSXll0Rl7SrrSb2yWmkI
u89kcl0mib/vp/7VUIb5wjMtceRpq8ltOgo/WVaYHD9145MiTsZPUMeM92YajMdkdK3KrnoaHcq0
JcYiCkKX2EZmXHAZiEOXE37Qdmm1NIcgOiah11x7lay/RXQI4+XojTJdGnWg15iCauG78qqoY6ej
XXmaxqS1exVfE7PvbBnxI9eoezuKvA+6MgIs0jzeN3LLt0cj6Z2q71InY5w42g2krfL6KDRKbtp9
7Q2OJFa4QTLQxYfVV9NtzIWfyWHZK1mcu13MjqVfnYm+66htofAOSxvW0wvWnpgRZ8uQtjd9ooyV
KI36JGLp+K3us8EBsuJb3kfRu0CnbBGNdX1eiNpw0to6LwodLBsxfjaa0jxlo8+WbBirU0ON47LT
srtIU904HtXtakj4+7RLPinTzdhBEFldy+3aa/3hKpVBxGy3bZpsIZuoD2N7sHIW2mMVtovISyKx
lKwZImeICzkeW1089IexJt6QOL5XEGK7huGNH6Oq461n96ypOg8TkRWLZmir8JKXoeXVsU3D3mq7
SzXU/lLTSnkLMfhl5BhuFAhbFETaurbSdL9rR6k+9wb3rJUaIiYOE6uryCKIjcFaVWEVFNz2klqu
vKgbvfM2EvikmQetdyqLsvHtLCnT7syThmeZdi6Lyj/SrtFmgV25nfjCcr8pQ5ukruEvu7LX7GPY
dIZYFb0W6lr1PoDya7821tGQe015ESVumhT7VFfRF0Pk0YVuk2C/JCm24SxR4qAldfxRuYNROq7J
3MHuGmmuRd9mxO7GtmtsYfh6X9Smue6YWxzTvhcHLDGIsvtoCIZFMmp6yfzMC+2qmP5ZudK9GIam
u5IsdS07pWm+4pFpHmZxj34bng6LqIn5YV6RdB30nV7WSTOmTlK4Lozd6rKjgvOqcFSr6IrKKlvE
ZZAuRa5rJ62I1dvG4CdAwNVf+xJ/KmojvRgr4oa2SI0mX7Rtl7zvTZ7fcORLjzGQwFtFjGdH+aCT
cdFIL/aX5dBlhxaJ9btYBHITJwXGZ8YtXbmVSt4bXaQiJ7ISjM2QOd4TRp18Z1YZfzRJ3Z/FUSjH
hTUm2YWX+EFuT/l6is0jkg3sNkYUBD++5V1bR37HH66yfCgDz9/e0Hn/1/++zBL8d9vm5z9OF3z+
/BuqWO9uBv3jp3BfwsShqvmHptHcfxcGsx3dRL0e/eUXGvgbond30ehv3nweC8RxBQ2ecU95fqGB
87rdiV1tG/0ggihcQOG80riUCrwERUD3RFBDYMKRB31Lx1B/KlGRsiWC3IL+p3GnpcQxMJR7UYxi
SwSnmxQ0CKACo5mIlRL/DhGkYJQPaROuKZk4kwnGhOQ9btKcaNUDJlj0Rl8XcUWP0py3deG0XhL0
B6Vog33XJ6lM7Mwfkuw4jKjRfQj6lB/2+eDnpV3pXGxU0KaMLgYSmm1vC6zKobThHnl45LHCiG3t
ppFnF2lVVvsPZnq7Jh9y2Bnhw00fGDCulFBglkKw+citqulitxzLI9Mj/Tn1U8MRXaiPh1aR084Y
3PgpwmcBq8eThRmiVHEhcPR+YpmPJ8sIYjM3msw7gjx1nNXKCB3YLJX7IefY2e2oMIoDWpL8i+4K
XfROw1vFD7RsWnclPJ9mh64KwPDGVmFWUuk24z6rZX9mpYEyl1na9Ge+Ca4cM1qP+9xNs6Owom65
xCHEsbVp5JbSLsoiGR3RN2m08roUc23Itj+Px8JaMFCETZ3mWWWHhYWutO+23rJUbpgsOuFSZnfS
qCxHApHCSeqqabDpGMPJIAN2WVITi6AzY7EpTezYAzd0uRzrnJ6WVhYFjvKCwVt2ge68JVhnf0Z8
HpeLwvfYJaVGMNqBqvBsVRkWXwx/6OFVOgyjZ4HVL03B8i+s7aLRkRkr/He9n2BEehDm4TCCKX4o
C+GPgV0YDJt76NPqiGU4YHw6Rh38vVSDzD8zs0n9dV1WWH9eFY+OwZRoz8cyZZeGGbP+U27R3vhq
shozF1Q9xjPUWZ8dgnwmidOWERq50kDXcd7i3byJMDoWtmni9GMBqmOQMPTP3JZW0sa9qom/4J2J
5w+jVGzCznM/NoPUH9umRHPd0TJZFIF878sGX02qApMUDBwoSI6DIp/9Lm3zA8QiSbLEPJqg/oGJ
aQmMuOjAbOpivBjGDLC2TDB65I069tfjBImaJkcXQQT8cjM70oUxUPj22lDOCHdz4nvd+N6wiN/b
YQ/jNT3cK7EoioDWSwRgMMJYU4yylKpTi6xl8ZK7YBMxopfQZl0/XMqa1aeG0L1yktDllT2KJtt4
YS1OhsGTHw34w9OuzeMz04y8Det4cJAZMbecgKVqk3pR+yk3Sdiv6Igl63eIudqurafwocOMJ7Eb
DWvWS9EvRab0RwMco37PgtGQC9EqLJu2VJjeLkhk+Q4uTpirSnhGGjtJU5h0tAdu+aO5CLEi2VWX
9MAuMHPefR/Cocm/4I9J+D3vu/48SAi9DCWuuXAyD2ukYilrHD8DXRjYhHwcGYW0DbcDtiBEcbIc
VZZ/wczAuFSYwiijPOvcVUWMvPpcuaI/h94MQzBGhQkOWM7kfhST7EiAR+a221flgdeGWbQKXdaf
cVMUB40/Dv2xmTaYepU16EX2UTjaFNaml30fYl4QPCeu3YgyO0r9iJWX0TgaxkejUWNxXLPSKM+G
XmMk8WBi+x2TbtAfAk6S6Nxtw/KgT4yycNwWHGdsOTaIcUgwl2VdYy570oEZaO1hInKSlAdubMX9
imNX8dd5geNGzu1CjnoDwGWGhh3LdjKKuuT4lr4zsYemPGOXQWNQ07Go5cvPfWw17F3oamwUlkej
7EqZHT31pRV6thUn6NOIvLA/UK5Xhl9LWnZebovGq69N16qjTyV2COo7vTuK8l2WpKm07N4zXL1U
iAjLJYsovolgOa2rQgHzOi7paViPZv/JatwiuhEqZayw+VB47jIhLWPvEvifsbBZE3ry0E2ZlTA7
y5BdO/SZOZa2oGoExQs88jXox8oOAs86TZHY/izaxnWykV6o1us7hyZZ82HIBmMZ1ZW/wMKoHLPx
/EMz1u7CdN0gspOg7Wxq0kEsfJWIA6PqZHec8bAwgk+ez5tqxXMh09AG23JTbDLZYZ5b5GMlcuaY
CflqpG1g12kc2dGQ1nbgd711QCPmfYsrV930numCv5bpuzqWx02HQHoZxWX/XmbK+yrMNl0mcFIL
qELmuVW46VfK/WTFUuK5jhoTYZNalWfaQxii8qgwbTZG8UmQe/EHFlbK1qSqV+MUwRlt3ztp6Y3L
Nunyd208JseCt82ygRzwHtt6/jXUjX/R8visU6QP98ui4qtiKHqbhFm63wZZcIEwMv7QJbzyVmWd
pscaDmwRR8W4jg0drSBGBXZbIPS0Y6Ww7bVmdgmnk39ORZL7i3Cs0pUVkOyTL+U0tUmgbdxe0KSO
VE1/msvetL2gTRaeq6rvQanKRdxwfsDG0FshYGSnwqsUX/hEpIPdD6ADi6pk7VFRJdm+FUNccMLY
zA6V37OVJ+j70M3yfdL7zaLEM34OozLv4KVaeZgOLm2XQ6Ka06Lm7oXOfblvVGO0EoaWjhEao7Ua
BilPDb8ujrBhDwckTYfDzqD6cKyjbjlUZenUjDdO0QzhgZ9W8rIN2vGakDg80pYej8q01FuefneX
+w5K9AuZu62RhbI4nTTD4Y2Z3lZkiWmFce6u+zovDyJIBA7pTDghbpTWIiRtduTCyg/+TMRmYiKI
mFLTlbhMgunicPXEmh5QSO6OvvI7oddFjF004AE2hrxm4Bh/7mcmt932IxV6gYgzVTbM2FcLiaCp
tOeueTQxDEVK7Nlpn38RvYsN49/vDHldyHogyDibPJtKChtGMCz12ooRJmaZzw8rX8aOETR6+eeu
fiWyuCwA99ZNVwZS8Pk5Bfe0yo2eyLUpB3qaNqDeotOxU1l1dlSpzLqL5n67Snb0RxGHQHrW031r
FnmMF7UymG2ciPXY++7HOxeU+gQeQ6QV2EgVDJjePz/jNF0PBGdgNynAOCHBJoH2F7I+JB6vdVnz
dSlTsCtlEJAfbKjwwGnP4AORr4I/MpIWfyZGCPfx5wH8ukhRiCkwz/j1BjYlWR4/dJbygvRxJNdN
A5216wzzsKeI9/8XvSjcHo37IVBTSGarJnZZh4C/kmuv9suDAReH7Ctr6J6YzF3PgoAS1+3iTCMM
b9aLrE1WCAPPoovKWshAxQ7r8//FMhEa11xCXQR4uPft8YxFBUSJPMjEmrmQnoPSx6Joh071y8Gt
6Wmd9+34REj36/6FPR27CR4LqWN0+7jLNGjdoYslXxuZKz/TxvLWI2lBRZo408vUGgizZTViifwZ
tl93FkvjcDvSBwR1U79YhGZdQMZcsHXUwLrdDPtkLVtrMYbSwqVo9/rAs7boqXhBoRIbpo6Qnz1+
RBV3JbpK2PpWPhoSmh2NVZ1/iTkWTDRFcP20av7c6a7nk1O6l6PoSwpz1mlLgtT0kclYx5D7DtKE
m4cxsfx9BDpPWvokTcxMHVc9KIHLNqfz0L9amm+VFsF+sh7LSlt2SBPR2UKR+Dxvx/I0C2M/td0B
NLnvwOs6cK3qtC3a3l1xo+IILjKxiT1WXVO/MsE6xzT2z6xIQmD+87TsGimkD6axI+FXLNjMoaSB
6ILBcLHCE6TDncANkBjoDfjLNuRYaqEGrf9zl/RX28W9PbAquGecoMTlzI/x92LoJS583NqwDHDd
HlmF3K77vr62SgqX6efutN7DgJ4WTVx8aVsx0oUZ6P68qFgR7xdeMxYrsKRgvx5o7C/+PMBdc4Kd
cioNmIrW2czqCaTfsbVg9clogXQTEX6lnmGuqxgpBrsryFMyzi9rE6eyJmuAlIMliuvDH09IEVQT
6R/GdctdvqmQlAjtoUixTPsc0fifn25XZ9PvxeD+Ho2tZu4FrBGl+F6hh3Xv9f1ZmEb6mFQWohxB
ckRJf+7sF6jxZJYFmQ6HM+DxxMzqksigeeWSYS1dgcASvzOElQVDRJT4547YlGh85F1xh7ecyIPA
wyHZPFvIsekHvcxVBwZRInFCEMM1jmFVdfTBNbKxOsrDFkoI96BI+52f9IhIlFnaRTy5wazoz31k
02Lb6BAsORUd8y+jKssDAvH5i4bqZa5IPKkfXREhOO6YN5zVaaazp5K4v+KDm5U1TqpMB/WQCZ9Z
R5AilaKSqlqzcbAWXdpkR0nnB/seGf5t1oXsL9YAV9OlNPjZgNm6qz3C6hbJw3VJpHlosRDPX2SF
Xhqsz4542j+pH07e6wFKHG4NFRzTNRAWcsa/oJSOiUmLUvC1LHp+IyVr1yV39cdbQUSqCqpOMcbi
Q9b37Imdjs2XCG4Xx+kfKZHERsofTGiWHuexWwe8C8I1pVCSxgUJLRlV+4McG5M5Xe9a3ySNIr5o
s4pWp9rLYIEm7j47YPWQujZjSFuSJoGKOEaTXlOUagoscEpwtEeFdVQmsgr3G3z/maoHI8U3dYFA
hYEXIakaWWb2XoTV+LGclldswBnsD3VJ83VbDnllM1n1Z6LrIY1VbgTdL4Jw5NpB0XpqYXkdi04E
MaJyQWiUvO+gNpyWsjb2ex7Is2ygxrifqTSyoWKno01UwcgxZGmSOpUSjbZ9XubHdYSiCEfF+dgt
sqEYEUCPwbqzAurwNhZNbDcUudnUbopA1NC+SdtlG3MM0ww2Q0OIR01OY3rdlVYEUdwIYS+6zycx
dPAi/6wdevxZGcWYHcoMEuW+LrXrH8g2QlSUFiPeHQu1JZ9t5EJ50fHEa4octuansRi+Qy0POiei
XonAfUC6LTr0LKM/z/sx8c/MBD+pcBx5RVu/r8wKgLBcwbozmuTReTYS+IuyqWmxwq2Y/XlEmHXs
SZlF5yqn1XVfETxFZ4ZivDFl2vCTsqCTFNXFgLknARri0cVGdBjuRU5xJdAyYiE/bjGbLRSNBtpc
ENVRv5L5gO6hg0C5qkcfQriVDNJcogwD39hI36Xfxs5MD4s+bIyLPgvQdRGN8FqapBwSjh+bFXuX
dq2oz2lg+BUyqBGEV8SrWenQQXW5YxgBP2zbslLRoqlbwxnzNO8WkmELF6OHFZSmLQIJprpAHfPW
pd2h3xuxC79K2+A0K2NoWlbeVON+HyOGtVmgoTJ6DenLS5qKMt63AoEFlvqWZKdGUMI33PIAaPZY
faOHQxAHvsygm1GpzOHIhRBiFVDbsv67rkf3zBrb/uxOghNxg8GYfk8vecjEJnB9311WyPLmB3dm
JRn2FjLZTKfM0NqkIoD01omBXtKe+sEB1F5o86zm2MZLKbCKCksiMvNjgXll1aSZm2HVfBuCrGtX
fQAd/i41Qy2+cYU5EQmPg9tZmeKbhIaTEltCnrdvy0x6SqDA37o/JRuIjD60K3UsFPIRdkSCPlxl
VkSqo0R7MNMkN5BpiAeOieVuy81VqJkXvK/SAgOhBNrJKo9ZdZ6OtOi/Nr0yjRZCj4iicyvTfXMi
+pheyjBMudOUbjDcWAYyGcvQKhh/P9AcKrA/gBubsL9OJfDHSAP4me1DrsBa4cjmRLDg2lSfQMyj
2rNFWWe5acdBmxuh7bpjAm3eiEW4jssKav0QQ5RcQUEbLUgSIXfXCSE9pDYo5LUFgWxs2rC78/j/
P0/6VLUcdk04lPs46Jc86aM7wm+L5e5abJOkU3Uj4UhDggZO3IyD4Gyr5eCbUSUMt4VDYLfJzvsU
6fTjJtO5SdBGSJ1yioJ/pkjBH7ScPB1+rEGhlO9HGngbof2pVg5y1mPHTaZvmK58BGHHT9n9QhUi
6hYNbEOeCp8bh56b9sVRqoaBLQ0LGjCqliBhRGa67omW8cUY5EJ/g1R242ejuOAqMoVDM/MSokH/
KVJGcCRM1dd2zCxsUjn078TWY6WzhWGOQ31uxMzD1uh1XfGBpIVr2FCLYzM5inRQ7bdtHIanivm6
AB+PrVVQ+elh4g6mo8IGKb2Beos0ifkCpYli5QeUoWJGN+8jVDGUdkg69xh5zPy4algNAtAWa6bL
7nqk8Vee1NY11xX5EneZ2id5kH8tk4g4XCTyUJrVxixDiue1/CG0FSv9o3Hw+wOSZ3wFoIzTNDTc
fqFUu/KR+y5dp8RW0ZZQoRuatCtRxXWD/bcL3xm+zz7BXx7zxswXNOhzpwp8cj5UaXZeNwUIRE0+
oT5Cf+hFP7zr097cz5n+1PeWXLZkQOFIm7znIXKuoCHsFFVT5WFjma5DwiA4TsA/DoX0gxNtxBtk
K0SDuc5RzCGjoyKJUDqXGe23KlLu4f+w92XNdepYuH/ocgsBEvAKe/Sw7dixz4lfVJmOxCCQxCDQ
r78fcbo7cbqS6vd7qrpdsbeNxqWlb1isiJmHpiPtV9VW4DvrjHyNUaQVDMdg+1MeVV+nKbL73FXL
33iRgeuQzgNzNDoTpVFt9hJFU7OnaS0xNv1fqlJ/mQCP7oxGMiLd/IGPAd3Hcdfvk6ZKS4o8tytS
0IKAxNVMSYE7nnpM/ZKwgodSn7cV+WRwsB0ywiEB4VPbnNIImUkh03RE6+d01wVQRh3DGdDhTrcL
ZDMMecND0pDmfl0Hf8edDEvpE3MjoRMD7xEuFE+J+z3U38kxqVu7FiqIq0fHhvYGaPx6I3GG3+LW
XB9wgrt7sA/20A3D8nnMkrZDwI/HcmoC/U8+DPVUCJeQo0prd2M9r04LUMSbkWe+LxbmxBcZtUHZ
ak1PkowdmNhJp9dE5wjv1bhR9d0aFszmvi1A4CJfM2zOCwF+/zleoOYpTLxGhyZuzApKK612kZDz
YZYRLZtAIfj3KsqvZ6WWuhh1AspgNr095G65qQwalRqmrwa/Dk8Cwj5VzE0k/+kn3++zrM1PadWw
G0uDL8zTEMe2rGtQgwInOESJUbF4ocpYx/qQ1mH+VzWvzUZVXmveVfcqy+ShFTT8NDPSHqKKsM+N
4R7IqpplyWYQB85C1WfJ6P7O+yS+x7mX7sI044dp7HNRdo1br3sXJGOZZby/Qlbu9E5tQqt1ivw9
gJYeGSOEjIwt3W5c4ug8RI19aENKQWy46ZlK2r+rqk6uRc2boEhzUV0HOl4LqvJMQYaKLrEeApAi
avOhVKlD6mLndU/8XB+Xka/7ymX+aV7A6czOkIPEi3B3Ml8xJWBAbmXW2XvGzI7wzL7HVZE95PF0
sl3s79wUurJf0is6YVsXNej3c8WVO2WO9fe1ioI9cWRYkIBl62MztPpWDXP0HgRe/VKFxOwC1oAD
ddads7WS/NzhBvW41CYq8x7c26LDW2j99mHXu3ciMfZmrTWEFyjBe4F4ATJD2smyUxXyztDkkEu6
8OwN+UIcZRedmO4ckTk6q2FiRUUGMPydjsAFcnG0EZc7wD7vgxREXbFG8fjoc7l+VaHWJcSJ6wkZ
bvIuXY2qMIty3uGuL6F4pc0RxJTeVRyBPIz8eF3JaXmCTBLcmO5EyaDnvEXGEYCGRCDKhXQ73uTZ
h7gP5WnVDlzC0uZ7m+CytKsHyj7gEPQnWDaDrwRMIvhXGZcrS6Z/atziLwmt+ofBMFKC6i7G3oQf
hVdib0jb7qJ+nqG5HSCn09zID5EX441V7cPQ99MVsL+ujK3V11Erxnvf0f4AwtHfh6TK7waICk0x
TtwDIWD2qJK+KqN4yXZDk827KZXJV7F2M/TBy+eplXPZIGa2BW+c3NLT4EYGicHFgLq/9JJXZUK0
f2CZy3dj3LMPUyaxN2Kmd55m7Rn3zwWZ9hQgYAlXOFolLw1gsSJLTXUhHIJGH/bkowNnsFtG/wR5
KC8jt0YnOjOtQA9w+lhVZNnp0GdnlbcPPiRnZA9hkduYsH0TgugvOiiydhAovXO6EX8FC1VlPamh
WFkn7+t2WLsiMMI9h4KZqzw26ZXIpM4QQXl+QtwMymEMbwbk6Q/eT/cTABwgJmF7PW0qTIq1975e
I3XFIZPElqiOXU46CJbBFedZ8NBA71cC4uyzIo65KJNOZCfgNNNBZGO7H+JJlWHGoazSzbFnw3Tm
uJQXnQ8rCD1UcsaGkodJ9YA/xglCjaU1wAu5uhHQC+Ao4u6jrEJ9DOaQXft5SD+TtG0/2UEHFzpY
XA4VffRZ8hSuyXBpcogonYvTsx1xV86mdNobms5PyJanK8rUx9rX41nWqTiYpuqPMzSsp8m3KSuW
QAxXVcSnfVKJ5GEQXX/vDW12GU6uuajrd0To6EPgOneT41SGlpHw+S9SVRB4+5neKA3kIarooY9r
UwJ1vGtY8rwELoGuWrV74NO8SMXcvs8zoY/TmJk7nY2kXAYN7Mnwr1kjEAKFlMcMwrPCyaE9DX3r
b2SSuGtNG/H3nA9VkQ5zv9O+NTu8xMP/Q037XkJiUEZNnT5CmU0PI2nGEu1bC1bHtzOi6l5L8sKH
JChUn8i7Wvc3LQRktwtbbsAFJ0+taborU8fJHkTqvHEh+aFaGv5ip3U5JlDqvyxBB4gvB30AGcl8
Tl09HVo2vDiCuJKHikCpNRdNItS+neTHYKLrzq5xWKRZ7a/yfC2gCGuvl/E67fEi7CLp1XxJ2l6U
Mgv7UoZp+1QHrHtEUtVcdybbFLKEp0Xlmqy+6/uRHPNU6EsrkoNisT5mS2hvXZx0u26hwVHWiTqE
MhI3ULgg7ET1dBK8hpJ4djW7N1QvZ0i5yGHJJrtb65qWLnEvA0Gs7VNL9RFqbH+nXVqXDbXkqofe
6kAzt3ycMp61xWA8kpRmYLRoWmG6gq0m2dHeL5+7RuoXts5liDT3oxIQUqAh/6hJmUOturwv1y6w
53UIM+iPmuAkvG1YmZpGATpKmu5WL1FTQvvN9m5WRpbQOn/ho412SecdjjRmxwIV8wF3NPUd8t5y
rML24CLmDyHXOEEdJ1cecaDEIax3EgULTjwOwn9Qu4AWI0ysxTS6ftezEVBOpSw0BJPdD23zjkI4
EhdDuC7XnA9habqoPoeY6peeDOIULZzv024ChCXWobmyuOmXQgbDzjhIFAqT8vRvI0ObH8iU0qLy
4TsAMTN0eKuoL8SN5POi0/bOLwsCAtRZZcyb6MA733bkMVv4VPMdnzPZf64mNbOkUF2bq/dQXQOv
u+I0q5rrccny/r1bZ4xaP35ZgmAt8g6ZclFbRnwsgF6lc9m5mu5oXjXpbpWi2wUjr8diFuvyFfCT
/OJytBA5Av0bv9O/BALSozWa9ZmvfLEFmbNlB8C8uprmzNwajU/3A+s/xNh5cbPaA54Y3DZ5Di27
WKNjlVLdF0Iv3RfLQ3LbV0t2BjXtsYNxmbukE3vvJRgQ4KLsS9ICLweY6PU1p7nbU5/bB6sAgtVM
2atAafUudFLuWNyvAsJUN52Sdsy2aLDukPVFuz5BChO5QRVCVM2J2TaBqohG12E3gHwOgcNXENfu
s1YuO8pWFYOLxvNCCL6elmpO/hpIQ5cC9QNVWgwkADAXtk0ZYuQeHKjSEsK79QOElHeizjCs0HAv
j1CSi91ci4qX4+TDW2jgo7Ieh2Fn43YxxUAzNhVc6OwuwylcF8i0pjOEnciRB7AcV4uq6/cia8cP
I1JP3JmG+bJ2Xjwq6gc4QzDYXMn6GOQjbl80UvIS8NnZAvqHec8mHZ7XejCPnKtw3FU9Pjr5nJ6b
wXYPo8htIQwxzxYY0N9EZ+bvrhfPXKXhTRJpBz1qFwanONJ6KrocRplpDq/TXOnHWS5Dt+Ncd+nt
tEi4IqT5mHoL4ZL2i5BFIENfZi7EsV95ATNT2HJ217Rr+1cd6vopqx0/QsVLRLlOJDriKjQ+NXZy
X6A0i0v40MT1oITeoUXdobY1NuEC1KYAuEtXOIgsch1TmWjHJXWfPLI+ZPwBHQrbL+u9SbNG7rq8
rR6syJGJGW8N6Lsp2g9ZQPZR6vOza5LqLL2vb6icq7OCgezSUtwc0oVhMYXBpzbr/RMQM04LRhg6
F68IGiFt1r8ahAqAXLMLS1+n/i5Yew/tkebHMZrbh27LkyAwY4X1yVgQE4orHoEqAccblFWV96eu
5gS6UQJfGIYRiSyh9obGSK6rLqRbBBP7fDUulVh2tTJ/96PL1B1p6iHet9AZxbeG4BQoAM3LrJwk
G0IwqgnzX4K1C909yYP6xCTYmKqbg/WvEdTZ8t67oMb5Goy48I73UziACd1PUxqlEAXGdnHXGBKb
ZYdeGMnKeCD91BT/RyXzAKQtWC5eLEcepOZ926rl+Qf45zvI8qN4m7whQ6AFAfuGl5ehpNz2uu23
TI82i4Mei7iLCAa6C/JIFiSCMGRR5yDLdly8gJQ9znV0FTf0ECT2QCXZZym/1ZPfoxzuHl095r7e
NeZ/pMtf24YKKXBvblKEt7ywIrOBuS1yF63tJdXIFWHxm1ET6N8A2H8ZgTdU17eHkI0kh+4elPDb
AaD1uODSO7tLFYXF9j8WtIcu7V+5wf8PSb5Ckp9/LLr7Lzv2NxdGAhL03/PxCyD5po7tf4y/0fZ7
32FJxv5vnsZgbrf3VqMc8n9MvKg2hfdVgizGa3r+BT5+t26gplsMDQv42O8vIsc5thl4CV6tEEfg
HHMgfxDoRen/AkrGG1/3HzJxgzth3oVkI46wRLeXnuPnP4juwEXZjriGfgU4NCLrjHSiA8j9NOQy
z5ROuvmIXJUOh86sw5rsxmihcikhrAk/ic4mcEv00dKkV7mk67Rr8qAzJ5erdrgFyaCRPvTNQvUn
2oz1AmCSsbaOSwHMiHxN4bWbHnCCpu3HLKOaf45VbNhFsMoAk1ekGtAUKGCtupMkHF23Ey21jS56
BwLjhuA6jSYLpch6jW3e1f8ESNvxOz9M6X/ZYj/jthDXhNi7sDonUNxg1N/S4ilRFYKlzL5y13e1
OY0KxpRTiwBn05MfxAiWDWBtW/3ThhzXmz/Q8mQj+H+cIyBokA/CtZ1tNmE05uc58nWcDSxk1Zea
AL6qyrGPaSyhyI4CUx8QgYUdd1aOIsE5miAN6e5dEq9DVJLEMxdfjQzK0QYAgomhlMHLVSEB+cMY
bYz6D21E8IX9BzrGrVIHXk6QvmnjIqsgkjYG/IWbTRjthE9Fag5tBrIlLDo7MvbS0JCPqGT77+32
57nZnpvkMG5E4KOBq799rp7WPu2DOPsCW2QLvmyGAAM2iYRHgAhdXU3VXcflOI4FeCBURSh+/3hY
q950O93kUEg8IICMsId+nhoBf1MA8W/8JUjb1MRwDoUMvpkpD8Zz76Gou1QB6QnspmadgFqFIS43
qB7ZYlD+15bgisFwGYUIFOqz5I0OAdJZDlN4aL8kzGHLHVbCPIHU2LppSPZVxhOGayaGAGkkg3Tu
pQ/X2eZ7yK5D7f4wKz8fSkkaUkiPQKdAG8MwNW+FYiOrwnqFbvgzzwES2WNvNIiFPUzlQ74e18wu
WCK/7/9GFP08FbiXwaO8bVQIbX9hVwTOcJrrMfgkIetWwWkZkYjJQi29HPpycnXik7JSwxrpAs5T
aB8LWoVyelSa1WvZBSD5HnMlYWHdGdrb6EHNVTd8+n0zf85XwFZBGwj3F6qopojheCvrzwtmckA+
kVwunxY7WiyCcAI/muxDmCQooDobz8EjUEWzbRpcJLcvUNtPf5ifXwYLZjKoBsGRQTAcJwhtPzcD
fOkwrrhxfYJQIEAMrxG9vIMuMxxXeh1zWG0/DgKmpI8K7n9EVKuVJfSUQbU+N4WRiLZb5F8lfgue
8Xa+Thbcff4ktCJvNxickyjoHOE9DpDBQnT45nxaYtfpvPPxpwFqt0DtcRvS7XRv/FhpmPJhH0Dj
glShEMQeSgzVr7us8Wvw6LTm5yG3bS1K5X24XitpuhF2CKiZOYgHqEDaBwZm2oMKj/MFITEK6pV0
VyFMU/irTcWdMX/YpuRnjRUiFYMjk4FUhC6OgVV8EzGwMjszw8T1ktKeAhzRId5gYcA8T3kOpcIm
gQH8sb5GT1z88TOISRFONEBz/GhxY8zMYXLxn/dQ8jaKQ9uDZISiAEaEonG/LIsGpSgUl71+0Ra7
yOxjILfJbUQktArxMK0YjpzD2vGs5LKuaQEE0wFFQcB37EEYz4OTVahW8GwDiBcuWcW2BGFJZoUK
E81Et+nphzjHEoK9ks4P2taNf/Yt2IoGV752O7QqjD4mqO9yiW/GsBn750xB2siLmNYrvgw+FGO2
0xS6FXj5pm3umkVUSDDMt8cD/Qsgl876pcaf6JE8oOVV0G25waipaj4uAwOndkCtCzI/JnHvAXNb
aAkKXFJsBGu24Go5iQSH64cu63jyPIczwSJLM4E8A5n9Jhv4fWx4GzUx+mmYopILSqpAWfVNEftD
LhbztRMk1+2LJ2qwGxscpoCDHHT27TmejEOg+P0T30Yj2CwgQCU4t3FHgXD5zWIcbDhIp2L3IfbT
thjdlGzhL4JEBoc3KF3KXngdeyxCF03jIG5TBBas0983I3rbc/iGGbyVDJ7EMIJK/E07fDxPBp4Y
9aySTo0xWImJBl97Iw2ikWyGjuwtT/vqfh4ygYijQVWJPfDvaO6B90NzNBcjyO7rlmfscYltm63F
4AibH8YsCKvSUA81HhZRKMFcJ6BqioSj5g42uwyxDvtZIrs487oZt50/oy7MHYoogc0BHmXjZf6D
kO5tXMvwhq0Q6QZ6jd5CDvDmuG4Yl50zQ/o0T12IJJZaGyGJnf22blENaBMKEbdg2S4NOAVTiPFb
Zgsl5bak46lGNYNHvrBtSUem8vDlVTqKtxBpUEiAHEw766E6ero22HXcqS2nJiuKATzblBhsoz9M
4pvIliEDgiwxQlTDDKIi2JtQbeJO+b7uoqdslDH21qjF1oAxiKdt637bx7DjrGgbh64KWxyxcgsp
VhscNIEkSOPJQrdv9QbenI9tXsP2XDlgX6ZADZieXbhZ8KlKxlsXVwGt4KEJUhsfdGbneChXnBfo
7h+69uYGgK7lBIYTvDUAeMOmMf75uByXBpTI1K9PsZi3SDVakMsPvvVV/3kMM1QO2YzBxj+nEZh0
GPsCqOhgq2SqFeveK0ZGccjjYHJPyFIthgPwd4zVF88e0aSrghxLLHGt3qLbhLC5mUMdwtqIjAQP
rEYe4l+4YxEMBRgtDMU4pjIYS+jEamwJCZ4d/3odny0UbqWvf5dpv9mjGdIFZFcpbA2b4eeXVJc4
n7CVmeD9jFoziA6v6W0ks2UGpJ5FwIH/FBbeHEfbI2FxBY2DY+m/6JFhC0TWqpf0/TCBrfg4rrBA
o0SMHzE+Sa2Tnu65C/oF7ug2XjHg7YwyAR8Vgh5GCQVG2vE+ZRBm1wc+JhmCwaaWfbCoYYcTQAXY
+OMCTx1UMN+mTcBZiKGEM7XDXsEu2qZDNMs2ESjhQ/AlX+t8fgh71aMlEKbhbGrYuN1Tfz/aSf4m
n0Xnt0MAQYJALPTrjQrpIJxj4bK+l9BRbCLEqYl1yR1qhFxY5BOLKkzSMhCNeRTlEIxYC3zzKmyn
eKGFRrYTXFuhgmSDfNO4NK5fxOewQlkmx6eE7Zq069svUG54+6BQLsh+dNDuuLtkJuGCqiCgd6gu
DfLHYTo4R7P5Yo3kS18wBSLqJg4tyXcd/IeAJZcRgryih5rR14XsZpsspViaGZsBbg0HkHIJaJ3U
hzwiU/LIgH4nogwXgppHR507STjyNy7G8yhTZGZl6lvnPa61WIr6jFItfCoM6iqxwwx+CjWwVLD4
99AGRNXzlLQCntpkjEi54n7ag5MT45Dv8ipyTSloK6B4iced6UPn4V3swvAINYGEhRM1DGS41ygq
ljytdBZN8JT34bK8X6CRGG+DYeyCB5wY6fSFWsbsk4e/twME2/fwlbzLF982R14B3Th4aCNUX+RN
v3H7qfWDyT4RVWcdxCu6n5cdlspqvuagiAADN60bSH0aeWdotsM9gLbsyBUMWZecpEHTHEFTR0Mr
v0I3EY8Y5QWiMpvcglKZsaQ9AUUr36Hwx8jCfdclWqfnCXWSZHvT0aUxYl/PYnTzDWgGUVUHnig3
0Qe4mmNzZnUit+o9C65TAOFnH+JYb8HJOIhmgoSZEQVgrK/XsxMDJEhHWOpx2pRN7hIE2FlXE/27
DyZGhzMWhws4xMBIW8hl0si6cpBhcbawuzZKAY/fwea1fTOoKvggC9haEjzO90NiPvnJ5NCw18yC
7jih4EKQpuVa02ZKj0sH3w9knAnwaHACNKjQHRGjFlP8ceEr3tFT1lTmVNytTjud3kPiULv2AK1c
EOlzM615Nt+BoIX8qzDwsCNwpXaksnlOBeeBv06SdsBIBatByL5F1DaSXgcxt2l7QyoUP2jv69rV
Gd+7GoFA7PsKL6WzJULW1qR1Dtow2odCrpXZhbqp4ZDtxjCg3d+RQFEDc1B1m+dPKBRmDGQOaYqR
jbKpwglSEia3P4L2I2UpUFlqy+kTsFDbxUCSLmaHWrptxOIWfuAcLBmKIz12UEkhTkGiLrK0zN0I
g/rew8vOjnBHKnxOv3ZVjtRj+Eyd4j+cJQN8cUUrCS6ZHUEhDXZHdAIF1F+kXbZx7pK8BpYUQMuL
qYBaN4NmwxhcaMzBVhUyrdJBqpiassoknSCh7pPJTM8jih1UHcYrkL4/ygll+pbbrE63JleYae0f
GVYWnhDjR+YTD5ZtgTELwH6+omuA74GL3IZmngk+iiM2Mw5tmKFhRx+/98faODafALhJfI8uumeP
DYX3IS4TlwMAKnQK9Xi4/756OMSQ+JNpHWyd4+P6bTAmrBoL9fO3HDennm7/igfa3MZhZYPH70Md
vH78X4P8+jkgBdB3p5FWaADpAjl/aipUVrJHSA9WdNpE0Gy1hYhiUYWPuICLPi/o60T1HpVxxB43
78mKc0dyyAXhaJDzyu5yNfUYpTlSLT4SaWBsFoqrmEPDBhnKlvQKRSGwLFHdLjSf8tcRRFWBBD00
r32SUYU7Wqn7jjlyWiGYwa+Fr1P7ujwYb1qMD0sq/AZ0hu3W+YWtEutUELj3kUgkkuGbK4RBqXzy
EM1P4xV6Gm/D+7qQ/LROaCU6uf0VUtkBv4fX/sRYXcMot6a/DmjgHbjXsodjPkn3AUz1TX32EU0X
DS8OQKQQJWAmaM9v8lpsyMfgML/VnEbmE2Giw/IB56m2ztsZye7dACx7+4PRvH1B3bMMX9ou3LaD
8nRrf4fSWNI9Ta1oRXWAWAZ/V5qYiPjUDCtqB17Hr2ulqod8TI/fhzyvZ4vmLFXc4I/gBOjx8FpX
Dc75mRjPwidkbjWETNoEY1eV4SA4Hk5ribouqC2hgW22AAwA2WCa5HROe7FtZxRy2YCeZp1YnR0a
JIvLehXnQ7v0pzHpUcmlbPME2s2CDwL3fJKTCZ9HSYABX5A00vaiIBxuL6tywO1o6AigIgMsv71A
w84BCjhb4+lEin5+ZijsiFsAX/229l2OUF4flthEiDCZle2U7VswtvgItCY8H86oN2X98gEmjxrx
RrR93zSn73ByPbbS1odJtrjvfob+J4njk64lhuMYf9szps9aDBjquzXcP8cy6934ZGInHTuNr11f
cgH+eBfDd9KgRw0KLKK2HbRWiHIoEbINH1n0tmqAV21L/BU/zYbGYQTIFG39HasqwhcoZQw+byqg
j0EBHwhw5TyJmi4vAFmsTN3Gmlh8Ah747Q47UxjwH7+DLJ7Q1kIx2RnLIwiwjcff8K/QG8e1HKih
oUkDiJKDvWcvSuHu1JVjC2CCXquGbftphP0JILxoshGhMmYcNTQvw4pIU6M+BfwxUDtV8QYVRFPW
AIuv207g1/EObvTyg0N6xoMrxwdrq0se1xtI2U847m7ThsdsfIdyJGrlexQjQJG4A3OatgNo7QDl
YYsUIBB7SQRExQaHqcsx+R5lONEr1qnt2FCUb8vNRpZg8b2OZD32QKLjKqzi+cp5qnj6rvGovPdo
kUwDVfAahSRfEG+xvgKnPUYAztWtD2DsUWPngOvlhlK1FfJVZNa56h2UOPkqDfmULC1rL5B1Qvp4
SKJ+GIN/XIWqg3yPEw0loAqYPhsTlBm0I/YZiKRrxvfwT9ZClJyusLg8QBJIYvMlR3ELE30YUH/S
hkfbTLPKUZXJD82zTyZUv4Ovg+HCUYyE9MgpUVAin8iEVa5gJSlnfDNIwf46MFPL7ntPXufSaOjS
aElBmG/d+hZu2nbe4l+O0kT4gux/27zVoLZPwNCFMeN1tH2PkhD1q8pVoFbTVmgQ6ITa4+a+cRtV
yzW2skC2yC8eXlq9r7FRt10J5QN+8n3JIqdEJILNYPvRKwS/hdNAlHZZbZyCt7Zhdj/JVLi+cPA1
YaJXz/Po7Ey37XIR+A0OHMAT4UuCtGw8Gx9ifSch+IcLcMut5ajqiF/9/iBqcxxpqCeDyX69sXVV
7dOmqDs9Je+a14DVvAKNJiMbGI1aUhsIOVhmk2SnhDI9L6SBw+dxqqhGn0cHFm+GlE9saZxMFjwj
ndutWdO3DRf0Dc6RgtNp2+Q62mjGXedgGIp2KfcQNhRUDp1Se1m32I2H1wEBDrwFvSaDJRbhHbqZ
+hpW0jbN/gB8vbnQb5Zp8K14Ff1WTI/8AivLERwC8OroUaK4D1qdCrFgN8Ay3l4MVAJoRDsDeJHF
DPE32v6H293PXMX2eLhTtjoSeDEEnv8GfrfT0gduSAFVvYbGGhgwWoF7AHbS7x/1BkDHbgpRfwTP
AmSF/2fbtf4HUNFljck4Usl/rZGwWfq+NJonyR2M99vqzpncJnWqNnNdn9gEU/Y9OP6+LT9DCBBq
YP1kZHsfCehwrPPo57agvlQE+LYWj3gDHcJYRcmWjw9Dhpp1vkfq/Kdx/vWBcAAzEO5ZHgFc3Iow
/tj5RtqQtCrkD2bpcFCIBif+GaVNEea+7+zfd5BssN1/aNCth8BuYfSBpyMioKPePHBp60R0qLX0
8D1iOOk30B5GiJXSw5IM2XyoNff23eTitd6pqdvieWwRGlAaKMF59IcW/bzS0SJcpTIU+UD1bNRS
+KUmxZqHgUvX2Dy0r5vKIa/DHl+mhiOuV9lcYQpkMq3YmXmMwwGpRSC3htQ6NhMKyRnc7A9UxT18
DQtCC+ruGm3wcewPTi7VGuM+WbpXPku/htnfd+LtNGLiNrM9BWMCi9cvxQ5w7poxWoL5Iodmi0yo
X4YZ1APtpndrkE3JH4pr/Lfn0RATuf23vTvn52WTLshGIBCbLt+PPQjUDMrWom4hRTHqoRL/E7RG
Q0D+BPIvbAz4w5JfwkEMUSmBNavGcbNlwUiSt9lImxb7AqV0tgPj9wO6xZcflikWBOgnFEiBKAVM
8S8FUtzql8p6Ch8Q9LINLVOl0viFWWyYP23BXx+FqUO9HhRlwE3/l1qXikdqnQQTp9dUZKZAR7CO
IqPw5fe9+i7F+KFjwArxKNSsQjF6hJDsLV0YhuBl0koOR+ujUA77CJWAMZRTCAts/8/gO3DoZT8I
YKt5oVBxirBipGIk6hqnNSQ4EPY2GsjPTZQAewjvFadC9CfI6sAJX/hSNWSBYywC5fRhMKhtg5qY
dZR0Zq/ayUdjGfYhG9QusxRQ2028wLDH7vNXPq+BmSOI71DSGP7W2wb+oxySmWlmFQEmUkOqccJF
I63Urg1qjan4nqCkAX5NFs1rWoEMPcNhwb6FsderRuNChG5UZIgQunE13NIAN0ewNZ36CPakCyoX
4gNIsdiUXuIBSlakj6+5jQY5it0eotYlCmY2w6hQJRF1VvOu2qEYRAtn1r8gD4NjUxbfE5lvSxXM
msP4ot7MdoinZgayhLtFw6K9zno8UqGyNTKFEGxFJcp2QVGG6gg8v63bpxhpbx5f2DrmiT7XLAw2
MGCAQzsq19d7WO7WITY72UwKsCsQmBQsQ1HLMet5uZVQdaEqDF5MQKP73OSoXbEXBsWqzHu65rPv
34Nv2Bgt5IAwgF76cQCJ8L7SQJsF3IUJ5AQHCeM6qUtFkHT+s+LqOWTwMSwueiHwC47ZBbAZ1++6
PK8bOCC7IQhxE0bgWMYSr2MAl77v+hVzu3NL5GGDCwMgE3OJ1IzQrFyTlbubJh/GAWrUtnYVbtN5
ZsGLwqY4HJPw/7F3JstxM2mWfSKkYR62GCKCwZkUKVIbGClKmAEHHO4Ynr5P6P+7KjPbrNNqXzuZ
SaRiABzu37333HZePn1YjBsZIpcNN9R4AmbTW8/kxVAxvRAXye3vtWhEDy/8m7Bj3a4Pfdn6hLv/
3mcx+L7sEyEBXh46f10a7Z/dYB/ArGJHDa0f/LuGVdFZrGTFEPAy7AYS+dIYOvrGIj6Ez6In6njo
Kq/wiI8Wy7O3VV6dbhUe3MrVzqkynf2qm1Z9YpIxPAWTbycgvMu7oJpbrO2unr7lXNQnt/CgO3D3
lZ/1JNq3wqzw5UYWsZ+wdeYjh11GSnbvXYfC/DE03I79IvwbsDQiDdyy5Ns1jelQB6ub1UOl7ve6
nc2MXfmcwXFyWq5Yv/tZCvVsW664nlyjuO60nDNPMoLG+1Kc9KAiUmhLiGG+HNH1RfVFMD5P21KQ
I3T7PvXyaDyDdekOcBZRgXvhufzqcOsTt+6Dw8KvvAo5j31O66CO+B7yrzFq2mOzWi1Q0agmIVub
w7Nwmc3HLSMaGRvOULws6x5+tEbvcZRX3bcltKvMtGfz7NIXUGFBNpwblzHdYZolpZh1kD8yPCQi
VM5O9GUh9XCesYT1pMHYVgdBwiGzZDc/Se0ycGApSOW2qrMjJyKFXreESR6AigjfKm1H2xUOBPVT
2m5tZYMSM8ecqiPhpx0v/BXOXtClRm5M5y7CjpC61lw/rtohloRWf+1J8A9JTmTgw6yluFkpDr6W
vnW5QnPvoqEWeoFApdZbM2j0FdNv41w1TmmnIasfyTmgDfEOAajk2CyM90WMy6/RMNaEjOP+Qexz
gNqbC+yD+y65cstWgI+xaL8gfLM069lXxYg73hLV3WYFLMQcqRINWNg5E0RsxXlaSZXaQtnXHvbi
mEnvq7dsP02V53euxe2jpZpTRotmFRfEKYPU2wYnc4O5vxPAPN43AGSH2kTepmNBNXggYF1WhQd+
VDnuB8r0EDt22x8HBgWxbXbz42r1zaMstxm4+jwXL2O5jW/TilU7Hle1Jrl1MefXvD4U15CZGzfe
Wu6Ju4bLQ2TLsk2gMNcfdUeqF5Gne+2HaoyF0BYdFW54JewJg/ZkwiisemhGIQmimnm/RnYABsnQ
ZybHa4ycSFVxQ16a6FhrNdHHZLCpSUP2Z4Dkazk++IsPTNYefT+Jqj04zdZQPuDTwduxlNOLPfSC
hNZqHWuh/Y/JyV8WzskvO2To8DgKlyzo2BW/Nj6QYzkHSmVsA7fneYq8PJ7cEcW2KfDLl1pf+VEj
jiP7UCsuAhm9RP0cfZK7dL7VUz580uCy/1Jc4KkOBvvWxVhwNHlSpOM6zs/sL40YVoi+MSbZ/NhN
kKBOS7wqgaPr3pUbnRM4TVmRSGWHzIO8xj8FCDOJkH19bDw1veDtcnj92j5bZg9dgqD5O3O58SHq
oaJZWxs9k+3erwtZE4ELWHI5BtNz0rvmfJ6Uuzz0Mp++YWZ3fzqNZnGwx434FHi1DO/kcm85s7pe
p2C5qiDM0M+iwv6Y+x3A0NHHYcnYA3KnMeU3eV5Oj6QMypeQ0cn7uIfzNx74xYmbLbjdLWPGw+RX
B9iF3g0KNxmGmQQiLP6td7jeyUTthTE8NIzgH4p1EGOCM8Q8TAs8bDErl54Yb99vpshV1xiVGqYD
3fCtcPaoY83uYGQHDShYNL9Ei929D3XhMJmfjC8jpwAAqA0p0SpKtgsCOUwDxUg7vGk8RwdzZtIz
2gIWiER+sxiieGDK0t4Z7ta/tvP0wc8UDHor61V27GBqFdR3a1Rjv/SEVZ2jQdg/lJGrJWlBON9i
9VEvla31eCTE7bhJVFrBtZsPU3gg0tZH564MRYqO68JvRu9OAZsSm6n3OdJx5+T93WCg919vxhjw
WfvmMl86bTRCj7VO0ESgMnb3zuoaj0EfVdSpQMUbsjIS0xNpGt1lSL5bed1VzVClxtR7mBDz3DKO
gZZyf9rIJavyeNl6mGk0roBxGj61YSmac8OZfGoT64KTSrxO5fqWaUl9gflaxbcl2OkLGUzoutj1
citdLLaIUP88f371Kk5/E+vIJGYAArFZ9NiKTnr2STnbq9nX33Zny4krbOtoRupss9iZV6GLInAc
262f0lJLTz3/xT4Cl9WSwJkIHJMkMlwCQ5WDaya2yds9/oUuWjho1on5h1q0RPVKYHFijn/776ii
2p6rhFap5jwb2yrr+3Yz/Gh3+Ph7c+1S5jRdc3FpCdvr7ufZrcM53Xxo2DYDdjlwP4TIm4mC2dNl
rkWc94ZwXu0TKmPMm+zzSnLP6TaEn0DVzamvXG/ICoTC26ZiTJr+E2LchzlOSMqvJ+uqKSaBHKm8
YCN/hfrtz/+GFA+o4mAUd8GJA3yZvnTE1sSZBDGxYcgtJ6NexVZ2whauNIYEbR4r2hIHpf+0Ge5A
em1UBMTbhJV05h8MIETX6ieLEHCcrBQtkGlSTiu0oi6wgjITgLw879YytK9eEHO7/FSP8HEKrX/s
e1m8FKQSi0h4F+Dc0j0veDuyPMyno8nDw2SR8Cfkr2C/bje7vZucSoEdmKJEAHUQcYBNU8Rd53XP
U9/66TT5W6zCymV91XP3cy7y/RAMLTJesRJbaXiuJNYqL31HPGzch0iWznOAgWhKK82sh+uBCwYU
drV8WYNoHgUgqDCTQVDcyKEfnhXM9CJTa6FzCn66Ioip2omuuqEeU7sf2wPsAY9TqGll0VwO103u
Gbd2s7rXtkC0BIaOeB1xLKKdKKe1kwjwcV9pKorJp7RdakZ6lJmw/OEO/+CCdXFaCK/KxVyhNhV1
4vpSiziywBMkA4ZIdSV93ly2MeR+3sGEfuXo3uOxRl9LJ27KBURSM93xlOfhX/lNm1Y1+wteQv7E
U6c6KCouEtWL8rWuCusHk7f1gGknOg5m1B0CEdQPRm1Oie788s3su5e2xglWcHA7BHZev1OlNQ+x
5wxkEM18Oivbydc4n9YaND3D0XMubN50YTLhrladcNh17muOJWe9WNXPpnSCH01eWG+N5Sw3GuU2
9cQ4XDmMjF8ZvttknKOdAiunNsdbP88d9q0sjpeL0P3pNpfD8EbTDU/t1Zafg6ZyIWv9CiGUYfIA
TNrrqyGRE9QhtKZ9YFhINthKyAWaRGSNqvZuiT3an2VZzg2ABl4DEIWAoFfD700Yf3FNlJug1MdX
dpDO9Dm0E3utpjh3Ypi/C05tZdIIxzF/8OAlFBjRZKNPxtz46Sxq41SNnv1y8Q1A59eNioFeinvP
W+tPYpyCxwMnz8OgctxQQ+45N0h3E3U1mEriqWBLc7NKJT4be16rRDJm1PC7W2gg88a9wk3JOU0J
pphfGtVKxyhyOutrTXHPCKCdhysQjdPFNvrLxUKaH7qgnK9duow4y7IdmdM2H4GjGGOH59ckL/46
y7Z9D4Rek0Y6Mm1NYzTv1BJYz6hrYYQriD1c7M9L2R4XNlVnVr9+ydYRfAdbuYitJy4OoAkOzURG
ovKLE2/rTE9kk9AkDHCkcBElQNPJRTf6UGgfKaVryOmxSZuyyzFWJ/k2VuSOPafP97de0rdxbw/W
IlNOFSSdIW34wy6SyVJFux0N0wZwde+DKwjjxhor56PFNmoAJDHCtc4PCGbNat425eAPUcJpe3WJ
Wu4lZIok4IFLJLxEvyJLrXBzu1va6y3vmustzG3HTKTiACYeWmj/PkVa2LwjdZiUGKu3omjcoUgX
bhVkFNI4Tj/Feh2JMx8K9mr9lQK40P2Wo1y1lxEcrjpqjUa0tufctNFejmC0qrknk+5SffFQK9Hw
PbjAUCvYA2A2FtSbdeLt/+qMKDD5HGVNnxJw9NV781CZyue/hrWGuAgOcxtdRqO2la/imn7Yi3SP
X+Cig3Af7sEXYUtz9Y/4qnfut9GSUfWuBNSFMu5DBl0GJ9u8XnweESzH86sCBjuGNzMbyvXOrCOg
BokqpBqb4466xbfFI68e6k8nVD2geA/Q0NZfO4q3RynJgMtCJpheKFx4dmZPVH7mY1StnLOp1LgN
+JCqmT0OZ4diPAgRQlzApjekDS6kWxszF1t3EbFibhG1WKBwjuBrum0TTGE1k9QqwVKl2sXNih4o
YZuJBcdNxOygH8Kbna1fmOVG6+eoYDqPiNpa7hgRT952x4VEMnWvIlTti4G7Zo7tgfAZeEXunQy3
Sfdl9g27LNzvwCeywZdRmeoJn8oa7/aI+Lj7avvjsj9HVaEfPNyxJ+bA1c1g5k7S2L66ra1t6zLh
dJi1dIQQLIz2uY7WJbgC6b8HsdOLzY3Xfmn64zSbuBjXUMA6wkLdfIndBMKWTy5URp/nqILusW9P
sjKWlQ2C0WbsQDkh5rXwvOPku3OX5l24fhp7vm501xWQZZ7Cpmq8dKn6/ucE54UaoVpzNOh3Q3Ma
AS5VZmwnJkl9htfor8JYLxMXdtR2n+xNWRzIaencOHTKCjHn2BcyTm66A1ilzZQnSw7Be6uh/Mkk
yO1iSBgoVh4n1ADKcBf6pkpt01PzG9YHbBPxJHDZJXg6Rs0GybLxFTHcuis4eXexO7IPv10R3NaY
9pcgCxq/PQPDILaN8ZpwBd460WHdsDcl07D3YHIFxlxCMNn4YgJqLWICwuNpFO1YJ4qB2eeOYYFr
I48elWEOl5oQcfAtsT5sfNmpG+VhlNV4K34ZmJcYHtaiuDFYhuUPDpdL+RjU3XTZdTl2dWIH4wMR
DbzqkyXS2Y6OduungeKOW2ySxVcxWXzy4bKv2NUASMX0i1RrLCpzeQlXTz0sEzyXO0GMDXU4oCph
4ZomrNB40ZPF+DBIoxp6jcXQAioJ3pjvi+OSI/Qa6Z5oHqqxJ07eMxWVw2GmfuLNn6QVRwE+xHJq
dxz6ct9iIkfbHZlKG3iTkppQV9tjkI8qHekrkDO402S/Ywct8gVQEPD7izWC03BCYBr4EwoROis5
4kqmhXY0S69B3oEGDciXKnYKObIp6Dd56yihbgrbAt5teoUIDhghxLdlDWZcx3PPu8QNEPxwp5Iq
yY4N+P1oXHa8MnTDPmZPvVV/+C/YUcgVl7TlEGBnLKSXh71jAhDvvhAAZjQGu9Qxuwo208rPFB52
OmwjHQ1wjvi9gGTL7FyuyTJ723vAaqFhe/STSNtRh08SfKHiv/O8kQNBxRSos4dbB378NbCcJsAm
lG9dPFl5dG0Ypf25tVVzXmmjecCrV8MfCu0PUjGqR2cIoi2pPFkDWaOXZ0vVAgsgbqdwzjNVVmHL
+guH4Lq27A38ib94r0ZeivWOyRVkC4wc3QYQuLPeaU0soIFhxLgbcJiYWQCUkkNBZJNqGHPT6zJY
kuU3CAnTkvDcZFfH/jwtnWn8w83x7xcHSghzlyG/owvGeRtxWcCNVy2MiG54m+YBqmMF4Q1GLHQ1
+JJc8u30XhgLJZuNXI3EYOdxOyniPZK5y4++UMbVVHNTp1PVBPcz4Kzz7I1kPagMumEuEJyM3Axf
mRhXAZdB4X8Ke3ey1TXlk542GwzCMANk0HAK2K3RhepFPSOeQMrwJJ2y99M9Mtg40TqyHntqJtsn
0rJVOjHcSicudTcZHQ/6DbW81/02lHgDF+utzLf1LQKGHwupTKKTXpN1IP1+Yys2U9dz55eQ7f7R
cuGgDjjQ30x+xIuNlQ8Oy/8bmZvwdkXkPwo9X8hx6gOD8vwglAk1hvoH0+I+2OlxoVGHq8HtjjwP
JvC0oXTSMMCcwk/fLKM9fa8ZdqThykFlpBSY9h7axl6NsHWf69Jxu8Rlqk8JTW8hheG0bBzn56aY
/k9ZI5gHTZ88oJpOp2jgpJjeONEOnXiaXDm43v1clyOrvAzDizdpGsk/YxJYYWONaA0IjsO9u2Gl
2Y4LVFaEBSBX61xemars6v0KI/c2v+TVung/PQqFmlM9hN3sJrk7mbORhtpzl4nFq8HNgqaFP6KO
rMo3U4x31s62MTS3KoEJM5nrFcwdppgx/Ffv4Lr9Ev7w+35mURlF064t65hXwlVgn4dPITU2vwCS
NVLUqrEjs43HVbWRheamwcbuelhBSzH8MqnVovQUQROjXibFsjUlimVVNLiFRJFfTORcgyMySFEX
uzk+aoc2o+pQOas/Ta9DuFDJlCLEhpz7iAxBUb2r60HSE0o9UOhbmSkcJcdP1eza2mJ+i6i2ZBlc
tmTxLkpWhlNOTLKOEibWl3fi+oUZtceyWHUwfle0htoAZPKw4e/wwgf+em3MkgPzdb3JvPXh40Uh
6MX/IM/9a0AE8Y8ANQ0o7DFRpcFm/5s43pucOepVRD/NmhTJ36q37Tce8tPkdAVuzyW8VKeZnTvZ
FHFOLSbNuEVHkcns9GvwUv8Ruv7/r+tf1V5eFhx9n7gqqHDEQ7Sif1V7K28jmlRUwVcziIvQ0v1l
/IDs2HIhGgNy2X8QKv9Vk7/8j8S4+TQu2WEk3wsq4J9tCQwNw9kkL/Gr++t/1H+5ahyvn5DmJaA0
hQlOm6tB5KOqESv/+ir+l+bwHwCzAGBdvv7/ir38PzyHb7/WD/nP/Ie/f+JvkkPk/APPDmlQ+jz5
Frmt/xswa/r/YK9ESjUE6EASisvo/9ax+//gyuevCEUT/aVq8r8Qs7b3j/BCfsClQ6kNsrz/P6E5
QLm1/1XZJ7jpuTYlcjZ1ASw79sUO9E92H1ZBA4DRYOIZYzHXhssWr91+/lnQmTqPWWlYMl67C8Z7
CW+lFPrN1/X4LAZsYuYkz/QRlrhLg/32z1K/4UnMj3oApo1v0vhQQUDEwR9MaKlhDmuGTs1CPvQB
Rr5H16XUuIup27OCK/SK0L6LKCscXpjmUKlGods+AF9tZiFuQzGZMMAgo0OsipuIWZdLDLap3cO+
FybnT7EQaXkhjDNDUkIRbS0IhKuPyGLTGpcFpenKQ9mCHjrPblExmgRFHZoXd8EG57/ikWGdg2Gz
X92NrV0T74NFnTokyjWEJUQh4pWimIb6aIqAg/obLcKGohwTKQvJefCGj5r+36/Cry/wbluucsyY
K5vAsUIZYO/mGUqv9sxLkAiBA5sudFGZKD8qr/OaIQnbtgB2BsTzWuNwqikjoDXp1BUUXFHWDhm+
JdlxqjmdZIsZeu8bT7AYHlR5qiRtaC0jnXhVNbbyfjjV9vKKBuoc63mBZ0Z0+dQsRQlDvyvK7wwx
gcJvgImCcL3FxkV9olLfZdFRxt5eNnxrSVeojtB/C//nvOYLbtrlHVekTDj/kKB12Ho2ryvkexRN
qz6jg3wW1TBlkMQUCEBF78RudEfFR2qAoI29QCxH1qvgEFJFjzHjSe/VK0Pi30Nbzde7HAg3NMXd
Xo40Qqr5fejkGaBuf2rIbwNVpI17RzWTm/CvhSDShyH1AfliiBu7eRWMZlMki4FRrP7lV71/2/lQ
0pdo8GPJ8hhHShGYc/IUe3VzdLVLefGu722czCQJ2B4VSM2Ju+jyhmPLdBvOi53BQjVxZ5OI6dfd
i3kelgnD7PCzUrY+dppTUFiOK8LmtmVi9Iyn4nKe7eviV06R9z0lys/eXK3kMLYWuDFIT0L61alv
fB8XHX3acMV4pvWeOsy0Il2xLpSHabKjAx5+N/FKIyLbs/wavKYj78RwIGftiJuCEAXF7tXn4LhD
or2+y4qCLTMiiUyHweli2c9b4tF2GXumbjPLAJgW2us3y+vx/LbNK7j6q33vccNLAeBgNr57G93t
DjaMczl6uGmFW/3GwDr9UHuQ1NYc183iNrHUI/5ibGBshRnuUU07c8crTk+p4+7G72H2EaY0PBlY
bcCIinSq9b5d9CPjZDemetosvQTPrduIBx/5oGenj8NZUChxcIaKoQUEO5lYiCffkOznZDatvThW
SMDnXhVTl2wOoY+UC6vZ43yZYYRC1DBzrR+IvFqJ1lwWRaRbytzXdftCnTTNrAjc7azmqj/Z87It
0XHm0gJQQzaIaTOvlvy3XObf5CYBlAGi45S8KlXS9ykj7rUlGveYvKBY7uzQk++SLSRQPdyr+8HS
nXld9lFH+CkUSUmb7NFEMo3HZsFGWDN2wj/6UeMVQUYojAz1jGOk2FGsxehk0C8uRTt5Fdvh/raS
THsNKg5MbW18cEt9t5k4xZQ3Dlk3zigxo0tTDqPiqbXr695gDC5Dhvq2qF47Ti4E74RX3drTpq2Y
wnEnJShuPYxd/jIyYSYISFvQjYD2eLai+cBhXN9oVYknzhvGc+PK4MPuvCotmmjEThJRxU4hJbcx
vhWbuqoeaggdEoyntyFjGsohme3wXSvR0vg9/WEwzO04Xe7ahvT0Y7dr55CPdLEaY1seg1Y/tKVb
UVgrT4sFI5LIDbiTMdzDeMv9/hHL4ztdLN4JIED0c7LlI7aOcok5PjJkCuc3n5MAaGnTyGxHX0GR
DLFHUTyN31vMv/PBxQRizMb1przyEGplpT2m50wMaxVvRVgQcbNYD8LtDhBxc78bpr7dqqiO+00F
aUVFHPPOmlsrsFVGLUJxLCNmMriTwgS6MWBvazpuRjGxBs+3kWLVQqEDgWgTMTLJil7R/MGRgVlF
XFjLk8IygktkYJLmIibz3qLTuK5H0mTRFfNGCkGtFTanH3U/IcHpzDQuzGvLAFormzGt6eBAGQlt
+S2q6ih1wmZLR7eNUjmPV5ERcVqDj72OwQtnUvCT0aIOphQ06GwRfcUuUOeyX8G7qm49G834pZv9
tp1zRZAaxWhfGAyQwOvv4VWZNyRPhqw3t/qwVDNwY3BqJ8MLSMYJGk8451Q0sTYYMELes2rqNkYF
ZL0bfYQuc2OgGlgMfecfNimHa4BNOYHynmSVs2yx2GrrhmtAHmXllsnSNL+V30aHVew/Ck5UzIwi
1rJ68/LbfLByG7weSz9C0ieTgiXBBjU9QKzMk1Jb8m4hr8vDHViLbxbvg+X9FtH4y52r9tB6bBj0
6n7vUG2TrpHjaxvyq/bJnZAO1/k3Wj7ndFk3nJ7xiwVyKR+wdtePkT1ARA/t/YbkDB9D0PxQXW6m
LKa4PIZKfw+3gQfG7EAGBnZMlauiDTlkXfer9tPuOf939jZcKbcjm6cD7Akgrw6ypu6U/PiSkRpz
E+1sn5IzeqxxtMdLxGtYGJZnZjSGr9KEx904kpRqD1zRB8OuEGqXRvDy9dzU79z2zXwL7yr8NgYe
P+tguZgUah1o9sRoo+JRyXZ58DBTvwe1/+z5PlJSW9xd4hcnh8I7J1nLGki9zPmgy6p0XyKvWRLS
nhNR9TBz9xzPFgACBjVKLxsWPqY3la+JmRaD/eX1a++lG99zbAtruNfWPp/MfQ1OweqFP5YGtr8y
15+Ymef73XSMOtO61KdazM49kH8NFBz5mZVVzBqv/5ZEto4uiQBs0MLsnkbOY08Ls1YTXUQbbDFs
Om09V7a/5eSEjI9lXfCd4mcZmLpO/lEIy+OW6f2ZTIWMdpWg0vnpVjjPHICRPqAs47Kt3yREr8++
GM/tUuZ7Wg8lcP3C+YKji6xJF/ZPq6iNLiHQHl26fNV6JZYBFalqylrRor2tP006jlMxKPnMfHe8
oss6uNWl0R6j3n/Y/f46H4I5SDGXDuuJ0qCay9nXwVdeBF1S2jK4j2av+u4xE7m1SE2kxDLbjLJu
ZpEE/ZhBYWXIBsDWT5PjThWCtinv1gbHSGzmgxcHs1BFujN961K9yu2+D6v2SEaPLHuwzAcLD3qG
i18e58k3jrVX5x3mm7b6zmrWfOcRp97aZTWfm3rOT2YdVFemt7DjzUf/PAI9rAGioD7hTV/a18Ku
6u2akO2lQaKczpFhc0OU5tJkomqjsz1OOqHwy2ri1e1F6uuCxKkpp8d5X+fvZrgTjxaohaEcouuh
rud7t8BfBKlsarj/hpqo1EjmvPOgtLK72l+p8URx5vggl2+FxQqL58zFqLdHwvFjGK6bzqqa+4Ge
W5egCPVq/gv4pN1/KxoK4lMgsjxZcX9H3IgT+PRt8teCWgTXvyPTXL7rgIp6Nivqud17WrEYphq3
bb9W73nn9YcpDzGTdPvaXqFLmWlN8TRSidsYYSy7pftu5mv+qPmn9GOzvE5d9Lx07I3pq1GffdeD
sysDyg3mvaCGly1p2+txjmfKR79Z5QK92gzsIwzO5ob5zXjYuplJcDG2iTD2VsbeJLzDYvXLY+si
36fenuNt1VWT6dpSN12/q9hFCzwpBIAHWzBQewqDehruMaSvXhoxKB79JsEwb7NZoAA52mSIyGbb
Qn6x3axCxSw0GBf3eZgLerpYxrYhDJBF6qjsonipN40tAeNMQumWlbWw46bUgeQei5WSb7ZOvnOa
S9/7bodVp9J9YRh+AsEnrM/ID/OUjtW8uKk0MZmYS3iqM5uSLUqVlBb0KgRUH5R4Sm/0bIiTkpH1
hNmLs4A1GscdU0yqwdafGf6LKzIQdapmp7oRtVfhsVbB724a3J9/SVZTNc20DHTim4RBXr1bFk64
zo2W25n7MQ7lvnupz2jx1xCK4uSrji24NYNfHwGCve6MjrLKZ3XOyF42B2nL/cNkY329IIrTodLe
DYEwjwO/9vxHChO0lryVq9s9LSQuz7sA82d3rkghiDroUDCwMhIlM2FRlDETYskR4IGVTFMNZR9H
Eo1WQL8lu8iMZsYo2XurzgqedWzOKeJe7WnOVBtcGaLXKUZQDWK3ig4TVuUPz13dU9fgHsobViYa
kcM4AMh7rAoHT8TghTdO1fmXUXe5kJ029LG1XTxQZYTEN91rXkn8R3sTtr2dgPuPbKUwC0JlC9fY
itwl47pBoYxWLxu3hvMNFyVxy7oqswUxK4voEuU0YjQ/JHv6eIiC7mRUuUOujidJv/h9iIl3lgkl
vBs2Wdr94HV0ALYC4/6PpocMe1Jr096uDf0KXtE7AIQvCl+7leUvBBDYFDlEACK1GOMGg3tXsvAr
UOFbi0kSPjDWrWbWPHSW7bGczehOr0WDCbvyT41feZnd4uMwaSc4V6b1EIbEaKWUK8A3UXzIoK9J
Tl40fmGN4V1jjKSdO7PJrDZ3sUdEznuBAzl2FrJoSVeV3TvayPuIdy4udXh0PRJrNBLoL/LA8hRS
73qFn7zl86P/N9Ye6svaF22yNQ7Th6DwU39vP5CZygtYDytOv76JkENEEabbPn71dfv2R6lsbWUO
mZr7hnoTx8nwQNnEK6P8XFfS+0DAyMG8mH7CntkyE6Nf6xbYOs+8wl3Hm8GvL0BmGRyp4AowebnV
TYt6/8D8AQMoQiMxXy1MfSdn9tsUrmGzvIx/1lCKq2gcW1Dmej8BnzZ/LT1HtHqu9alzZ8KUxmg/
1nPAREBMP+dync9BV5F/CcF8EpFI0bDFVSh87F+20ZztoNOPfzTVoho/Oa+xFdt6BCR3r7sriObw
YQott+96zvGC6+XWQTx/ZSv1rTJgIgTTHFyXvrMk47qzcRzKq3zZRxljNZjwLqgfkTXeLtbmxGVt
v5JHxV6hXfcgfFyyC1Pd75SkdbFzCQajduvEVrn3jUCZF3t7Y6O0lDfAv95R+eRpk+Xz5Fu/mQWz
/8N9F/eF6MkB2u9OacHZ0r37JckJp2YxOakwutcVhtNvIXAYHAriWnPM1IPNN3oug32/ewq3Gc1p
KGoLn0yY/9BA/TA5aD0xoNiWJ+IFALrbMM8ZO4H+OGBN3yo2/53FGWf1IKM50VPPgjXHwvEGn7eX
Bxj/J2AP3Ald5pvNdEakjxeEhJWjTp7yVYngtqk9ca99l4211RhDbO9NZSFpwHzPNHlbmSk6gO5s
UrNX/IG/avrwN2CKJ7ceWDzCqjxHwmzOm8fDFe/Sz7wRajw2CEXZ6sOdD9CJMUGsZ/KwuA5N6xXk
f5+01oznxL7MAi8tJVukmNfD27rcE+zyKss72h474b8EcPyYekGsUadAjz+KcD+vXPBJSxADx59x
i0jIXqf1RuBVwVlYej78t06ODWCNx8iUSc9Wn3Lx1UbwGW+mQj9iOv1CPeWKRxDLorX/P+ydx5bc
yJZl/6XnyAUN2KAnDrh2Dy0YnGB5kAxoDYP6+tqIzK4kg1lk5xvXJJ8MhwNuMHHvOfvc1maF0zSf
HESh2Br+7qI7c65cD7r5HGtme+wCpfKHxsbITSLtNlKrcB2XubYbEw5njSXbfUG2J5ULdGFqan39
u9OeBEPsReX0OQ3pS+hwTsCNNPEq6YzXwOq1+8El0sIep6EhKIQGvNU6/T1zH6HTtkV3Va3loakp
RuGA97QAQg9NVoU6Cxb3daNiIBd2cTa7rPUCNB0oDTB6y7UTaosoVo3SQ836qIm53KTxVF0gbpcv
RLoauZ8q8/yFYKJg9LQpVS4L1ueazGRll7DgNStcmePOxWl5clKOSI5wk8gf4/DQkISwRq85vbLP
4tUKq/wSJ5p7/S4CmLtIflFi++1PIYAgluBQU4a+JWYq8KwYw7X3txhApx8+XzUEWIHn/1sMIDoS
E+ZZ2Js/FQF2ik6h0uOiAfmO/CWugHebaqBcQZSw+j+1AXHQP0yh9fi3PCCsp27HezCt3zUCg3Cf
BtKOYMIV+n2IJcBDD3ntam1wyYnN8ZI8cJHvLqKBjEO6chx0NjWnd+VA3fWogk3RjZt3+UCTxLY8
mAXzD6owuPPbn5QEKTCvVcHhhu3dQFaN59hl89SQD3REQOr2q6h0BGZaDOPbqUoCJPqJ9mKXI04n
ckxV8FkYgpHoy/lZpl32P2gPHEYPCSfV0G1xf8enuQIi7rNgAdZpZMiOaRrAxOtd3rHMLzshZpmX
70QJqUy6XYV1Y/W9MiFUst4D3zbeW7LqKD4RWGCTIEFMU6Ur4inT2/CrFdFT9IswCEefmtp0N9Gh
h/HFi/aXTMFpOXiPOkv0B60CLQIcmWzrZ4jFhwreETpIOWyJNKhvEZzqzwk4BCITTCbsubG0mxbu
DuaFv9UMzGXlTYaO5/lPRQPWSwnbQ7jnZlK657RS1Cs1H6atjmNNcHhtjVuUhs7dP2odOhy397pu
UAwddclbWhZMq6vccguyPFtCIH6WPBiNIFGDCj86tp8kD02Vo+7tmjDxx7S9mcPWJBULnfTaoAz1
oM5OeEjI6vNIG5/e3uUQ9HzZqM02yMp3TUQkkFbRt43pxdpLhJLCqhvi+2CxJ7aAww4WITwKaOkG
cP2URo9NMDr7flC7ddXa6anCgtOys9fUUzmXwyP8nW5c2SPOwYgwHA/j/rsOTbmt0rq6sqbB3eWR
Rj+6nwlgaVWTLLIU6YrSDN35XWBB9RaBKFiHB5X93akp64FoMXb/lDMdqjRKdDdFCcrXRWox0svw
wqrNz0iRvii9pq2ZnALCAyzoQYvuQvS8GkaiR+u4NvYQON2bYrTH/QBj62ArDiANO8h8s+PUIdkx
etSbm0MbCXl+l2OArHwt3FFb98GkbhJ3ugB4jjyd0DsMSQllRS3IqZU105MSG1gPCdVCqY1cQ0GC
s41gH3rfaTbKtJhwGrnIibBk+kt7FgdJyV5WnZuXODMnj6PCvCMl155ZyFp54zoldWBNkIr1nZRj
ilhsEkysKfWsPj2Ra+APFu2bvzUdZBTPK1HOV1Y689+rAQlK5A4OQGNWep8+iVb/ZIRM1pZSrGPT
mH0qJRdRkP2AQAN51BCF/rv0g5SHcqNrqbkbkGyYYXI3uxVHBdPC5SnVmXCS+ZrQbvJLk/q5auvk
xg4lFhPYTXXdbfvZ7D//t0rEUDV1o87skH+UiuQiqW8HWd9Ch85wL5YuS7u2HASjTLl2DWRBaDuj
PWEGOrG4yldTceQZIR1eBOZ/dJiLlARK96dusIjxy8dTX1Xjvsnq5/de7P+2rX/TtkZJaIIH/J/b
1mescpcvkWy/QUD8vn3911/+vyAC8YfQUYjAnrYMJgfxd/vaWTrbNq1omhw2ahUD8cZf7WtT/8OF
wIBWwbFUTNVLZ5tt/hJGYGp/IJhAdft3ssG/SEj9UYhBE5wroNU0LI1/z7dbetvf9a6FMdkK03vF
OSt7i8pQbBVsvqvYRf//3dO5+dMQ/n1syD9dSVfhM6i4K3TCD368UlaYhTmPGlfSmYgI6ftcLcnc
QxBJ799fiWsIVB705BEo/nilsFOAPVRpteuGFJ+uVK/bnjAqmwLYv74QVBHdBD6BYYRr/Xih3sk0
UTZzxQEnfUuz9C1Q4reEf/1PLsNmUiOaArX1hydHkgA+TchrTDKDWAuYduDsbZC5Y/wfPDrGKoIh
HIOOC7H8xzsKqRKbJarWXR/keAc4VK2CkhDyBmLqr29q+aTvqAHLwCOQW1+EHTCQEWP8eCWnz12l
E+RqRwNGOgTQd1M4PmnK9FT1KEB/fbFFTvTTxRAcLUhzUmE+AsAVhHO8myUh3lgQfKfNmx351bAz
lfiiuqSExmazgHrh4/76wv8w6AkIMCxiiWC/Q9L68S6Rx0o9i4pqh9IfE1BDHpYlFFrGCf/u15da
HthP92g5OkYu6vO81T9eapaJJFI8r3aKrJtdLisk5boa3P/6Kv94Q99dZdGbfTdfICJkNZIZV6GG
ddSb8anPh+JQNP/Zo/vuSh8e3ZDmUdkXXAl82sTRLrnMC3f5/+P1Un++KcrZkCuEcOCWAdz68aZK
StPYqKt8V/U6CYRqrywuvI5UeDOf1iJQSx9SGnhn0EI7FTe6T/6RWBu1WRwWXjcVo9IZ1+4Ykvle
FsMXJ4pzEp0DY4/dQsMplb5NnBX34az1Zyoi2MwqduvgAjAVldWCVY6CfK2mNLUlKwa1tzq/nRqh
P6eOXu6tIKHEkfeTP+SjtQuItVuVUyG2Q8J4ToF9hl474RJZpQWZVn0dmvuuQ8csU4oSHc3I+05J
zAMZfsMXBN9iqyEtOJB8y1USszwObtsnXuRwdllPZqa+JilF3Ljl+yi6IIYeBK2f9l21Ifi2ug71
ufQ78Ec2bbcgQBgjyVIDCtGJrR001aamjk9dQbo+RkzFAweUg2Rm4soTp6NrVFBOcJhcojAu1rbN
EoAbQtt0qDk7j34YTnOSILZJM5dHUmhK0iqJinJFrngO7M9nMB7WcQy1hMJGmT3ZQwqjuDWql9rO
9eeAe8fkN2jVS5WbcuY79dAPIqcSnWcYkL+INzaVeAV1KntqqR0cXaXNbxUl7j4HPJpjlNQVbqDk
TdX4TWVi68+5G7+N7RDcd/Zc7tFE8u3btjxOGZ3ZTZOpyHwtgfz9hgPteIfX0twzo4OH7vN421Py
WLENIAyaMmRxoKTsGnhEwvgqNCpxnUBefLMVoV1pZcJDlJkFE56ziIuCimGftaF5wMXhniI0OfDG
eAiBjBIaavT54IyHD/TFuaWQUOTP2N5YYqEP+4EVUUvKAJnPHqmPdgY0U1cr+mN9JXwyonuk0JVC
CJHWt65XwNvhGE41+4S/fX52gSg8jEWav+nILg7c47QuOmZOpHWI0RJNPJW6rT0gTGL8WI1KkaQx
LVysIor6ciPHXJxw6RvoJHR+gi7AnsCpsCJQTaGl5EFgEU9t3fDameqseL3JEodNx91SuUDYYWUD
BkN4wGG/RcOZXMSgKxtR8B7ZTok8PUacsm0BVd4NRHJ9mps53XL87UiQVBo9hvxkWPOSCp4CPW/D
gZRtTIqvdLzar/rMu2Ui19f8bLDax54G4EuYmNbRmTLmUIDe5D9LxTjY6qLOh0KoeJj3zAPH9fRz
DWv2MAZhsW5GFMZpk7zRShSnQLONA19E22gh5yVlauvBj3BBXqECGdcYzgQ2S34habD0SYOfN3JB
2ALVDe5pq8nUR+IffYM6Yi0CJ7zKdmTPJyy/n6p26rdGXuZYBZGHUFF2iwPWgbc2oBtUKx1eM42O
aRN+62Tj+FGLZKrWd13Zv0p4ubjt4MTIAO0XS6FzG0leSq3ga0Ht6s89kAEaLLznJhYE2tBO+uwS
CXxUxbjJZ4fiwzxWnZfTjOY0hiN0ZXQZg5pZcbyBJIHxDQ/OtcGmclOTPbNOZQa5uK+g0bcJXPaG
2S0fun6rLesu7XfX1/PkQuyUe+0OiXXJxta9NfpOu4I0oz0k4FUOo2REpUyon2Etk5SVTaXfF9y+
1cL6WuVuLa67Qg5fWqXBYBm2zDmRmbq3mk0jB1n4hZan6zcN84cdKc4tThqa7E0DpN8B9Ley6N/f
BmXanLRBMpO977SkaOptptKCS6aESQyckW8PXLopS8j/rQtNX9OGL5FV7KuCdPUQ3wUjGDZxE2fX
RtWVm2gwSONu8+qaogv76lIvjxlkDWbyOqKdkWumlzo8nTgQg49NVFu/z7pDFL90KVH26sBs1S9j
xFJn7SoNuvgqscZw01MaYI5jJ7FSlM66SkJrQ10EeBg5OvT3Z2bErsTlMdvlYzzyhGYnKHxi2KH8
Ke3gSX7hZJWpTbMLWQ0eepTynose/xDMMr9tJXOPEjJ7gG5dFylKML8XpdwYiUU0AuysK/QD6ivo
1I4utsV+tJTXLhbbHXWofgujVWzRSyrnromvDTCYn5Qkaa+nMerOQTI/x6oxPCO+QZ85EZRszmTd
zAAz1uRU5tfYzIObLH1xSJH0Y4PYd2pjiETiR97np6ZXw53u0r5CuFgjazMqXAwtduhyCrdM7q+K
VcqV7rDooXYx9wqE7qe6YOZtCmYcNXe1B7pXVenN/KTVn5OsbbbVBjOetuHsNaxSewSK7ZpIUpD0
y12ODrjZFpFYkc5SQSVtRYJqM8uYzBIOeTVDJCE4WsO2uSdpQhUEpzsIFdMmJ5a3J98Srw4tRFxP
NYVAi6ybfAXB5LHNyaKGhJkfUDiolVe6sj4YWSt9qeUY2H0iBkrHPk6DPuYzi0/WMP8RBg9lTx/i
wVfTJFK2JtiF6DAAeOpJUs0Jnj2YvUQ7F2BsBUfPXryR9gpNkPMG7zqil9in+bfKolSmxaGzH12n
0hadU9Oyu7HUdY3nlMag66DWhRvbdTeF7SCQSlANSI9gkGTdVVFj+rMh6bky97Sf3VQlpbkcs/sh
MXA7YEoP2SFMgRnDip76Q5EhEqIN8Wq6ErAtCffKhM7StJQI8wXvFxNHf2tZiXLWiDxKfHxtI2u1
Pm15T3VjVSYtCprM7XZ6LTusw8ElxXKI5UlP1zrFFL90au1TDsDuSrJGI1ANoUwUpg4+W2TGfMXr
Gn4JM0eTuH1bZZU59IqTTFH28Wip7sYJc+Y302b6RlMhPU5LJnnn2J0wp3DDu1QOQIRdKmvbX2+w
PyTPcQoXrJ0uW3i8ETra+Q87bFrqoSlbNdvVLKA09Yf+3IWS2hlYC2Y5tpZXk6Hgb9Fn9hWpaMoj
L7x17HBzxNTOfndQ+9E48df3oUKgOVQoOOx+PKiFesg7wPdpcu0Jc9OxWZrjgxNfikzegTzWNr9+
Aj+dDAVFMY6GpkkCA3WOD96Q1uytPByqbNfXbMKKALWxVrAcFwVcBHgo5e+CuX7a/i8XdCwMBIAb
DfxIP27/i4YNjgnggAmlHkAxIin045a8KD9p8gu8CrAUbcR+kMTsm/dlZyhnzQasMmgb+peKB+Hb
upRz3W/HlnX918/D+KfvZ2m6YeF/UKkkfTieVGNcUmCV6S7Kc/NA8T1/K42ad2roKCsTl4y4fg0v
mRcpQlx81ZPMsTDOq2tq1mQ7cRNsZYqDq9d0xMF4rYhIpveeIek8mnosTkVDdyrFmLzu+jquVh3N
XBLGmZWNkYPr2nQW5zU+iwvpajOYAP6xJaPXuSVjnQUYM132pMZx8vl9VSwKvEzeQB/4dxDFj7DP
5e3QLHaUoN5si9TED4MjJMwtYfVKdx0OgRV5HeWqG0EPDIb5qY4dZaewbVzRYdM3YHhhqjbd4dc/
x0/nbPo9tquTfMdPwjD98A06tFvA57V4Jzhvby0lLI8V8uXfTAM/VSy4CoUKvGYA8Ry6uD+OSRnL
HvVuGe9sk80zFWbFKyq782odbT8d5dJYTWB2riJMHJ9+fYP6B6Aqz5gtCuh4WjlE55kfj8OABWDJ
oePbme0AOyfDCX9SgkB8ziVbY/wF1nQtFEs8Feb0BLm7flMqa1Fh9lZIUGaBuZf5llT3GvA5eh2c
JxskXg0KwlAgyyrar3VA9OleCWjS/Flx+d969W/q1aj1XOO7H/onm9WplPhXLsXl+1r1X3/1V63a
df8AbIhlBFMmP7tlU3MZvrXd//0/ijD/oJrqUumkPmgs8bj/Xas2jD9AgOrYCynoOYgGWUH+qlXr
fCDFRArMVPpUIjK1f2O1Mj68etoyGnXD1CzH0jDGf6y3xlMzSIztzd4qAsf1EzIm7lR0jWeIulQm
aoBJ0LAc9bVVnODBiUSDcqgIDkoTB4e20XuKB44GVcEuthAZEK30oIpXrpsqD26F38OJEPuvS7UT
nhYl4zVpE/Jb0ujaCR9P9mRCa1hXFAK8MMqDc6lip/cL3UEcVsNHYt/XDNsOzcqurHP7XhZy/A1Z
+sPayBMwTVvHfsxWDd/kx0ImZqamL+n07MdGG2/soBXbcJICRUS33Bff+7sh8vui/fv1qKNjuoPn
TPfiw2SnK5qK9iut9hymKZqE2WuIhsnDxxr/5kofthnLlYBTa0w6LsFfzKw/TniztDWq3Ha2H4K6
9fUkwQGAoWeLpTm+7/XM3HLeCe7+9e0tllBVsxlMuNSWlfe7aibGj3bIixYxqh1BclQk9gyk4o7l
y9GCKvrvr0aTHSqvtiRN/bR2CRd2Bsk0ewCuVnoumnze4D/WhmuqZw+/vtbHhXJ5nsLhbaWLRM/p
p/i0MQ2zKE/VeF9HY2Z4RhS0mQ88l1Jag8s/mqLxWjZSOw1t2u/mjNIHJ0+7/df3bLGdpfitAjZ3
flpLUEM5Uy6NZF9LCro+omp82qQAPQi7Kn8HI/55DFmqxvaAfho2OfN9Yfvu52xq9vYosxNyO+f5
tnSb1sebKb9VUZVG+6ldgKrA6nDt/Pphf9ig8awtmloEhkG1h23/MawavNYQh3jpl0MfkK2eX3Mw
5LCktGLA/FfXWqJ2CZ0XbID4ebWffMwmyBaN4MR4H2t16AOwQDZZqc10DKfBePz1tT7Mt+/XYuPJ
o+Q8Qnzuh3cyyTuSpYly3M/TPGh+GTj5IeMgr/m/vs6PvHzrz+sYAOMJBViGq/7ja4hlpW1Q68T7
QLXw4Y8DKUYrwIeYmXrDuo/iGMXNCH8iRr+CvmetYr48//o7fBg7y3fQ4CNw6LDx/akfx07PrgfW
Vsd36NHFIYer9VU4K+E5IOXuUIau5SNhmn4zn78/wu+7NlyWQFBunHIva+jHNhiuUCqzAUaByA2M
5yax8wMW4+mqSopo2xgVkhMOIJg6hmkMHaLo5NTvkQGPXzWbEIcvVS/yQwo/dxeqSn4I4oB/zIly
++un80/fc3FhLx0SYQr1I54dRiX6LEdRdiq5oq/TJE3AbnUm+IkyNsQ7jumVw5aUHLG1Ug7pGfUr
YSHQt4K9TEvzKDoR7MfYNa6EYrfOxu6jMvHLSMCv+vV3/XnUuupCdcdnyI7E/vhVVRCoJU6deJ8L
dYIWG5I64RUteOJfX+fDW8+IcTGWL5MbXHpekA9rI+HrPBTMoPuS4+AthSuq70iLrWPWmtb9r6/1
cTp/v5hD95LVkYOq+HhGndwWAeuYMJ2DCfVDN+h9ZHfSy3hVNth4Qq9Crn3U5Oi8KHlBDay0ut88
WE21ljfxx+HqwqJDMWCxKeDrfLjnjGaOzpsR7Bw5NNN+gey5q06MRrUPZTXfKiTjvVpREHtxLKlR
T1XE4QykXgNjBobbsQWAeEDIPd10vdDlCv1M1Xg1wK/Y09McI13UBocornWiPo3grR9l9uRO2Xye
s4ajtagb+96pRyTQOW2bHsNftThH9DtLpvY9qRoqvF1XO0UcTqSvVrHygCNivkW/a0jcIlF/nQMu
uWRonF5nUETnVoGXt0LHGrzRk7aqA+y+HBw7Nevd3CJchYQdITs2nIX2TMqKiYav1s0L5XrtCxJi
43Ew3sVudHoUwDeB+Zb1nUk5F6h9BHklic6hwZttWkwtEIVjSvFM3jDxrbeQs73ukcDLnxagcDjK
xiLEcRjZ5nbAJEsOkTO2X11HwjxHqvtCkaJx70otYbzx9ofpJi0FWjvEisqtiw2KVOdWOi+zGVjo
5UR4dpa/ba2SrzFZhrmu46GFzhlnyoMojenMOkNxlLDX6/fHG9hDt9aLSL2tjBrla0ndH324FtLW
0NU8gqJPdNq6nhe3GyIWZiuYpMcGT47juYQJfqaNxIiEI4OMPsu0mXSmimc3WW7ceo2qRg8m7bFn
2aCS9fRQLW6MlCaln5h8DqXv6GyTZOu3tRO/NqoAYxZQqw+3gpRwnMOEVtwnoWE8uoRe6itF59nm
MLVeszDXNxr+lQs1aiVb8dLQDgjifL61BmXE/5w2443a1+N1PJl9BO5ciz9ndsfUBDLxSZtUM1sb
yziEABkcXCJ/EVpHbhf7aFfYwGh5OW8KYnfkysm7+RwSsxnAhY6pSHYo/W5xwKgqTl/2OWDvqslL
uIGWvucwB17LAFuT/1xdoiFUd0R3Mnqt1BxvGuJ5F6AYJwbkicqDHaU8MDU0pzP60eSQutlazErq
j405XtMRrDdd4mi7cJhLqrSB5SEBbW7DLsJzBtXxOIRoEuM8I1BAb9WlkDofZK3aO8Oxgoewc9Zg
MNNLbRfpmfZS6gWB5VzT4tnSASSClESzrRonxovr8tpVaOFUTB3QJKSBAQncLOgNnTDFotmIsYRR
BEg19Xiq+hNssOsYpNeB9uAmIgduM0iah9TeqlWkwMInVAH/a85tZalLllEKXHTq8XXoLQRW+sov
DZlE5zCPr/GYuau+N0a/pwpJaptubKw6frQhQK+nttKPGZ0HmrEkHnXFQD00hxk6Az+PZtUGcQh4
LxbRHeTwV1Hpl0oqLX7m3ICsaxbUUHt9r6juJ1DSAbA8o8JXMrqsarLSP+cGPVfD1Va9TqXFps5O
nfCh74MjAJ/wU4f2cR2Z03iIspwJ2Fz2SDhVr+zYMHBItfWtFmftQSGAAxG2fcIWNrkQ3GmCtwLr
cg3F41uNHHg30fWVq4I2NZau0EgOWmlStg6U0DkRQ8cXKjOUVat+0udHNP7GZhyyAD91r4sjwVz1
NRslM/IHm/kiRXz+CJw3hLGnDvdTabF/KNsK7SmZo9M5dZBsBrntbMy0c78medzsyRMb9xEYTS7K
LvrchOqdaw0DxBKADMYMhHxZf+jd4syJvLiq85u2c2ZUDlad0UQ12QroKQkRzcReJMXvVKSFDbZR
dWKmIugIlClZEZxQOBT9OfpIxh+WiqnYiFk1t3LoTXiclZ6TONg9Odlc+9oQgwIH5I3yFew+nQA7
Jc/WSvT8iGko3RRJat2ohNFvQB6Hz10SDmAjkVCD5z4kg1ShMYIb+GwkI6ILq9DbGMh0o+wL4gIP
BngCeOOIH3Zzj2JmlbB34IiQKbfZ1DjrfCIQonStDQD6/kWa2Dg6c0xJui00/QFfv/M8DrOYt7S9
MY1IAHhBKdmPFWO9I+NDXI1Kbd+CVJo8MLeVp3S1s+MELXZiREdOa0Q23yrddYEKJtOh7owzsG31
LIJmwBEttJMJ7owtTOFspZOJW2ircAUhYhgc/pPIpEzRaA9KrFB9ANt54EcV96MlZ5rJATRxIpbN
LyOm0Vv4jlQNoBJDQ6nJCrAZAhiaKigBYOYHh/AJ2+369eDG5mM6teVN2LW0VgMtIaK91s88wdg3
clDOfaBtexqqB0UUZyLuVS+Ar3eDydLaWbVjnOAUt4vCxboPrFrzc3co6aPCSszm1r0gXy48Jpra
69shNjxYaWjEAR4vEuKCFl4xgMsJ2yB8KtTRuJKqW16rc8C2Xxg4PqtWSYo1TosSHWxC9z9LC+cF
ND1FnLIOj4QeuwgfAjPbT4qYvnUcx0+dMcjbzgT6AitC9Bjo0oI1HStjg+iht644sVdb6NMOBwCt
PGTa1PF2ddV5SPLsprKt7tptxxEuJ4JpLxaIu9Hg7mm/K6uehMBjWUOKTsiWQjTc569pUTvABjHQ
PxPIUW9sO0nfhJXHwPOdqtwrJNmtqyRrnpy2+pzz0eumLs2MVtOsZ14bzP1FrcxkYBJolX1YSfay
KDgpAUe4xGn0whsI6MqpZbLmF4/Xaa5/GRRR+bGs8BhjiGvXRRhOZ0fI8tUh7egw47Txie8cb+rI
mLcTnBLfdNPuRlP7lrSQlDm7zlg1mAQaMgZoZjt1aj12qiyc9osNBskkWQT6wVsEb8HrYoDKvNhd
wTGJCMLajorzaFU6LAhLPkJe718xWrsvIb30YlXg28/oQM8uSQ8W2bEOyjtMvTvFBiii0zwN19jY
n6dOi6/UFECd4i7okaROylW88EjYRYVXkz7BUl5AJYZeB3urzEbw/WY37kzig86oNDI/SwfWjBIo
EX0OKZFoMTlFcFuTGu84pJOD1uQVHFTc+0xn0xzeu0jnJ2+0dAljEMeip1EdYlxmgtmnnZUHTNnq
hqRpfjcWhS0I8e5QzbH8UnE24oQRoVpXcp5C48afITIzlKkoqWd0R+CZHcRyO1s1gqfJ0o0LUcnK
m27L4RS4U/hgFTO+pJKPHc1RPGpF3K90CTEmWNgxWU/oMvi6RzbGAZgQm6zStL6zjSfU6LSgF/hM
AIVGkfkTga/qSnWVOwcDCf7IYvaQEm/gydjgbEHZmCk9o5HNie84tBG1AiObyxl7VSwEHAEKJ830
qPCUhY8jF1IOGL4dWWD6RgLQ6WYDfRJlX6/G7rxJyQ7zMOgc9Da3gFtigc1h8LihCD3L1RWiBxnO
ajISJWCBMZq1y1zxwVEp3a0+QYgi8TPb0tgf72ubDG8dksI5KXqaCqqxqmegNnZPvERMYXcNLHQ8
xM2U7YRKeUAf+4n3uSHOPOrU17TDnMIZn1WHjdDBlCVkNxETBz107QmWSHJKtXGbEla7Mthw0eke
4WwP4/Vgqxr8mdHeWYRRA8Pr8aPXED/J82WBKIObUWvJYMySauN2SMIXQFKllPNWs+MSqZX4jFMm
3zQLVKmrqB2A09onQ3uLvOcS2yY2XXRaqhRXRQ6OSalfhny+JhDuQJD0Y9UEZ6ZcCkYLwslu5rek
Dp802E4OjKeK3bSHi/Ui1HjYzuiMIBWIV4pSLXbdUPoCgesj9KeGEAn9FdI0GyslZJKP9H1mw0AU
On4OWR3HyEF1BIkq70WFQmChU1kKJwJ0UfJ5NuYvIywrO5H6ZsEaDHgMp/BZrdqFttu46cFs6K5N
kErihYmlzWvahZ9AYsL87aKTVT+qEGIeSKYS6wiYlrNQtZxBpF5T9/KTojfuehz6jtbu0JwgHSk7
cO/Laz6pB8uInU92axbbOK9JdsJk3eyJ7KY8OgDS9fB4ReO2HDS20HGDeZoe7Hzqeousoigf72im
4cO2HbztSpVR0MFB07rqVu/1wTh2bk70zYqm+niT6cSeE2hcp8kFb6pNpHiy9KNCFANi40AFaRaB
m5mANU4yZFxtiKcrZT+0cwzpKFed7JwYvwj0/hVpEO3KbgeOnKlA/Sb14MUNU0iiAUozbOctLQYr
cDmIEKSWRT6yFY5FIcNe+iXTC3WmpacxQXF/IbFcgTRdc8Yo6ekn8Txe1axxT6iVp7NiIq/T6XLS
a6tt9SpRrLhfd2Li2CGJEKmGNjEAIi+nEw1U97dk1gekhZN2UrUUtlLYpIcoHYKXMFcocoemo91p
rdWt8UhyEgnnXn0ty8G2zl3UL0de0RG1EVlV+wy+gq1DppBoVWlGs2dvz0crNtFIUckB3bcIzN44
msP5arC7z3aW637csP1bmVF1YzWzl2p9sS8qwghmlvy9nrYspIDEDkZkURRoOeS7EjDqe6fm/Xp9
ZSokFNjNPrBxjHJO6LdAHvNP7/8XAYDmTrU59pcOmkkMGPNON1LMmXnHGQziOVUChDzXw8y2R+Gw
Sa9nLux7kfIw4yYCXk3k8+a9UFxlKED0Ee2ITKkbZzkClVUcRxgiiFwkLWVID/bcFVs7t9rnMu64
gTjhE5lH5tuWwsuNFWeITqTKr06QA995GJt9g3f2JkW1s5mVSN3NqZyhUk9TB/CT+4LIHTxUFse+
ekGZwllP6i1bNc72Ek5B4/fpEjQTz1RFKF4yGUiN04naCCxJvVXv00DNc8Y/4smTKMPqQvEvJuMn
oaLozkfRNC2OqkyQPcLagU+4CPGwEmw/mKcMFdKVpQ0W9JCZDhlwomMWzCl+eMadAop209NtZ/vf
ZU8ZTGhwAC3ch35EKcvSUAVvCoYxiiIcs24zuTyTTNJl0/iP/FYjeIeex0aR0jNREZ71QiPTaSnF
AeSfz84UDNdzNqDXQWy6sU1GQGcCoFuJfvnALLHvQ10oawEYwK+yknq+U7n+WDjqp1zlT9LCbPZO
sfyvZcfT0uyRAasZznRGh8fYmREB+Kg61E8RDpjET7tUbOOWcQ8QTjtpDnVW/73wpCl68DbDsjz2
CaPJmPnQZFTKC6VEoiVYzvtHBEXaSWhDcOijoLwEkQr6O4h4dZSIV9g0JL1JQg2IrtDKS+q0Hb7/
UaFX3/aZ2kOLC7Q7DgfcIf5/yl8B/AB2wMFQALmJ9RPnlua5E8vjzdUsPSDems99W+p3A+wkdlp8
cb1No6/5nFeX2o259Cjb/pAR6LDvKLnmK4mW+TJPoReqVOS6mr8T0JcR67uv0mphymgxR4+u+lKo
riCiCot82zfBQe34dTqAAc/1SK80kJOgYoHKvGv6bh2W9nQ2KIGfq7wPXhpUABbiuVk7ZkC7rwuQ
lQcrM/jmHScfyy+YDreqYVH8oC2KunUZBQP+0ZNVWZQUSE7tvdTtOBPitGaUOLP6GqpJdaEVSUYM
vVje6bKxAh8tmb2RxIu9gNAotiRbKg8zB4I3J6i4YdEtY7BRJ0YegCy01Wjf2AdM8w7XHH4P1+HY
59pR/821OSfD0dDGT20Zj5/H3qUL1bIhJ9KeRWYdsa1gZayS+gQ4vbiKhk4iFBzcr1VvBm8xnuJD
b0V49sKBlcmMBxgz/8XemS03bmzb9otQASDR3rfLnhRFSVRfLwg1VeibRJcAvv4M0PZxVe197PC7
HxxREZYokgAyc60155i2OwIMLLgDel8Gr4lj2xBralEHKxeER7/Kqrgcf2s//yt0+Buhg42I/ofm
+X/oHJZvWfydOI74J6HDb7/1u86B2egXA4kD7jvTtG0Gzv+rczBM6wt+LuRFlo4h5CK/+9OTpzOf
BpKAMM2nE0/z+3edgzC/2AjHZoGE59EX/2c6B2OW+P3QZdfJ3jVmPITDMAzFw4zP/XEszQmb7LGO
PaFQ2Ex6LHKgYASdfqTCqr9zNJs6begL4GZILV9bdoJHUIMDvjC/+N0A+jH8v/Bb+V8kAMYvk7H5
3ViMfmZmM1ZEtFc/vxurGKvUj7r+ZMrCQMI+oZfu3JLgGqilpb/oldW9uv28ZdW518ol4d1olIKp
cS2sy27x6betfsNrRGAVaAc/TrZGoTM6dvDNGDVj2Pxwvf/LO77oQH75/pivU4OY6DJ1xmq/vOOY
CB7HH9uTGEiSXTnDlD32FtO/TevSDaOLNhjJKnbJeplchwiAMdXFNu9rjADoK9rPaGgaYxkjawIK
GJekfuQRy7db2yA6wpnLm3Y0WwjyoIhiUvvURPIqxUMwMEPXnPls0ed/M335z8vgzt5JLoTDvSF+
Fb9wrA2JhcuaU9EGuC5CJDoLaBvcGhU6k1vOGv59FRjZy19/mb9MuchJRn3GVJbGKvodU8xv64eZ
uo3+w+L8X5wKD/k5qsLuRFDtMibf4umv/9I8O/rxqs1/yWfwCqGbUSxCkJ//UsXAZpKwfk9ehdAQ
80qdbYPWG+EVVtFal102LYHyeeUyEbbK/+6m+UX1NgdCm7qJDkRg1GN1+OXPu66IwYOTTDh3PN7y
pIMIlM3vwZ7yBu4F4QcjvZZoqzIJYUumpfuNlluzRx5vHQdH1PpSqIQUO2ru/FHQyRSrCKrjt0pD
SqprU+4ubaIm650tHDBjf/3tGf95oWBHsWxgETUtntV5yP7DhdKdzi5sO0Az3QVwROq2QdStpW1h
LcBpFuGBuUr6Hno+maKTjDZOyQwGA0PvfqePO5WMORjfWGXSf4tr4X72dhW5f6edtP/jIgv42YyI
ETciULFdJGs/vkvoQbEOYkdcJ5asAt9btX40bQcGZf6m7Tv8c8Ty3fX5iKudWC13WXMmaajXtpkF
qzDNZH6uMhs9uJup8JnmXImwgwCBypbVI3mQHlr5Ilh28PDiRdyKuYGWNMVJVVpDYAid7xDyHZLz
iUhoBGBRviM3MDubSXgbkgM5LLLOlac2kA+tmWsC7J45q+NHk7UBL9m04DCQHLPI9l4DnZSyyOFI
M4H553SjR6Q1cM/He82r4fqpEfoB52ttxg18AAto74GUAPBWeetugkZ2eyswzQcZGSrdBq4GlmOK
0uCdpmpNVBfwb1iZ5MVWxIztU4JD9wYil0+OfQ7PvcjTe/BVg7voyUg41EHdLUe+B1IrTP+GXLxh
TTaD3BjGYPTrzHYNgilViFGhB1ezzhtRk/7l30TMGfSVYZTtjq3GBDSGLYsMCzd7oQ8WcXL0q3tb
tPa28xPaQI2TT28eDJY1QOiEIgGsxUYjPOKNCDn1nahvQBSTSdeQasPsw83QAoAVSqn1GPadt6np
hmBKE/mu4EdBm1sYwBwMjrB2GmR95P8o2EYMLpj2tVmwpLlY5NvaSdehBS/5TiGcR6NNSbdIuJMA
77bKhwUn3OHoEJSTBXedkm2eL0gdHIv6Mwoi05xeG6aAc0gOZRE8iQ9zzCEI1Yuu7bpKP7VpS3Y2
IUxy2hITzlQwr2Pk0Algxnvd1cQ+GYXAD8g1CBYjBo+By0WG5wqZA/thS9dRrh0A4fqyzlojuImY
uJGgm46uilaIpP326DSt4I5S8FhnEw574cbRkLYxwSEzAWqmNw9qDJE2+YZ2UO3PoBaihda0Zpyl
FsDJJ/ci0AuLUPUAEwL8DhVsVOYCrWoCTgUbuwjzaelNNitmYaYzqSaqGYf2DUz22ybWQDuWYex9
B73uwtaga9RuY9wY3skm6TI4FMJtXTtZFuDXp3HX6KxuoD7CCH5mwJRTbnCIFDHoYhwSO73B37S0
KT7iJaRSunl1LBmIcFnNZ63KJ2MlhJPmK/7TtRtiADVSf9uieAbH5ed72C9ttk6j1jlPsAgJkSUy
ygClHgGTI0TSjNptQH+iuGczFgcSPMx001W8A2CeWTitmTlPBG8kY6Wucw8rLRKUAnRPYBhQnwAw
ZCum/zTKqBS5nLHbcD6h4Sqmb4Sp+JCBeAOgA6GdSMR5sbUjmiKdW8apFCtaXcFq6gK8gATNVP4t
MKrEWopYJtMir5JJu9JnfpNRMUnh7fputTbGCJNoFBvg4VN/5i3PP4c7g5gebp9QyOWAmXBCvB5r
X2tyaUaNZL4UeL8xFTGh8F5vaeJhzJTZnZzKxxVTkN9ybXcFW1LIkJ9f8AmLgwYdR0bxyvi6iA6S
pvqwaZQ9xVdGG7YPFrEfb/YQzAURNDex6Yj0EOvGmfB55p0xm0MFGMUlEShrVO3yNVOKk0USJv19
YzvqvaojsQPrGQZrL7Uh5hUolRjCZmUybIq6N044AoV117S28WC0JOktQIDiJW2NEVN0j7svpstn
mmrP0LQxb2LNRTquy/nmTBLZALFuouZ2GK3WW+pScW0iVfDGyoZF94odzH/CtMHdnbNK1itk60O5
x3wVmLcJZsn0bHqFb+0HhiXddTu08+EzGunHpJozrEuV86fLcsK3MJjM7GmOuPOHn9+6Yn3ifRGg
dIJazKfopM1XFcGamZZ+2vPoVFmYxndF7fLI1x2ngpD/x5pqtkV0Iw1rZLAhqkjncqt66K5zLaoa
gNqdJA4TKY0gH4AgBq46D9OST8QCQot2Pie3Rf4UoPQ9oF+OMWPhYeK+GEPnTRXg+pC8JeNZtIPe
XIUcc5OrEmZ0cu+xW2ybQjdO0g/lK2J+R87w9Ng8lPTdu6sAkEe/YoIpCfF0R9IfTL5WxgBy/ABT
Yd/SMiC+TFIxp8+KkUqzIxY0/z4ir2ANiSGLr6gD0O7H5hg1m8rJ/WcNDzeN9CokJs1imUOMHZ3j
sm2uyF5M7JVt1mbIsmcTf9FHpv9UJ1ofrjOz4DGZtED4e6soDfktZ0EeD3BJeDZIdOYeSWyCBDdE
C/ZrNhklrwy6qM6SQXTbs9OKHpx3LZOvGHz9B23kmH6Y/LY2PolvH9FWAF/pSYc2eakhN+bQb0WP
YF9xWUA3E0y0mcq+b68RSxKa1zdyQUdgZ+VDj+NQ0YdZkrvaTNsKLHx5XTiDdcRIO3O+ZZH3s7Ky
ipae3eTRAycR6Hf0apB5unHTL9KoUcShqR6MfkHo5H0WSiN+MUqEAz0tai0dH6tW4LCOkGnU68gF
83fQgkq9R0j2+mXmQpfax9hN7oYGcsm27mQD0H3quEljs03ELTjPyT7lTjUH0la97lxbBsMK4P2J
ataK/NycuW3BLLuewEbC2GrIKRjEQPswI3h6O3mSux+dCaEaI8InIHcV8a/P9HBw2EY19xo7nf/E
vZ6TK0IrgwXWrPxk4+Vze3zoXk2vUygh0rR3H20SaxUIprC1iBTPvP4sUaKTvBlyRwMvFlxNCodx
OMaiTcujW1eRuCV9OXP2gAR8PtcwIK1MAa2jkmpAHS04jXXtdZYFvP8aj8umibwUQcOg6/tR4h5h
CuVgprSCyP1N+vlvJ+VvOilwXigi/m/C0f+v46n81S8y/8ofbRTdxxSioxib7YEzwOjPNgodFs+w
HPwi6IfRiyIk/COZx/0CBUhHoT03Svg/vOAfbRTjC9aS2S5C+YULwPsnbhEcJr8UlL5HfYGol7qO
jg+Hp59rjVwSEjekjjoaMd19yYlWtTk2bTAMpc5a2ntmvkRR107dlgidLNefW+gqxjplQ2ge4A63
U71gGcTQneGQQ6OxdPtCVt49nHoeIGIFoOIa7BEKQvfGEoqSgiH3SLqMUhrZlGjV835PtGje9AQQ
EvqHoqDIxqTAEx97LBxeVRzBewyHUst7Robgkq9Hi6FAIiRSRM15wePWb1XZuwTsDv6KkLHqmORk
meXJ0BnAvFPzAXHSVCzjqMO/6GPOZ6Jb9/5aCcmDmtUTDmUHhc95IhkWWYGJPqBArnYdk2pXrzlg
wUWoyZtABylCPdsWA7qKARcYfVu/ZCSYh9I9+X6LG7gZdazlmkZB7FRjS3c4BdSgZTPGILfSXYV4
ZZNMtQvUTSt4YbImYWPSNO5vTDuACatG46yQCvTbsgVSDkajh81HmviwbMJxIpsCvzS6ov6lrbGY
BRPe52UdSgBnDGjo9QY1cj6WAr0zXwI4bEdlAz1oTKdeW0bar52wksaiMeqjKkuD0BvLVWsOsTRL
4hQgO8YZ98lPWKDMS90QX2qI6FJP9HNpoYm5ygD0vTYvlQeQg2DpXOqRPmndRXypUuxLxeJdqhdK
QXtBVHe+w+eP0eFS55hzyaPm4oekNeqg8VIT1Zf6yJhLJTeI9bfJNsJNavM0btJgHuLSCXnL5x4k
x+ycoqscqnvG9NEVbMfspZyLs0DvyW+otLDdZT0bycqsUe8hWFp1c2lHGwV9Dbl0VHz6pfoLQySD
Yx8O7EC1fzPMZSJhMfO5hNIRKStVJGk36T3m0VmdEXXZp85BfA8kwNy3cxHq2G7wlaeByrRg/Pce
5D31KtV3n27DVpoPQRZ3e1Xn7oYsbKpcvwiae+IzP/C7aLOAb1oFl7qYJwDZtEsBC6pzrpzDuYjO
nQy3/lxYo04ytz2TWTRbzWQYK3suwptLPd5QmdtWVp+kp0/vWZsHKw7U4xMS03wXXKp6TdOp8AG+
i3U/l/0jAvqTtBN6Ae2lL2D2yHDsuVlgMMd5dLDjL5DOMJ2EEvncyoz+AnSE7JzOTYdmSqstUVnb
tvS4D93AgkuCiuLOjiQF96V3UWIuV6ws+BoJVSKAuLPb6oaN1ada1rNv7KjjXvpNSUYEieP9MPrI
/dqPhGqDwkOpJdpYawce21+WlvmGmPsZIDKzCsS2w8rvTRfdN0mWXEeKCRlVnXOrOC9wfl2kNvys
+reG0r+74t/tigLj419ti7s39RbHP7kof/uVP7ZFm71vPthD1Zu5evPe97uL0nD0L6blYMfCAUZr
+gfin2mC9QOJ62Mlmj1+HrvZ79ui4X2B+obbgBbsZTv9Ry7KX1pwc5ub/KvZd+IwrMDaMzcSf2oU
oqFO7NC8J4iOJOuK9iahKQbb93LKwPVUVljfRXGGucSdt5Yo1c6mL8dtYWljBUDas8ERDcyBKXvV
SnOMJRNLck+GvnqFhM7rkHvP86r1ZUyFNlTzgNieiaQDx0oAXOvKSPyjqTE9jfxCreIkHbdotdLz
XJPv/NAFRG5g3CL5jB04spR1ow1xdDPQEIHj1LTqDQzV+EaUKVDvMOJrW0ZhP08g0hoVQqbLA4nl
1TuLYfLWhmq85RxuIL1IxtexnuqlX4Uw3BkRtt/6OjSY+GXWPuQgcRdGzh1lLHqoMmvMx04MU/o3
fqcL6/DPVvflEsxWJ64qwwEcj7/0mvPJspLZ/Hw/1ZRFQC3sdWUONTDSEvY/EbzkNXD2z/1bFknz
WMA8gp3heCTpxSlsFZT349p17XLvT11/PUF5OpmdVX4acao9F9JuztGoDWSfJMk1KxFyaC+aZ/gZ
s14yQqpN14jyxvPqx5blfmdX6uiGCk1rZJKv5X8m0pHvPzwk/2UqM9uAf+jv86HxAM43MAc8bGuA
JX6+7yoma2Gg08Wxyjx4NearH7I7vzCSG241F8FElyAsQSnfrq2ogGhPmOy0aUSCYqIb9PcqNfga
fBu9Vgho/KBIOrkPRv4lhWl+M6vSuAo1FC9R5xhHGCu0ALzgKbQGc+sTefCUFnhXAT3ou7hgjhxh
btum/ZxnUxILMek597Ro9f5Kn8Rn4XRHhfV3d4EhYLwldQIW0SoexhTBJZl2euVHGzt+zSiUDsRC
qY84wpdPX1N9oOgSxJWBrahbo6cfERFy35NNF6vhzEOZntxe42Fq0niXipmnntTQeWsH+XYy2Vee
BR2JyfzQreKYgvWicIGba6L/mUfaRTGch4KrtABxm1znkZDH0ctMtJNF9c2jTV6jo61hzDEZlbth
co1NwUEL4XEVX2UM5K4vPRJvJmnRdphj6wXH1LWMpgQkb5SQnWGF5hkk2nDTIDE/YrAgwn3yph27
Oc8mwZJ3ea+aZysiGdcP0/BoWbW/1MPh72zPv6xZNmIrk5moLoQBLpKT/i9jAxPXUBD2rnaOWh1N
g98VWzI1s6dxQFlQuzigLX++d+py+iBYbFo27ey9sNQYfSYwok+VYwboq3X57EriREi60Ld0Wl8G
32Jb7Zz8MZe8StrXNi3lHrFRNtu+ywC5td7SY2xsjk5jjhJj0GvEZ+7IRwW5N15bs92J5Wrc9Bbi
URbUMj3UdtUaa7IAzfXcCuI1Ucmd6hSn2OW2RWCA+Gk+7NfSRodSlQH5jZ7+4ml58+wnRvNMNog8
xU2M3I+YGbwnQhTxO/TwLR4wopS6wZ8lWohbt0zOSLhPvQiGli7/kBr8nyPgy8D0z/Vq/voFZRyj
VIdyDa73L0NAJWHkhFMdnGl/ONqqNVyD5B+p3SeTzycwAE0uHdloD8kY98STDpVfXQ91gV7P02dr
jOAZxN6RSTw1aV+9pb2DvdqXtJOWlVEjJ8GtxTdtZsZexp32T4d7fAAs87wtx2RfNudK9cc9r5jS
Blh16J4zNFzrITHQW1VhuJEAsWvChVhnAqlYL0yHJaaIbI10kAIpCo7UK0M5wXeePcHCPJZvYoAh
4KgBKZ1ZdcFGkjLxkLly7huSS/J35uLLfvzLl29RoBiGOdMVLlX2j+9d0ZmpJ0vZ57KbdSWqaYLv
3M2Bt6sb8IUGndxZnD/cZBSn2xaLEczronCIC4n7QznjChQp8PvMRk9JWaA9tPTztr5Cc4susytu
Jq+Jj67J51e5jx6xpaX1vWeb4BLF1nuD63SvTxMpH6mchtvOUmmxdXtAYqQGEVduAgRighI8m5GR
7DRP8w40EYk3ZGK5yRoRbqosGl5rp6C7pfpgH49RvZ4Kt6BLbJrDNyMEyYoe1aIfhqfHWE+I9MmB
SN8NUK1kCxSSOE2wB5mF9KhwedQ5Ewy3l0cv8LXwsw60iLpvtlJ1BaraCfXfGbI+Gss8ET1JaDL6
RMg6bQhzQEckVf/NyvJ5BZm/msQNDuD0yN9FR0eTiXLtXMU1kfOk8T1QMBMvaUknfnHz5EMQ9L6X
xEHt4XXiZ6sRS2lWZh6jQTUr282GU2JM7CV/vYFySPxpB+Ux9Gm16PRFWLPn4+AvxwbW6rzDrS/P
1HUEOo06D9jisjZnapDbMUC67DLMizE/ReGGo1j15pjtdDcRhsLoLG/2kSaBAmZJdpBYkxC+IqNL
l6RAQSULw2LTMgvgcQUv+z4qbEQs/+27qaz+Wxe7lrYiYzx3keZ6sIGIq8uue5KC17mrU7bTAxGE
m4ssIC/QCBBW+VPe7bxQGwjiqcCLWfnjoEpD8C6bMQMtGm996Wh3ggdLrRokXp8Sgvsd91cEZU+W
u8GYmq3FU7tDjzwfOefrWhGl+ExrZ2drKUzUwQQaB8n62ajIIRElQCLeT0Rya8IDAf2NmzXBWrZ0
oCV8ANzJUXmgS8RCiSDTz5ikOLQst5M0o/LaxL/pL6sujZ7YB+In3CZzqmOlhLcoyTd+bjyLDmaW
SlTxsASJPM0FqwFM5ir61HwUehqSHQ449QAx0xvYqprcWdWg68OFiACWtQN6TT5uypKHqHFWoKma
fwftxTMbmVgFPZTQ1iqbjOIhxImDNZ6QNfrJiXiPQGKMpOw6VUqGfDsff/wR6x+YqPUUSv09J7oK
Eo/MwT2xss9RRpNxDG0krCM3god2rbygtCIEp4YQc7c69rifuukuKfwA9bCbDOeas+WO9odP6Q2W
DLdC6u29btLWWUfqxcJz8IQi7pvU2uop4r0GvCk5CAGZOfUsYYwlp8wFLCCm/AxjYLMQ+0h3OPvu
uurcllhNljbH1mChUpd8G5i/J5fx7K0J2m7JZkCoRzOrmy8P0r+V7d9Vtr7NivFX/d70rWh+zmJn
mMzv/F7Zev4XB6avjnrjUqHq1Ml/8oGIUIFjgPbkoqjDlf9Hw9eZMffolli7oPcI94eGL+ggg+UM
R7sg92b2k/8Tlr1HZf1DiWEbBq+mi7npbBBcCFT/521esunQsOmsPZZJb9nZWn/C8kK9hEj7wGCG
cQ+a/XFZKjV+2mXjHjHfSpqlYDzPZdmRIQM69I1Run6dUkSf0LqJBwcpCcytyilWYWO5pyjrm/OY
9PFDTmgVSVJ4JvLQMb6WVeCt2UtI8TYdNPoci3sahbsBNQhPQ4JGa9Fgk//QK9C3cRASBwoQ17yv
mzg9+CBErwJXZNtONAsxYKoqbTMGWBjkKy2B7Gj0DcPKOGfon2sOmmTsoQfOrRV+rQxXcOVlzLA8
/zhis8ck4gzm3aDhOYEJjAV4jPXrUYwagVHw4zamS8/UKM3wZR5Ln5hU3RrET10HpvFA8izMa4eV
oJCWry10WYnvyIhm5cpIFDtKfnMJ1bK99UfDwlXFTFlY9oDtjx7g1s706lPRfd6IWqQLwgBpKXdl
+iithJJlyCyCVvIh2flId1bKUvlKd0f6CIbZPZdeHNy0XaTuAH5MH6R5jS9F3Yk7XKXjToxJTdRk
MtzR4cD9RsbQRgZ2d6UPlKz5bP7si9DdVD1eAddI+RjUIyjlCoCCFNIIt6yOZVos4trGlulXV2YR
IsOhXO5iwvhSvSxWDYG5eVrl6Hi0fZa6IBdkOT1bPURYKXts+z6WtCZp46vWsdTW0aFbmHmU3xqT
O9G31RKOh2MTzOL5pLuqrDF5ColFhmeKcZkuf4VG3FH3Va/kgw8a8xq7sn4Nz2/oF10tYiDWVnNM
Oj2jXraqbY40k/BIWeo7e8jcZJFmQtxNoxtfh6E1bUbXZZvSKkJ5GE5ScoJp9pDIkEftqFi/hQjs
gjFpnWCZTFb20Q1DdQocJ9uNQyeu8Ntn27xy4tfOc+MXWUXGiZA2+y73smk3ME4/MawUV6aySYLt
yvCmtcrmIcEMRrofBKVc64DgBopo5cL20IpW5msBMOcaFjnjTQOQOzFERBWSHQyb2Yrsm6xSV2ak
LG5HiPUaQTtdFLZvUefp42IcUmNtVoH7JgVxXnLI9+FY9Yt8zO19KQMLRitWgNEtzCdhpR/Qb9jz
tNAyX12veCh7MT3R4Bq3k17od2XkcHgYOBsdbK0hvtBHUXCKesMGd6o58o3RbHLrhimVmiWE/0Hp
HW2Lnl8Kpzh7RLWWL3uh0ZyHmHqVhFxEJQSDkS5DPsJJ8t4VTfsuPL+vF21qPMDBo5+knEOp5LYg
wg6tvIuXLQZ+ekdIZXa2g2znkCh1cIKp2FspaKaGYwf6fV+g6QXx46JF2IyxkCucBHiLCSQ8VwQJ
fZsGiZ4K5utymrlVSWWnLy6u/Ee3qMgfMvNyyQV1iaePUkIIHaO65TSCRsghMavusVP7/sZuk3wb
NEq/hupPZnp2R5ENpDcAG546wrhL9FDsCsNjXJwpYg0Lva8/RDvyTix9pfTB3ZaGQuKRGR0uIIZ6
L+hrJcI0fcpiEKFz8jVGhJupKdMt+AVkLSNi+WXdDw7HBU2RLR+MZBFNDcOxsqOx4fv9YziN5Dtl
KVbWjKkPy1xD18+vav2KuU51PcLJWBuG9pKYM1cECyRChcx3F6wA+hKjqbPMtPg59ZS+z/RGB+iG
T8tM0vI9I0uDGOHIv7Nzz9k3jT2QiRVq7V3cAldwOYXYTPbenMQdtglDzFsdsVu7rHKhn2avAF6N
fCKj28ucdS5K/wkisn4Cwh491x6BkOSzQ19vnR074rQk7540yNDirNyr5NgkxFuTveofISnWt20S
yOtEV/JJC+LsxNSrWiMKCzekihDNh7R3bTdSPKcoWHYk3oo18bkgpYfE/EbkVXetbL96s4ScN5du
sl4icA94VIw+WzhxSgGV+CGOy4io9DFECWEE0a1hQOtWTIYXPQ2yex0+7lzvTissSdW6GUyP3hMz
xtWQldGNcBPFjcaoycd8BmOEI+IWQEG3LeKh3af+VD1mXbCNjSpZp2NAyDYytjURHjrOcno1ybLT
UKDSPNk4suxPRh+aB9+Anq6kma6U6YB3MNhuYx7xqwaSzY4O4oDbTtb+a+o48SovlP6SBXWwY2WC
Q9Kaq9F07FsSL7SPynLJPGs9bZPTNb4x4iLb2yDdMROFDS5+5T2Gygs2hi71+6iPdf6cG2DWHzVn
IxiFnepRvhfNNH7oU8fy39WAGxbE84LQEQAdkHEIuBTaFbZas8dRX8fo7LtS2Tl6rqLTcepA47+b
52Ls/UkSPnQAKuQioetDUjkWujuJNX5XwsMGjElPPSWprYZpgv5cfvdJqtn3WYSYe1DakabvevSK
/LZHyLdr7e7Vrm1qzxLnK7nLqsPk6rzacURrovsOJOHVK4cz2Xj5UpsUNlEh831duCNu8vjBlGF1
QMbrPvRVaj6liSo+0LsNz3XAL/YFOq03Jx6Z4B7oh9OoOlSykX27ZVYsJ+eao1YRAow2U91GC1S2
1top4+g4mLa7AnfQebeylaPz0tAh6eJReEwjFRdOG+mNbDQUPUvqwG03curZ5hjcriFHaOVrxQLK
2cvvV8YQpBuZjmF+8DRUHo1KzBWHvPTKQI57ID7OfcVpJL/qbhAmt8EQZVduZBv1Q0eRG2yzCXFM
sSSZYSqhBrR28ukh39cebRmQsmtEPVwPcl5SSnY3FqtC08dt7ZfFpneaZ7LY1aKGa7jSmWov2tB6
xuesdg5u4yXZ0d2Jnxw2fuZynMwirMfWsYPESdmjYSRIQ3YZjU7ujrPIYzFF2TqC93VgB9HuIy0O
jwMZQcuwMMYTU1p5qrmah6llDhnF6s0CnnqofQKzG0vrtkYxjIuim49bYqJd5tuivopjLH6bFJvC
qi+DdudlAmI8zq9t49j6Eqr2XT5hQ0ikFu7p2LakjQcBwdlmfCAi9egYGfZr16iOUUAy4Bi68msn
SA/yUGpuY9kTkYCWbo0CmLFxnJUEEVsVKdRRykaGTGhpc5l3HT0Q7M9mvrXpiX23uoBjNBlL8UBH
nhrzk3aZ4z03v4ECut+wAYG0OHEs0ZPNSIF/i7iijdvx74o4k+nJX1Vx229lHf5sfjJ++50/qjj9
C6MYxD8uHSTLg/X6v1WcZ3/hpGrhwSDQyplHNX9WcT9UbfoX6MCWQ9qN5xqY+P9J0Ya65+eiDfGQ
T+HI3NNBpGPazi/zSN8kHjIovWwnvPBVpbS02iYt146rvyB/ua95ugpa6C9ebrwwKJ/jdMZNM/SH
dnS99URy8l5QleybjLZMgdp+j50QDfKoI/zQJDtu79ffx6B3wM25eE29Rj9qYVZ91al1z5o5mttJ
Iw5SZGAcKi+ONwHZz+R0uGeKPO+W4NPVbFS8KkDt82odXDsl5brRTLYiZdU4J2GY9fkNCQSIQFqr
JeeaML7GhTsFmwkcvXKXxqi6B2jbJDOPQ4A4GDWKpRl3ahL2tmnDZ8fK6dwqlW3dPIuuWz02rhLB
e9L1Ir41nKZe25xVbxFWrS3GWR3LxTyeRInuEKrh9m8lgt5FL3qFVaEa3mNaN1epAoEkCK5dVJl0
tjYHvnVt1e5WoZ1cKsKQ11QSn20yiI2FeX0Vp461IJ3nzexHDg1tf0j8FOlnjJQoQZy8xQUdrrmq
CxW5xTmXzabNRiSW2k0wkpjdaSA2KuEjG3RL4+xXZvbS4iZ5hu24yX1FN7LNzykCsWOceXW3SIgX
gD/VZdd1JUK1Nr1eB0Al05duKuO7VETWXjRau2QAMrOowr6+l0IL7k1QwVdWOk7uQsvtS4yFPOJg
iE91mamXwDebTwbh/tOQi5RdoOzUyildMnTgpq0blVpgSTPvzp0jyIpM0J/LTDShrfCqVzdOUB0l
LuZ7SEb2lZ3hBZ8HFCermHC1I7gm9wePLbm+0sSAHAuDLw+oHSSJbs5oMyvSJpo5Hmkq9eKA+aQj
osUrXEkVkCJgMkrsRqQbESLEEroxlZt8dc1ec1aXVBmK/+Dp4j0AgpsjbSVCjILWOAlczlcWOQ9H
Stvka1XNLV8y1ef5HOyrTZ5QzJKJgTnZJqajQxFdgH2wBrS96MYmRgo7DBPk8cAPGIEXe/itdEEz
PAaKV3eu2Gv4HGbsScu3Wpf8zMxN4AskoWcYY2Rium489KVNAE7LS7omW/xKL8Lx1gy5NW2yoWnP
kssDcmEMxzMdFd5jDhLunDpdCUXcJlJcjFwHuha8oEFTVCKzI9RlxP6zGtq8eiX8NN7GZOJxtmcX
WgUDiFok9oyyQdsThCCt5hO3Bmkynai+2QNkm6Arieee31kSJJW36TuDl88YrtyF0xxqxRbsLMF/
eHfWwD1oaW3+Pcsj61DYRffQJJZalg5iU8D5fHBMKuMZUH776A45P5jNcii7ZxFZeYJJG3A3sk6U
lXy93GkJCFHkzqGPJM4YQTjEA4FGnKjLG8W4GCxZmHRLe5LQpIkyelaFBl+/zS33jnOetQcIMZwN
muSrum4Z9oadaxFLxkXt4E8dtHziqpmBgqWEh+jzEgdR6KVD+LIzXoFVN8+BnnhnJbV8HXFHctj0
7eArAyBCG+wcNjtkN16oJ/yndkfcIlkYafeX8ILJScp7Dqv+tsxaf325WrnKy/s4HBH0N3BGWzhT
vbcsE765kcSIoyFnZpvjZVEP2JeX7xTWc2Yg3PXghkiSRM7FdG9pyjJeNsl0aoro1MvxttOaB5LK
ykVvl18L9O9h7oxLMofNtrvRVXgb9XrKND3a5Un93Vb+FfgnIqQ0H1OLex4asRF9tCWO6ylk0L1C
cewdHed/2Duz5biNrFu/Sse5hwOJTEwX56ZQE4vFoThIlG4QEikBSMzz8PTnA2X7l92n+7fvHdGh
sFsusgqFTOzce61v8QOr0CaxwUDUMZeBZxXlQ8dzjPmjLKmyEuE8qEo/t0KLW9xd1haGDS5R5GiB
cLHVJPl8m6C0HCe9bcPyJAs3vEcSAg98spBEl9FM9gJ+8oNTpnrDkV/t8MjmZNTTxxgG4rA74qZi
kBPirYiI4Kmtb/Asyus6TqpryE2AmSyC6KVlvzaiOxaefeExSYLO0Ms7ivbwEwKaFyKRXue+5IBa
4AXKBnhe+VwMO+h181a3S7ZGGDF7qhynfOylUsEQ6+UtH+zAWuJiY1MX7quOACjdVyffTQ9Sd3EA
JoMvOHHEfqrJ1tDjnJL9IJ6dGRm264OUmOYciKAljyOb8Nb0+mpHRAahXz4HhAiOF9rPTzWKx81U
lOYZ96zLwLsjr212TLR64SdTkMpj5ByUxEzfsGKY5rnfEstNjngHzM+uY9CYS9OnTrQwWGZD7ljr
2CZkjQekh3qLoLw7YXtS9WZYFvYDOWTHiH4Tilcc2gEBdBZxWXXevsVzBxus8ObbKW7GaiejIemC
orNoIxVL0++A/BXnUji3TLzSC7cVbRxmF/eSRsMOg02BPrM39DEt0mqrWhqkrbCqb61NnMySW0Dk
iR6WVfWlz0raKV7rb7UYXkwYXeC3eNozXbQPhtO/Inz+BFrrYM51+DyKilGaTIeNTdAXsj7buGmU
/RzOBeNyluFGJ0X0giaphR4lGaub3nn0+mhHkeC90WgfHlw7EeDY6rWGcH0ZtMqZTxAmRs7vFvKQ
gEbvs16j9FSr8m9t6OpvXdNkJ5SjLu67FnrCYAx7nunjntHeaYxyHCkL4A831OWFfv2EgKqmspKG
vRmrxruthmr8XJhz9nnErXLr0OkLbCqsTYPKeJuxitjJu6R3A0hkNeEnueeTqqaj84D5RpxaKxQT
Kq3FuUU3trKgamhanRd96JzJuHNE4wWptKaaL5GOSthExm5IdX927UZxxxQhodi1zYFDLSMZX1Nf
3kLGck+KftguxKGDCa0OP/h10j2M6ZLo3dLWRQGItoDNA6r5ikohPQizrHfJhHIXZzYoqLiZviMr
su5EHnXPY5OMR87G9Uen7koSgGba+4sfB6PLFNdQFc1ld7lKc6qwfBiMkwmkBLGCVR/L0G6Dqul0
oMM53BNJ4PG2MiawKvvqtkgA2gayCUQ686YJIWRmsmwOTBeHoB/TkIj55mYq9V4ZxgGhHO0qb/mk
m6YkcQa2KNawGi2eSMUmiWmWQgQkTwnRyWEpkUIlMQdYCKDwwcLVh9UO9wtpBpt0KFueXIN3N491
9ljrdjx6MjU+yY7uPl2tb4T2UIA4c7f3Kyfa91kIuIQkGdhOSbLtm4Ulzih2M3jmA0/Q8g7yLHoW
gk42LRLeD7KaDtM4AWaVy+NMdMntlFhi03mePsyFONBoplUoml05lNE32OQH2fHIG+oy2w2J7neT
OYHvGkSLcL4Nr8Y6PCdR/QCo1oYT5umreXGm61B7sd9ttRHTAmYy++Cn7K7i2u0NB96RXmXNK6tv
1NFFOuCjWMIklWAdZU4NiMNAqwIYrTZp5vsmGeaBO2Yz2nHq3+WMRAeSno7y1AYgqglW9ypLb8AH
T5ou49CT/pPTPrM2DFHi+TWmjzgoJsRhaZFcl3+ccnVBYDzsQaP0AX7U8ZFAzgXP39LeRppweT3Y
6qazl5d6kcluqZyHxC8N+u5d94Dg0dpmNNjuareyv7Yrr0ZbxfJVtKK7GXPX2Cdi+NZEs7UbbWsg
22KQK8JEnWgQjex+eOX8EbXB6Dr1w0pl2VkhUNbZcD+TcRACVu31l7GLZgAGjZI878EXGYmziTRU
JKRe5JkNyYQFCLZZBUEF+zUdSlgwT75Bm5mR2PUiKbTh77yhChlQPuTMXEQaZKV6jVFVbEmh808A
n5xip8Va9Edz03011di9uamtz+NYtNTxrTpKJ7GvGu0/mkPPOBf70mKsSaLpFQQXDBDLouazSkAX
42JaPmZYem/aOH/lABrhUrWYbpFzhCKOri+xTEX8Wuc5T32jzt/cARQGTtquw9aYDPtGmM0nyhdn
Z1lyeoCTsATUQA8y0fad1AtUSmFl8mQqn5b6vLDS+mL84NBWu2bAVZyXbPBg385ddrfyGzExezL+
WtStiaVQJ0QgiphHgek3GFM5GpbUAZnvvXmRycYxRLZ4SEB4fewat/q0yLz4usQlndAhlIrkwcJd
3Z/mWDyBKC93tlg8mtGkBLZsjLhYF4QxdKuqkUMWo6/0Non68ZPoMNA6cDVhOpKtEzTo2Es60CW3
ENKKO116MQffxO+epGU2+DSZrBcwRNCxJd0C0jAZ0R5smU9g8qjb4Tt5hPnRlR2+TBRYjCeLb+lE
c76dGd0Psj2nTU8wXQRmGmj3cB/FXfVAM3nZ4m+muoUJRUe39OhHy2SrfQ/HcJw8c/ADeOPH5Z5p
pXeVoQL+R5T+r29/peuDWeq/ju633zJU6c23n1XpP17za9PHtbFqkesDtQ4R3Npx+b3pw1+xfRBe
tuJufvixfpvc+7/gd6KXi+7oXa3OvP03q5b3C1EJgqaNY8NQs0z5d5pA4l3A+ZPIDWmATYDG2pcC
bv//yRfQlK5iQak6O3P8giuoqLZOBbR1My1Msya3ybt9xamBCmwZA04bdEVcTgIoitlvk4LjhlzE
Swh2HsYZqakwWs3x20SExdbjhzO4YQFlEQmGnmHg5M0+K4PwUYlvZF+Q3HmYpRntmsl35g0XMTmG
uW0/6m4szhOjq9uMox0Oj95EioSTUwWhzpuTI8x025fUcgZsP9q6HLPosDfXU41u08kRRBmTrQ8j
b87ayMaprtwlCa9Ko+keaM8oOgTJZ40q7yXJcuMpqguH/RbREG3mCMs96V+V11Z3y0SAaT61l8GL
3tA98SFDPqmIrYtCOb/3fdySsy0NrNtFdzCj9HvFGHlks4LgWZjIHu0KhxHScpJZF357PFgXR05Q
7tzuhi1DbnrLulDLPIVDfyNCv9jEU/HIihfnaazWiVwBlJSnIX/k53LOzwoFbQg0kWKlm0408T/7
Tni1DnqQgckLCPPPNV0fSA7lI+jZ5RNx1Oa2knFMQ63qYXrB7EoShm6u/zRJijsXb1MaOutbqDeO
zY8GoCYP7uKad9QyBpCQtHyMWj/7UM69+oDLtThIYsIDTk1yj2l5YvLd4Yc28+/tUt0DelqOoTJO
nZrrL6VicEAK9LCJE5zXAbxvnLNWdU+FeAy9BRO23dV3M+LHF5V6T06blIdyapKDaGea6SEy28X1
BUHyDttf5j1nS2UQMSvHZ/jW0UnlqEoCfO75heNJ/2qYdVMELt2VS8ej55YuWiwoWGJAxGVcLzvS
4R8lDKSdbHB4ba1SPrQcvvetR1irlDE2aFYOJ4UhQbeHPnLIJw7oBE4xN4oqIaBHzmz19GkpxAan
vLXE1F9HzDT7PTIs+xm3dnKtcsf8rPjg23ZG9onc3Eo4qeF33gsPcAh6k9m8HjlodFclg09k47qb
wfvZCxlMwG/C77PvjjegMyXEX+T3u4xxCvbIDAVvrsXjP+39v7LRrwlYbM3/WaR1Uxbdn0Lcfn3N
rzu9MIlqs+RKvwI9hX7rZ1eusz4FTJMUDoHNyGI//3WrV1h50ZeasAJQlyqUkL9v9Ur9QqqjjSnX
Mm3bcZCl/g2RllofXD+LtNamOnwl/icZHXgMIP4o0lrl8aiX5/jOrSpfMKrPDcqo2LIDG8PlfHTL
VBb7Po3ileAjq5vIIiUiS6L4rWWJliDkc6sKPJLfQNYvNaIK1pzzijmCnhWNJIV+t5rPZZ022cdk
UfW5bBfzTcto8jeCOr/fmLZw521uUFsfEoOAZLfrXOuqrf1hOE0yaUZ60RS3cZfCzieBd96ks5Pe
VIxVAgBL5MzNxtns5wrLEbyWQOhioTUwN5+H3sJRa8VA8YfJnNEAkOLMqK6H2iIjtadaipFGj4Ud
B8qJk5tsKMerHurQ0Wh6EIJlrqsNfdDpMtTGwQLGC8fap1PIPhgbGB4xk66JQPO86I+T3VaBpPm5
7XGzxr5ImqNeRINnEl522PFsyhCHb5BM2x3zamxZVpk1gIONkFbxhm+eq8zoW9wnVmKf4Iq39y1O
Z+d6FK79yhWZrwG16rB5WpxqucKR2xrq2m2iKd3pRmwqNTpTdWg8jmU7a7LGm1KrLFEZit0ZuV6x
dxYPpyijhhjw05EyOoaVTjcRP4x7vfRT0VCnc/wR1gTMIO11TMJo1MCgvBJ5KvzhOht9JFNkQCFB
9Nj2PMN1q21l2erTIC3x0LbgPrLaN6Y3v3Ar/X01UDDyMSH/3lpFa+fikQhTsXe6xGVMXLmh+1KN
GR2sOveH80jG3ckpesAd2CzDOJizXl8lyi/QXGTpBTQSLaMEjXoIPvcO7fKwWeNOuS0nFGY0/5Ae
WUKcPEQmAKZMaK+E3hxAjiNJqDiKOL1KtqGRwcT1G+DaoFejkwdiSQU8OzSsGe2FR6RKkDYzOdtX
OTaTPdkC7ZcSb9qr1dVCAh9n6EsNv1BpeCCFmXdrbAlF69N1oaPPcyjKTgQ6aHFURf851mro6LIo
+97gCtoblGTR56hRKGm0YqYzkbCHYKPYuvy6m8yRsKMWMV2KshMHkLeevlOCQ0Fee5RiqWWCERUR
WBGE78PWS53iahhN+zZZXcKbqcvU2fH0cirCxeScYM5bNM5feI+0Tc2cJnYW3Toxyudtr5wzY8j2
BVNg+DluYn9fIp45VBr9SFqnjP6FWz3T5ry1C9e+rHf2XQiEe4utstg5tbhZtDvzHCeO3pOVvfeS
ymq4ApX5vSTI5a4E1vcSUfNcN7Uaz+VAwm+bwc2aEyc6aI1rOUxIhQhrkB4WgfaHyoGhFynOlMR1
WWcvdT8slgnaVNeBa4QEeCyDfa6S2kDL1o4f7boc441Op/E8JdL6lNszUsMejTV8p8yUD6hl+52g
t/fdcL04Dzquxj5dNEP6LnslKNAPiKaksDP6ufbp4DjqkaJ3goLuDuWr8lYyvFaRuSGa3v7a5avq
3m9bfkaFLtHLLGZiFZHF/UBwoumUp3SqiaVGhrILB/g8soi842Tjox4rKLmbnjbdvrMjAhbcHvGi
AOz4RNG6Hu2H9Kmd6gu3dfngWfPZH5mW2GnoHyGWVVRGsnZPXmMkPvm/mfeGAzS+9zMvOQ5hWbwB
kvK3mTlb5NHlpunAbVb4J0wBu1k/gHn1rmY5TNuUu/tRGGWVb8Q4W8ToyjDghP/smVrAyLIjyF9u
Tcp9NrCz96b8XGaoNPK4N4iGE0B8J9OxP9nkemwlVOEHmKxJoNxm/AiMhba31OWNlVVpi9RnejUm
WuaDJbvvETO3ILUpukpSpgDtW/KFzkt+t4jEvxsmb7mfC9o3lDTdvdU01XVojOajK5olDdq6SUFF
k9m0a8va/EL52mwVrckHTsNlF8xjLINY92AJAC99n+C/H4uBYAqJAQP+G7cWnSBSPWJyctHOR/G4
LWBtX3kUaRuXyu3GqpeI/AGDOWwkrGcaGdW1N9rxqUQkdF8jZdl2tTlwZf14/kYaavdoI+LSAYFc
8balYUvZK9ocTTGwCyEG62ppiGoLlAV1J08kTBh4ndK2yptJVzqg99ecl6IcLxlMcdpi/k09WHaC
uS2JwyvpGOlNbApyWCzoOzQarSfdZtWNW3nzozmKllOPE/sPyp9AunvddFVOYaI2ZcgMbYgT865B
d/Qx98v6Y+QVzX1By/FDBeTgup9qWsSjtzwLhkNgd0taiM0w78KZ4p2A1jbeKj4tRz/6+N1VkS0D
gHK3fyaqlL5+otpiayR2ETg2oJ7ajM37GjWP3LmICU7FaKguyNNxvrb1nBNM1Ahr55VKch278UVN
LiXuEDuHecrJs9F1uJzWydArseSmEZQhE3cyBMbA0ab/cV7s9miqhQe9hxaBYKmoTfY0CZ2zm1TV
U+hiIt4YNoA6FI0Y+bfeOJ37umz2baX6IvinOP4rxfEqSvlvtTFoxbL58lb+3AX58Zrfa2OLAhgR
LlUxBai1Gq9/s+avMBscA44tCMCm5/E/0hclcClYkKodEj5/7ZD81gZxfgFkafmeg+tBugJxy9+p
jf/MIPXWvFbQmCTrEdfk/9kiTbZaZYYGQDngE7X29zBAvLl/aQZfFc1Jm/nawE8xUsT6gCSY1upZ
guwasXah6HSpSsuZJ/w6N/NSeVMYljRpZxgdhBCKSjIIkvbQp7qbwkPqJXaSnO1oHJAWLvy/YX8M
maX76pkYTo79MFn6vJ/isxh4si0pM0/X2MTodgNjQO+Vn/BSQTNL5Zgl86ZGPWx+soomZFrhdLgH
HzW9AyEZf0eje0GW18f+XZJ0IFF8uFGbnHyQHAdQIQuom81izOw81KVBZJeYc/9RjP2l3qGl3v3S
//lIeZdmX+Iy//Lzsvn1Rb+uG9K/OcdR7+Oh9Tm3+ZzZfl83eHjoArq2a/3Qk/1+ppQr6cmRit4i
TcTfz5PkhTvYc+g38kvW1/0908/qR/r5PMmawztEMqngHQj5rln72R/bQE0sJkfUJ8WIfitVtie8
AiJo3nkQWoq4vLL9yGA62MYLuoDG6Y3neNWJZq5jcRiYDKKqSKTKIeEfjN6QSEvnOrsGpZfo+46E
u8/DuwqVaccpFlF23a0aVX9Vq9acAvITlsF076xqVvhIxVm/S1yLVe06/BC+zuJAUN8QIEBBFotp
Hons8C6X5RTL+O1dQzu862nRjLhQ4xHZ6ne9rXSGogigXXjJl6Ez4peeOLH8WDYljLSKSto5dzYx
FgBYAVgpxgtpgoQuHxNPjrdZzFHf3XvAFqtbghf4uIhjGzpUxaxVeCTOQTYTSo96TY8t8FRxqKCc
YIOkcufIdOthRuxh6GZcT3RLc96PjHxteqvbfhjgbkDQEeYrqjUUuEA8E3tk7MaRawFAoEsWc/5j
ZTvvy7x4X/LTj/Ufe0utgPvoSpEO4gxRQQBcVFkxEZae7stFvy3hPLd2GnQ50ZXbISopL1yLMd/B
SqewuSWE0bhiotLco3oJ0boYcsO4rmEYGBe4XY3hEDFJfgQF2Scb2ZrLBtTJeBE0/PaOvzJEKp3u
OAoS/JfOMbTPtt4PXp6eqXTloWSqDjyygxBWDFCC6oIEMqQY/ZU3TIHbx+k+z4tyK504urMt5jtD
nE1b1Ocp9YstNxpByrFd/PDSrMPDsDA6AhCB5sFEHCpgqM5zWuYMMqO6vR/jwb1QuQ6foMoyl/cF
St4qni7cDyX0pjL5AHklJMCmnCl2CWMNCO5BY+2i2xtFsiK60vBDXE0Sz45jQE0Jp45ptOHvsWvL
c4jf/WCQEAKWmJPu/KGqPZilZPg+4xIBsLrabgh9i1Gt2LqWE2KYxp2Ccl6Wq6KxHBAlXZvvekBm
VyMBaIcxS6MPsirltb9wTNiIyh6fSK7DRewBwdBrnEr2XYzKQTXpLva0icqi2KVWiW5RWPY92Cv3
ijSJJ40zudU9E0s0Ce5ZzBj06XsuENvgVA13fRRZ12IiJlMpv990GtXIpic6+hJnTvGhaWmaD6Fb
faW7+lFgc4HH63knvmkk9RWqaeIivZtlzqZL6LTxqVBT8xQJubz0ciFDxR8n61WXuEwMrOno1mrp
nkZiYfZKV9/WZIcj85B6x4GVYTudanJkvP7FdHT2cUaF8FGOXbI2sbz0Y41rlgYMK8wxuuawYn1Q
TI7dPqlorJSc97HlZwcOxvMduEX7NE4tgsliTnlM81rjTugE6Za9aHAKjpncFysjbjKqqQlKMkO4
iyO9gZU1ZRusK+1WGfUM67SvgjHkUMp16ThGZXEQGWZQ2e14KsFWgpqyrQ8KlPFdZzTPydI86spw
3yabphyjglVxZY9YOAOrWvST22h1nZtzSHiWqjYOQ/stKsMrX7XuzTw2NUujbx8XTqJbuzHLV6fH
YFEhxb+XDF+/rhD3eiOMbFqpdBVNh0g9R7GyoUVklsJMWM8kYxJRqyzRf+qghBUc9lZJCRmqqRBL
oKcGZ34VfWllnHxbcbhBO9RntA/jDjzttI3RTL3APEuOksQyb8OQfD5bE94wBfuP+OzOMlhxKjZv
BVkssKeFgf+LUMFLqluQrIA6fBzNk7gd2oRsgwwmG/MB5AXTETLe9FCOCvVbGo3ycehC7yt+HNQX
fdIzQPBoTe2AhMwPmE48mgyF/YXYtvKaQQg8H5LsqHM4w8K6QddSYe6KWzS+ZDwyRRBPszDaWyIx
UVhEvRy3QgL92rTYXOA2DDB/ZuGdDWGVtyg3GfKgYwk6c3qteeY9wKWYryI4QgE/lLgXHbZXdlqR
11KrCYLp6h31Ku9VEaLyvTTUG94Li8iboeW4WqPnIdlux5gKTWTOSY+2g3fjyzQ9cxpz9EYvr7Fp
IRgxsxJzyvRcms0jthA8UKKBbbgyhZPeidErCJus2MW/1GTv7gxS3GSgYEgcIyO+zVLAd6qHocyA
Q3xMalsddGQTSFa7r+iJvYfaAoQd11n5FOFTYKTVVKdRp/muaUI7u7FLIHZ2Wwy0xs3oaIwIUJms
Od2BAWV54c7NmW/54z1zkOYNyq5hovwTjPAz5X2InFCdeIfz1qIFEpR2ZVdMsuz8HuStvc8gelwJ
tGIBRrFpO7dmcjawShLxWZSHroe/o/qp+0Q7AGK5VzL2d9PPXSu+6rpK0QdYy3kY86jfOO0Y3yuv
zmnHleT05rEFoHVqvws5pDt0cP2jpm+xG9SIQCby0r3ySJuSDULmVRJzS1RWdxh93H4z0Je7IdJS
7ACscLJUhF0HRhMbVygVmkQh4itGkpFV9rmexn4fjV76liPWR9nF4Zht73PsZd+aNGmvpMHj3kRh
va1t/omUX58gZts5Ig4wr8g3U9shEdbe6hI49pWhX30N4avLYuPQ2QX9jDbMLhpO1MlqdYKgUNdX
PQXJDoOTf5RYk/buROWFnc+GoxkP10leAkvOpqpG02YYW+AQxF1VJXhfty1eQfyirVLZE1oJEfRz
7BzHASJ2Yt/AOamOhcrRWFTgD0thv9ZmdcEZSHokQ96A/vSBLdqgl268iETRAIydZJU9k8qa0XXC
vnvrVs3FNduD3wJ1GHPa/XQCtmZcPHgGuARdLhHkalpaNY51rHIkCdKbJv8qi/bEht7I3DAe/HYa
8UH1/hHvLnY8mV/IDL2fmyTed1AzEHUbdB+y+YJmSGzTBM9B21XltlugUCjkEStEUeD8kwubsCvv
ENdAz/YN94nUyeS46JC4RVt8q0PH2BH8lW+SHN2FlVQ2D7IUaHgh+wsaPOyo+VzvXKjmjDowG01D
QQoM/Ty/oxU82L0ITL/qr6a88Y+6iAyGgot3yrv5kiX2ZxW6z/90IP5SBwJKwX/vQBTFt9cuee27
n09TSDN52W9SDIHewjdRYTClW3sQTOF+PUy58hfgRIztQOMq8UOl8duAjs4FzDQLmuhvqITftBjK
/AXNBAIOSPYUEn8zfUipdQD3sxbDc/GncZhTHic+k0SWPw7oAPnj1ymT4VgWEcw8UIC7eCn8wO66
F4ZgXz2TkX5VoiggeAZmlnY4RE1zevIEQZVm5z15g5eeGFWlgNuy8+Ap2s0GatCaYQVGAKyPGl4I
8/sJQQUpc0rCQ8GrKOku1P6+8g0eXSy9gIPfpaKtwOJFGKXhpu1E7VJD4obZYFkbAo2yESlIbW51
2r4MmY/9kkTOuiotWoP6q2NU5jbL+c9TwQkMjG5zVQ3Ni/DiKljsgQp9gfaUh+4Hmr0P7LlfByp/
Xlu9ZCVJU1EnN1PpEm3gWBcRI1mzCj6PU03dzmzqFweW4QbBF2QmY53FRK2FIx6Zw2BQ19L1Ro7R
IVjl0gykOERdLpmMpN+t1Jg2jsOlfM8fNLEycLDgEqg0euYjcBlM7ypPWtR2Df/VQJB28B6IGIcW
+QmxVR41eZx7CqYMfZjD36bqgn6YIEheyfHO2yR+jzDGWm3sM5egyiQykE4sl6jMLj5jrF3W8isJ
UcDgopCAkDhlsbGTgCgrB+33Ej0z/cPx7a7m7LL4PhdQeWoJiM7G4kGNOzNS9LPoNcwMpKANIkIT
J/+7JKM1tYYJTEIIaH/0DuYANEL77VPohekZnR5ZyEa27KsFUc3ocfUkLPTtaLtXnjCe3m+ShMj0
7ayINa9c7gMyDIDOgbRqTP8JIPlASAN/5KZ9GRLeVKQx9fDIo3em+3ZbRvl0cv3OAgS73kWw+Ngp
XbBqgudh2Vo7d9UGkSZPkgf8eOpmoiwQ/txyP3+ffAptC2L1hgzArzQ6+O4X/k2HHGMGYRTbsfNa
mNAlr8m5Sq2g7LRckg7NmnDLpm1e3r/vnO73ZsCUHnQjn5fJto/SHoFQWdN763FPnEwRfWeRc1fT
WYPWyN3pudwq5boW4NPOz1nMvzJd+wqdie9/8rEyVyn2Hi4X/LCnmfCMHZJaVpdLQuHo5QvRw6wO
321fXE6LgePyDXs9N5PHany/GEXFohixldwgsf2al2ANQ9OtT4g87Z0KuWmzlOjJGZTDQ97qinPB
yLS+Qbcju6raI4+3dmDtzG3erCS9dX45RnF77bXGRFIfDD1Zw8eru8XapS6LEqH5ORk1z/OePEdZ
8JfTWKQ3qHDMrTTZCJBrEQcyR9nOZJ2Y2ZBchti+fV9eqDiXoyl6azcxg2K6jd6n7GFxmKCxtir2
0xM40OIw4SDecdJnGaYkRr1/t/gR5MYIi7MzoNeKBLdAUYHhkyPX5v0uX1xSUsuq8Q+Y9lNwf5m/
dyS5zqOBwuj9BljvcJb4JVELwqOZbcwfWN+KUe3x/Wvu+lGyDriNILt0u4Fk2S9VYhtHEtkTxu78
rqIXxjH0wZJpO/lKH4ivQKTMp3h/vmT1mAarOUe3HVgFLQCz6QsGDeZ0a0/2wRv1VwPRD4oztGlh
ikkBe3JClIxpHCObdVpClMadw0jVdbjJihxpq0EQckC1zU6sczBAbA4kjQDiVwc/zshoZE52DgWA
TNVKJ3Cxj2FBslu6QS0x5w5DSnfN2ZyS3DyapS13RhaxKUaCzW3kqzNc8h7D3rrE0vcOcKvmQ9Wx
mVSwoTgU87HDgbcw9sweWSLlke4vf7iZ/LE3Wf5k7d4XLTk3ANXIeORnx/d2wy3R2OpizXo+OKFB
XQUdg8fOyM1UTxWA5YTvr8zMLXE7qPUcNd32LmnryubSzKyA92uNBTXdpjk/sicPda8K6N4K9xrp
w/RpshVv4GZGeG9hpscmWGcHL6y/17j1XBTVOxY9A6iE/UQZWbIXTfPqmYa9KwyOJ2XtfshLBlGp
Ed8bY3/rQjbHJepFpzmZOKkbWZuh4oUqvrPSEeJXMdGR2i7Z8jm1s3zYOFQEzg5YLL6lZWn0V0uX
0xasgg/z1bSe7CjNtq03VvqGEJ/+lIwmX6E0ieshRVQwZ9YmYOmYZNr7OFIOHgqs34Bw6IsAbZ/T
ztwBnW7aHbCKSnAAr41TFfZfDKTIb60/vKrELPtNJKf0u4e9cmFIaSxLG7D9j8euaMo9QR+TjzbF
IHq90g1rHn2BgX3EwowjvPDGH8vFwO1QjO0tJwHPvSKYhW5lxwHAeJkjEj/jPhoyTJq+7Db4VISD
3Dpl2msPjjXvIqsIjYeip3yIXefpp1Ls/kcF86+iz+/LBHj9//0/lFx/rmsUg3tJs9pEHvVO5f0J
fJz5hrVwFu6PbjJjoVji70nKw0UW3lPfAG61GagEKuFO/++/lxnVv/9eBScFbZXpSvNP9RTxcNbs
d1V/JDh23exYgzJJ35hRpvAg0u///betduk/VW9r+CGkSyWABXp/+m3LGBmKMID+mM3cIGslQEvQ
2EVgb358rn84av+LBd8Xkov6n+cpUJW6Jnnt/lV+/xcjyT7/+kc7/o/X/3YaYIJoIsdGCPfjMMD3
+dtpwP2FmQsJmZhufmiz/2e0AhLcV0z//HXgwYSFe+63kaQHfZybm78EyG/Rkv07I8n1MPKH24lq
zWZkKmxLMTOV6yf/eboyiyIV0J/MYzqtKQbfs8i4m8gaxgC6BaJ8zBPz1IKOQOz6ImD8adn+L8tn
PSr921tg0SIY5DNbPrEgf3gLOIWdysNiwdBjNm9D9TKTYdjSVCnyfZQS12t2db/1K0zOKgtvKhLG
MSSrAmvfJ0XJucQ854mbAe1Jbr2373wkKi7pSWu+gLIHetZ6S1YR/NnqVQEESkqKsiLeGOlnTYm4
/uOsUBUm83O7lMTTt5uWbGmb1kDZUcBFDGGofIp5s+DmJgujaaXcminhALL4MHuEE3NPHCfH2+Ry
7ebIa4wdEL71clFduw5mKdU94wbRLXt6J9tdm2JM7i+og3FNFYj2DDgyjv9JSGPXRu4XiEkcWrQg
O49em+MGOfohM4536P22w5QHBGM9TAYxIjXtJrLkdkNXfUZTbh6SrL+PWveak9PXJeqDTqdB7UAd
cOjj4rXpaNQXxWs+KfOQag8Ulzm+FiraRk7fnosW6yF4N1ynLb9sofUi76JcR/9oHP7StBZF5Ppg
+s+7yx6NQ/L2h2Htr6/5dUfxzF/4EShYwTXD03B/Ejl47i9sMg4JysJ6n5uy2fzm9UDkgFoYTDZv
wLRcqX7fUSz1C4NftijP5MFiUSf9nR3l31azg7RBQmaw/x97Z9IcN3Nl7b/yRe/hwJCJYdGbKtTI
ocgiRVLcIEhJxAwk5uHXfw+k122Jkl+Ge90LK2yHRBBT4ua95zwHH4Slf19wfvoKh8Ooz64qu71p
dsBhwHyBMxRm5F2KziIsHBNogR8ZGq//Pfb9p2t183sN8O7rKJeuBi0Xro/rMJUGOPnLWlJVWDz7
eaTR2pn9xplye2PEZgZHLs73/4tDkUGEDwWgOxXHr4dC89gbRi6XNjX+gcw0Bra3ML3IPqo+WCL/
dFZcSu87s4UG0VKB/HRNUWymihUKbtM4xnCr5sqvAcOu29HpDn9/Vu9oLd8voMU5CR2dGArud2c1
9i1wFckFZFpO9vNkEo3X2W8jdJWQGdXaKbGgIAVJ14oEtR+Lwr8FkfMM/vwl+Ovgi6KApxhp+7vz
BBERBJZq251WChRuyRhtCgN999+f4u9XUxL0YKLFgXJqYY369Wo2oWsxYgo6MFHCrnk2C2Zpcqyc
xXuaE/H094f7NRdBclKS4pjqcGGsY0dZTvqnm0fMkWlFBhNmWjQt0YP1N8cy39wQ47+R5Rc2FIsf
Spj/4DJK0zSZ4dPhEwZcyV+PiIY5GYBXdDuMHiTMkLPHzfLKzd+f13KZfipEv58XCg/qEAemEFEo
vx4FRBS1Q5V2OwvIyMrStEtq0BMzX/pjei4/OKc/XcWfj/buptlCD6tQZt3O7THJBljUwz4nFjhJ
yU4nuIpkkPT170/wO2/7/Rki2bKl5cK3td8vZVOU2u4w8NoZkS1OYDqzh1DvMECVM8QsxrQkE52d
fnLXVQaoxG5196ikte9Aquz6zus3HXr5VT046ss4WtphsoUH3aOtCAZhjONEGAtArn+wMBm/v0bS
0sE/GfSMHfO3J85t6MuULa9RPHQCcoAGfpkOrgQtoVn4wRqDqahbDr7F1duYwPCe9dmBrG646pq4
NGsdqtA7kYz211f/3z6Z8o+/Guvz8oZL/vPuZUi8jPhembV4kiN8zZH04zoa15Vrt5umCptPCK2T
tT7YXuaXgN+OY5HUl+TgYnDNR3xdvV4w7G0W7Eyhr9AHB35QuOy3zXCi6jLra9OetcPMJtyHdAd9
1pGYx2jrPHQksj5ANwnWnhVX61pozhY7fIwltnapdcZjm9YNbd6MogkJDBxbeRGJ9BPJiOx3xWQx
lZrTbY2nkI5Reyo9Z95XMUFogAHoIgcZg/Ro0h+1ugIaUwABDuT0lk7WuXXbdOUBIN23dtSe+MnF
9u+f1t9fEIw9FAa89cKzHYci4+dlZmxoDUmqu13cRNcaQnQy3PWDEY/33RwwzOty4z9+JTkicZ+Y
W5aNiPfuiF499q43p+2uDoKD0YgNaWRfvEJc1haUFWI5n/7+DH9ftwn8Y7VBpekt2cLvlrUG6E7B
vWnBkGRqZTJoPYTlgPzQrCf/7w/1+2PqYl4iTAIU9rI7e/eYhh2uxqEv+Qq6vbwotco4oL1wPriA
fzwKAi3KFAvV3ftblqMFzduBC6jZtV6vKsfT9mSduTd/fzLGOwUdKzVn4xqGS7VIBJV8d6NSgogN
W2GBHUej9EGQJlt7zEHiNAWT/6BxKCl48OltEDLuPpLzuisFwTUf/BrWbx8MSODociXhj6gNxbv7
V1WlmOPegfcP4JhOtpdtSVputwJdjUv3dRZM6kdvU+vlt6wcnHPaJgPyLr2/yufZOpLoHXxwB8w/
/k6Og2TYtVAYvq84MINoWhBZza4Iu+Kg13Lj6cjhZujK1wG43nXkdOpzBt0eS482nToFmt+mYed7
LrIwp8i+ZcbYX6fIueZ5eIZZaq7hlqi7qUCQplAM7SVegGMxZdcgkD8qLv58Ah4qW+LIBO//cu9/
qi4Co/byyR24qGhUQrgE224Q4aeIVWytKifxg4aAgNyxW75YdX4kuPrFjZ37pra9Q6eCYD0SJbkI
9L3bcnbKe1fM32ZiHI8WlI7toMKJIVCi8a1osy3B3+qD8shYbvuvX1kei5/O4N3TObQZv3A5YdDW
kvAYzF5xbOVYwAfR/XbJ6LA6NM5Joh/gcS35IUCm//7JtP74FNBK0yUvo+G8f93dibVkkl2zg0mC
fA9mnHylrLpxcCGgotG/llk/PiJPjb409brt+nCdlCYmZyti7hM2W1NvIHrZgmSE2BggRZkItSIO
uMMcvqgaQuMbBBWDpdKBJJ1upJ6Uvq15j2QJ1nujlyALpZHtIea8MAe7sycOFIrv2aNeIz+45r+X
bq7NbhCHP9Jdnd3Srw8Njn8nDRjU7Sq0bUVA1kuS+doMN5vRgvVBnfiHZdumBmbnKdBnETL068Ga
DBcZoizsV2Hx5sWoOC2DEZUg0/2DIy0/6d2TxJFQ93sk7Dn6+8K+CsIO55/kSarD+9SwwsckW3hq
+cRuQk4pAHXdJrwmsI3og0foD19fW1/kzpbFh4nC+9eTbEOiCYIETQrwys9B696MTnXWRfCWOe0r
W177gw/U+77dsqaTvoszwTDZcANp+PWAXq81YxzzyLINL86dRd0zkV42FZATrH7+Rpr3fRkjVQ0n
RXEjGCD1DUkdMI8+OPU/Pkw4K/iy4Af4TU4Qd8Afo573d3DL1teVA+AgIlYL8B26rih5+/uX9Q8f
TQzG6CpoFJKl+H7Ftr0kDXEtcJOnmgmkMoL1jOrugz3iH68vajzUE8vl/c3FnDRGWBpCNTv2yPUa
MXBE7gChaXZAYsDQWLydveh8DSU5RF3C3OgGZJux1y5mfLQfvK+/b8pd22BXyKZcOEyr3t3sAT4h
rDccjFbPmIecK+Kz6/lq6kHxhbmhrVWTk3fntCZGwk7/4LUy/vQGUw1xsanbXfH+WWvDHpZCode7
yRDRq3JqHJRDHbanJjZkvhrsEppi2fEDVtrEPHvVI/+UPpYURKfENEcpI+hpuOoji2mW2bbomWQo
m69//2T84ddkgm4jeMdYumSB/fpKRJobT7Kwq52NcpwgSuLmBf7mDbV8/MEl+cOhUPgIEh7xBLkk
G/56KPy3DSxAp9q1c5C/CWtybuciwj+s2fr/4rSoQSXGpKWl9tuqphjht8oV1Q5eaH2LoMzelpMT
XCR1SxfxfxqNNz9Wyp8HaH9YxDgSbRFKRIem1vLq/VRL4AQIk7LjSDGoFBhQhbojF9rc8HWbVzpc
LDjl0fTB8vHHS8n+WjDSMsAQvLtrmKmL1oskcDVzEXpIwFRxkpt+rZvNB4f6zkZ4/4Wg0tBxYOHB
Qkfx7kVyU1F24WzwiIhar7Y2UPyaWG0xzD7suSJb23Vj+jY1ebau4OxqW3aO3biZRwd9YO5KXq7Y
osd4CDCJP5ikkBBkVaAT91WW2RDGyeh6AR6vXaXEtDZIQTKmw02xUPkLToloLLtktOL1EtLxYOkW
DkYN8ix2TwfjqiCZkXlDZNzbnQkXKhOjNLeJkY/2hiyTyHzy8AHk3+yEZkm4UuxgoguwiBby2zit
o09Nhjn6kBV013ZRbORio+nKOObzOGo77CR9cy1zBrBXou2m4NZujKzY8r+1YZsPdZMikRFeWvhF
2ovwynWKhQQvLWh2nYQ612uoeo51oZV7o05RU09hjSvbi+KHvMErtBrJe0oOYNdDBC5dCUJ3SuMp
3EBsKOrLpGc7ifjKwym7a5rBQ0jb46oGYoib/yLXmkCn75Ar01c55p4FwuWaLw7xHXjHgnZEkcuI
907JWHNIF2+S6WbAnXlXxIKIz0mrPOeso60Osbv2YXegiB23lYuDGEFAiDkc+9xMfGSTeLsCHVi5
yYKl/adrJlOjqpHupwSp8nrM8nKhMRIhQvyGAr/sdrf0ebfdQjoOFuZxprn6uS1szDMkte+1BZNm
Vd6pA5YMUmw7LvTkADVuL6Jwky5kZVOgU00X2nLY9Udr4S+bpFEkC5FZdng8ugRKcw6uWVjasGHi
xHh+YTkjPtY3noiJglxIz1TM84okr/CiWTjQTgu6WXRQSwsg0XMFLbpfuNGgfCEAZw+LW9teyNLS
y+sNyIb4Bk/fjJcI9qG7sKithUrNbgFGGEzicSFWS83AK47jg+lgcAjI0VyPSdpRVADAyfhK+M3C
v04BYVctjMx4niR/pKeU7tI4iBqv+mj6s55Wm7GtSciMAgIGHeJVBgsfDnf2JnDFOdeicWMMbrRF
FkGkxkLqDr4zuyldz8HC8UbVol8WEWxvzMPAk/W2frMX8jfwauW7Cw0cAhEYuoUQ7gDePFh6DO1j
4YfTpDhCzNnGUhmEsE9P+cIaL+Jg70hxF3fTkxwDRokIzIFGBU/5d6pZCPPyAL6CFIEFeoaC8B5b
ZnBsFiAajh8X6RKQtGzBpYkFnAb6Qp2h3PU31YJVazrGjAOktXZBrmULfG2CwtYsODZ3AbPFC6Kt
wAPwJhqwbdMPhFv6A+jW/cV3o9JccG/lgn5Lv1PgTB6exxxa1+g734lxmM8NP1kwcoAQ0utqQcsl
C2TOTY2D3oXTBvN6ubUXFB3/pdyMvBCbQJpyai7daQiH5jNhjU5TQUHB1p36c2PWnzVgFHoSkoOg
mfzOO0czyy+jQ1D63kozk9BFt3b61VQy377UNBsxTOq4KNmzqZfakfasDuK1rCDQ1VwpEnOKzF8w
IfckSI43ZpaQJp8XaXyAjQH23Iura2MwXVib/UDSYEUzLoob/dXWA+pJ+rtq48x6dkFQav2lbdzQ
RvkTlutkkLEFwIusZdGnwZtHcx/+cmGDWv8uLJ0nd/wUYfh6q1WNTnLKG+O5gDfms0WTJ2iN6nO8
hFQ3RBbuWiqWe5d4ms99w8+ZcLZsytasjojBs3U8FuJgCqt5pAu3kLhwHAKs6ngSEEVVT1HoVl8q
JdJtOmrVk1OhAk+wy2YH0r7SLfDt5hHn68T+kIQy3w5kDsCFsBBSFU1NrlMyAJnC2hLuqGkdugpB
k0MLecOu1Ku3KfumfJ+rkr/fxmH/UAUDybUuCFmU4uEiPil1geAtRz9AWFOULc+gNhwJs4ruMB9n
q9KpO3MLeldpD0h3OEVHpV50EZozv6qd9g+9OXbDVUgc7yl2SZgCbzhflcg7L0Uk+KmWindCj22s
MibZoFQi1dFWUXRKhkY907oDawlb9BTWvKqbAubHdu7IBR9K0iF3juOEpyxTvYNniYgoXqKKl4q7
SxO+OqbYnE8O2sjXug/rWzHXxn0Tc72/J4jPE5ozN+Kiwr2cLjQezVsla/Uqlx3murBn1ftplcSo
yGS8lyN5O7bWjTdGLarj90zyuW/Uazup+qmPuK6z41RfsJ9gYpq7iMtaFXlwDOlG7Dp8cF+9oZEn
MVfaQIaVF55GLNXgKu08n74SZS4QJypzwJKKFMwIpkuDz7LygdmAi0HpXAHSipKCFaoLENqVunGv
jEmeYlkGnxSOwmtbduWzHSKKJRANqb+pzYGx8Fmbr7JDXBe2bnWcaj3wQ63rL5bUjz0k6fGTqyWs
i+Hiilp0vErXwlMHtGxGYS2pwAtAgSdhVdkB3g1GntajiQP6H+FohKUyXiHWc4lWGjJArLNC1DDz
ntPGKppHMpymNxcb0VcnxMoFyyk7GHW7POVdtCTKJ6a8i/Oof0AeASV4KPklM6mnZ7et1YuVRPad
5oFAX6liiE6TnRfGqsHh/pQt8bKu3XQPuhrTc7zcbpPQo0uJivJcCSgnaEymrec4GDcoMqKTaLhq
bhJNN3qoTcT0gkjRRkFQLk17AouRqB2gQyD6hMF8jss5PVOyj588nYnMPPSQ4WZc8RFU7Wh6cxRt
PqIIoqBc0W9p8LDa2oDNQysReGM+yTFLaXZwFhFbrpXqmmo65H1vA3bveJJIo6hZem3Bk8aaFZ2y
NCmNdU7+6o1mJTRx+ynjXuuNG/UHm6xSvL1N+1bCJITorOfAPPKheiOl0HgQoRr8fmjAR/VJ1615
9apbVov5rTQTVa9tE78ggmrZfTOJ5ZTcM7CFmlJcFpsvebPTYUARK07Jez8D0Tp7rc5q5tj9N/xx
1W0bFIuLx1TXbT+pzyN5VLcGnOZTYFfxjpTtJUDOtQ6sY169mVze70IL28cKZJ9+W2tuwxqP/YpA
tqnk4hFMccWeONgSi1yziNmmQ9+0tToGwpb7PDduex3kKtz1WdbvhZ1za/hsXlpIh7uVdML4xhaN
2ioE9p9q1QerRaTXhiX/V6OU8oNeWa+4ueVWqIysDkFKoWmN8AN7y94ZXK8VE03hp+iz1Oo7ut/I
yQSgCMFMI5LgwcxCAXKsvMOBfEUSFHo8XYfM1Na1P3Recl3R/9G7iNCLXNUcNrVh0efGdeTkrBvW
zHhdj7WrEV/BqZhkcGcHZnnwRrxMLLo5QQYFw8YKp+hBxu2xn6bMj3k3r/RwqC9JJiwQKKMUotSn
BPQY/9FCffFkBHfdIdQ9Jbnua58J8nl1Y8fXiT+sptoUtoGiuBUXJD6IR+rtha0zlq/esMyZynYb
0Vk+VEGJWxexLRVegkfYHYfwTEzwgEVL7e0yq3xvIJeIaNZy7w7zC/2//HOaw1fkm8NFMjURstCz
w1k704TRLEnT5pBqOo7TQNNPaS4Q3HYdgy+jUz4V6oDpLdVByyfNXVdpNkudF567hoN0MnBuOmyn
KxrT6IicQLx4sWc/2E2b7ePYeRhhWuxol0bUgZRyq3xhGZbxEF3FLo2b0jAPAeTM10gPBlzZmr5r
kef6bgzweOh5GRsVtSsY4B4E4sm+oLgQj4mQu0KO5ZbXiQW4hCG1Cm2giV7meW992pmPoxLGtZd7
M6qFXNxjsU7WIzXsVrJ2XeRBkz2AG3Bup567JHu4SFuHuhCnfh1uCN1Q32ZGTeZahW18XSU8BgSP
hTGsz4IwTqUIyhR50mB6S+o1AwSSkLEYdo5NQS/C5CXBZ30Mkc+1JA4CnxYaPE0yLWfdfGxjLd/y
Km5JykUmz4yNgszprnMhg09ZWlJmCIDuLIG4cNw2PrtE8CJsttyLZoKlGejRJpKEA6Qw3065kmW5
jgbPYGiRzYdpKvsrW2p8dkgKT3nhoBqocEywolsRxplkxrtX1wXb0oxYaDTP5dBfeUGbPOWmIEDG
oAFPa63kizUrWhpdrI03XmBVl8CbcAjwZcC63NUkYHokT54l6Oo6ccZ9AIusd5v0CloICSAFCrhG
kOgwMeDBeNK0gEYSbHxNsjdGzXvymJmyz3mpy6Jb52TUrSuFMjxxigjrQ98aT+MkiDQ3nVfitr8F
BEY/U7FmkIoI6E5QyH1yMqltrR6kfut0+e1kU7FkU20w9MY6tw5H0mIoh8Z9b+Z9fNQsvL5+j3fQ
2TvYj/nGCLs8afDhwlUxOeWJ9g3ibdNNiJnosoxFCI9i8pznSXFrVm5+S5xaiiV7YgFNInDYWWPq
r0WTRF+rQJ/xT0AbPFWoAI6yJm0DbbA7PNVUPNy3mE1OHtk4gHviXQ+ZcvmieKP6zNeS3tmcGbif
0XZbhzKIzXvqY3am6RJdEqZj8zVPy/Zr0zU0Ecg9z99SUdBVaOY2eNabxHhNo5ovfSlg5TXVGDyT
nsgmXAQxiRpqDpqvmlQa/sO596CcprK4y6qRhaEh17zcOmHbl1vhDXQ0gMLweERmt7gviqy8i+wu
ldSYZfAsDcm/8dSY1b6TeKn0RaHzGBXW1KZ+3/BbbhK4wshHUWk5qCFHDprEomgu4lm27Bv1ojfg
8BPzHW4pXvnJs0YmIJnvtB/9SHiTttOmpQRomZAGeGFy7zKJdDh2dk0E7DoLbO6SNvOpg9DXBQA8
ekD0YRcvVqZQ5m9m13HUrrImQInC8p5/XEzZa2G3shhPYpZodJRpjjGTRsh+otxZngzXVmU3MC2+
NwUsQxR3Ev1YscvihHYPyoKYDWZKNLky6AKdyIUYDYBr2Kumui3vJL5mxS1k3opPv+L8UkfSD6mV
niYXDSqGfpdPCD+ucJX0b71Nb3TVmVJFV7ZmRPfp1Jsk6RbFY254zm1KXAceKuXq93hYmgmJKbi+
k+g46b3Z6zweVOX81vjauXn2NBYa879SZmvuCe8uvf9o8unLcBV7reXvzwWhSTG7lxgQAAlDU9M3
3+KkSbKd19UVAwwPvOAOyog5rjOd92c1cDvnfUH/70gAAO5rnkMqOhmRsnLQ7ZomSs1sBZNORfgO
rzpmf/6txvcLOIhORE2BCzAntGScs1PUW/q6WkrIjGzXFmOGGX0iqd3c4BDXj8yk6z2eXmxgoTti
JEjjh3mOhk8DVJAfbfX/E7h/IHCHgLVM4f6nNey/tC9/ccqvX/Jv//1fhyyLCxo5P3tc//pH/xSh
Ov9gn4F6zpAET3nfebJ/ydo9gzxwBqnLTB0N2nd96r9Mrrz5sBcYPDr8EoIO9D9l7ejkUa3QS/ds
Zju6/R+lziH/olf90ywQ5RsaV0LnkKYtYwtv6XX/1MuO7VgkmQEGZKwIzqIII84RVJx9wVBca4gf
NgQts8S7U2nFTmWZERDc0buSiVkDLXtfGznDcbfM7OM8OyLYwHGdCXbU9fGWMJ5c7EjFnrTb1Evq
x4rviMS9aYVYcaCtEAkAQPMSNIlbAZygt7fqcn0md40xyaWX2A7p0kM9H2ZjbsUC0oEemDlWjacN
1SOWtZJmUxMowhlcrXr1ksn58j2DqXU9KpQZRuYqUlnbrCeXZg4h2IMwLz2zBRTo5fbVIFh6874D
Nm1qW6dhGLrCDorpS9pGfKeSZLodI729rkMzPy+BYsXGGUuNgtAdQ7kqpB66AEHUOZOK+K1wqDZs
cqZ9iDTraKoatmTk7sgHgW6IKancyoLYLbOJ+Dq2A6ZNf5TUOALs7mPmMQeKrTq7M0z62F4knkM2
JCdoZp5PkoF105lJDRl3En5kmDeRPTc+PRxno8HyxEOjZTeWo2XXGI/OUh/IrMwydutqdKIv1Odq
J5ClrvHokiqa5xTk9lid+9pyuOxRHF7x0RTXQ1RAa2+7ubvUh01lluV1oOr8Lelt6DnIu7aNRIcS
0gw7I5L+IgMCKYyAMtXWImDlDX9QpDx6AiNsTdbzWmXy2A8lHxE6SHcJroCzNXrjhaUcaBWNTnsi
jV4T5J8vsrQHfw7Hi0yXky+pnlY2/bYVwHjtti/H/C6r03xdpFlzbVpptG65Ivja0ts6S9prbcRs
EPPGfiLIAVNDY47XEz1EXzEe2BiS31RjK+DrfRDez2DcciARFdVEUpQePzZJ4NsqZVxYWOiOk959
zfj7p7AT2a3TF3zyafJ6Z4cu6a3LQruaQfsERETM87XQrHadqF7bpWxIiFLsirNu8kQ7dtdemqkQ
F1NmrqDRi63BY39VIlD+3NdEG220to1gDoNEpysGvtKyeuFXaTrsuiQAaVV1Fzai8KMe2Vd931QU
QXZBG6YkwtpNRm2Pz7hPVw3PIG1fGmddQE6gPbcPmpZtiSA6M/PTt4FzIfrFn1sVBB11yU1k1Set
pcifas/3MnE2oJxsCld9aZTjHPKkfJgW7QY22OfcqbMtn7t2AptuYpMG4kmq10U2fdVCkC6lgSRk
7vRH0XlkfU1esFdDr10NYAg3QadCP9HFZxbD5mQSer/VmrpE9h7Kw1Q14kHQYKBz7jR+HiBm0SyI
FIl2dNA+rqjyPrNJrTaguOpdRsOQsvY4t/Fli49xhal2NRGDVwRNvCKvE+OJyJFBJoSTDyrepiBs
1gLKzZnwg+xWuTI8oOSglTun1gEN3Xibj9m8K1pSwtlf17s5He0rUfcU+NZwqCccwHClmuF2EO1D
Z0zaHswQVlxhRAUvGHSsQSdeTBOZ5wN/MZObKRis/JIS4xri62tZlXJj27N3n5ACtkVKndKAioMb
ooLjE1E2L4VQ4iArosLm2HixVQ+mOqr19rmpOeWFiOjXKjMvwgy3DzISHmk9zKDgi4wOb5TdQMWi
qUUMwArjBFsdyGbPc0fUMmnmwbrveAbjaZyevWlkS4pdqbqjR3NX6DbtNyCGp5ICmiGMl3XqJpQB
sWxqAA+rTOFAipG9TgmdlAeoXDSFcB4iPFWFd24T502V+rAOTUq8Ad4KLQzXANBIuxvjnV3kZYCd
EC0C/tBOJjTGYlvbGjNNYdds8+0UUYWzuDPrGruHKJsaQ+ynvmiP4AOijm+LVn1JNfbxq0gkTBbH
aDDtU1q7tONwh7r7tAO2fDmK2r4d+WDfWXXAK5IOPHqHuu3lUwM1+RjN+QQHiaHNa8vTH68NRITR
2tACBwSTrZxzxazK9OG41ccS58SxmgKSFjxIIhAh28PESPMUgUi7o61oOasatMEuwlVILPg8RJ+Z
Pjeb3hT53oDS/uIidveAOxJUQ9RpKy5Dqzaoi4WiVT8PCKR7hdlpsPq+XzGHIvqHpf2tSIWORUJA
EG/7prmZRhOqg0PRWq+wEytgYPQ8x0UY1D3q7DdfqlqPP/NNxvhFRXhFKlV+Cnrpvelj1DFzyQLr
rFFSP2pkRF/nOj55w85A4Vr2V1l4gG7jyKo6+hQ9CUaMzw6y7A85q+26oX6Y/Cmr3XzlBVxFBGaR
+9D1k7zM7Cb7qiV6Qq5SZzKFtlU83AaVsB/4jngbBfx3202TCUfWcVSAhtuIwgPB4eOXNI49wWIU
El8GUW6RAZEtlE+RdhPD0UC2auX1ZyY06bWVLQC0PmiFsza9fCbWtkq/AsVNz2pgb9YAw1rj9AwO
qQECyUgjXlaFIe00V3ju1wCYMG+ZDOzgn5mefqWyaPgsh2n4FrhR9ewK2giFlnioEkIvRM5cTdqx
NpL+hqEumwMLbtwXoU+I9mkHIMui4bfvHLrje0cb1LMXjoW7nuADHpTRQq9K4qSaUDHnySMB1Tjm
3NJq4SMT7UpnxKqIklPZgXeODURn6go4vhjhg6WRt7GcWv8ceG0gNkWsp1ife03uukzE58BT+o6d
moNxviPohbhSYMFWhFdOMvEgn950LqehrY5G1Nq+rYTuTz04gMzkgXMyNS8aRgEkmLQ6OvAgMCKG
Gys0GrdG17R+I6V3SbYG8B2HPCZ/dBJ1aBxRF6s8K+rPaZ20uPXCrgFXNDblE9ALVWxaNqIV3e5q
/saY3LoK9EH5GFdeRRh5n5yoyF/KsCm3AAT6zGeJD/LVROSGtmauzYooidw4xIhVrrxZOM+9rLO9
ihSaHTOUePMna7JenaGOLtrAsB68NiJe082tEWp93TerosRAzyaI/5rCb3X3NHCms5sGVb8ezch4
6T3cj6qQ6plskvZWegTkAVQz9c/dTAG5CfWh41nSm25FKq3x1avgPG+C3A61I/FSwRODxeIT3m27
gSQejRdd0027PtE0+nU16LQcqeIhCdMbAgTip6pwrsOpJ2U5J6bE1TawSOCETa2Hy9HT8eQvJkIP
iK0vSQU+0ejQVq4ROjvgJZjrZd2LVyTzJgKxUoUPhZgAvCf5wGTB0CxjWhtNrNPFC8PrpjXnzYAi
5WDCCd/NQrb+rKxs2+l6dwnhbWN3df4tSswOAUdnOygicBKsetJH/RQ67adQOsGrLcpg25fAIlbc
TczuqhbdVWSOhAxQZjGjDKSuVnENLh/ZhUi+YpQBS14vfygtylhaLBIPUHU8ZsEI0goWJyw0cA+1
EXSXtRq9hAfcdi/SOvfWoU6NmA+g/5kkNECoqm7vxh4eUvwJ6VODuL1eRcHQM0+IJbGWSpn2Bjj1
fJFqBlg09veXnGF2aYo4/hLMcbvN47Zl6lf129CzikOVhZZvpvOjmkCDrTEC1i+hVTk3Fo7/b4Ye
1z8cYf+3S/5gl8zisQiB//0u+RyVX7/9P3LHXwqUaj/cn4ev//1ff/3DfxrAjX8YJuRcG4flj53t
vwzgxj9cpKr6jx20gzLqX/tk/gU7bptY31+J1IIfh84b+Y4FPfM/MWr+ABP8skfmS41RyOJ3YMfN
bujXPXJVh7xDnlcSAIDOOZmiEuQlnLhN6JLbHJvyaWD2dZVppKAQMfuUhXKBsTrXZtllNMnmiA9S
I3IIaXlxk3X6gwx0uuQEkSfbUgyuP4PbPdQG0beC/MItbXEithrnWi1VPXXVTTIO9Ytn5VcYlK+Y
Ve+YBQd+W0uPKM0cJ3Lf0Quu47dO7+LrnE7EunIUaddFWSHacdEKSGYssT5flJ5+YxsNiJV6eGHW
MZJ0yFRLTNiz2/ityRIsRBaKCKd0rx1r3A2xg815ESWnxdVg9OdglPT14446Nr0i5uFGJNOFHvK3
gCiuxih+mRRhW2U1f5Fw5rLe+FI69lM1NUCagmxd55H1SJ2wj2vXXrHuepuyCcju09xrPqBPaZ+9
ODpZz8yKznqdXi1XoM0Zw7E5ektUwbyDxI+tlTH3snJCy7vQYU0b+vvQGs4LBpm4Y5tSI/O+DAE8
FiMS+xDjEzOP8jDT1VlrA1IOnSBIIeOjGXWY8dLx3ubDMSjxFFmMJcbspa6SF6Te1w4bJXvFUG4j
OKFBwMNqpxuRca8mq92SUEC5K9LjjNuP+I8I+KFJZ9gsuVBmVIMmWRp+uM6jTZx67brTSEFu8UjA
o1iuZZS/sKtgaseOhLYAWZjLsRRO+41WzTdDo9+0JpvBaL4wXES0Wq9fKIcvaJ9GbxZzBEIU46s0
HS9Mbs7eLT2bVjJnSJf7YQ5aKIStzX7fswidbDgQqqLEjzwxX9YyOZbT/MDsP2DfPt7DkPLHqRjW
RVS3PhKVl6IH7pmZ4xe3nC96E9xNEtXxdVo5T/Gov0JJOTHhgKWCVG8y2/3Mvn1fjf39XEnGW6rl
QbX2Yc490nSXeOe2b1ddN1/Y5RSxReN+Yse2iGbmSRjnlrmh+f/ZO7PluI0ti/5K/wAUmIfXmllF
FkdRpF4QMmUBSMxjAvn1vbJkxbV43Vb73X6QFJKLRaKAzJPnrL03Hk9Nbz7jvPYWYSi7KmeqkIFU
FyuYntpufEIc8600xbIm7gM6pJyfnBhcPUdTssMXmD4R7Yi1ZWVYqOnrblU+rsDuC8wQsh7XOzdI
tnaDfh0/JycnaiTp+C9Z0C04C3I7kkZ2bjBN/SxiJgMBs/UNJpUTWavcdsWcxNjuMPdfSBM7tMEy
HTnkTVd96YdX8M3GbZ4uxVbPhm4ro1l2JuXPsUzbntlH4byR+Px5mTr/2grzhqpyrrPW3XT4U4lN
hEPTBg8m+SUOaoqDBI7O3wu3rZ5hCZ/L7545LlZGK0iHNXLgs1vln3HRhRybwatTEsTJXN00w9Jt
cUGlsdBBBBNDPndsutqUBxOsc4FLT6XteoiJeK61gU8/elhzjt6XuVq6t6qyR55KkW4LTolhADnX
qMhnqy3HDY6hOg6ccyp+1RxbhQ0iUjc0F0pguIlo59m2dk6AWSPfBdMJBjAMwC1zMyNOv6XxNu45
2oBG5sGLtsUbQaiu4qn7Zsju5Pr58U+bzl9Qu+/4ezeky4osDkYd+QECr3cALccK+pgyxzZ5wnDG
GdthTXD0OfPaG2AS/xcM7Ttc9/JuQDwXIBnPm/fa4siVY+UvQYX360TuoJUf7YLEOB8T1F+80zs1
h34nRHFURLZp2hGmiT/vTjIIZkfEGEnZQ/4lilkN9XIsCJVZOxh0YOsqaf38/bV8B9p/f8+QDZzG
dqR///k9E6eKcACMq8MyeOnW66cnjuEFQSruQRp6qsLPy1Dw1PWsbn//1u9FSN/fG5tHDa97Fu3x
n9+bjCmpxBJWh77snI0AYqXZAnjCcnEStcgPZjS/Sdye6PuQYiamnueWBKtVp1OMsTpJKnXCfYld
1/EOUcT0XIxElYXyJH2Wb/z6sdFyuVdrcVP53a70pgdkgM+ml2KINbvnMSSIba7raO95dfOaIJdb
u3qA9Pc/6V/cQvhD0MsB+DY9+72O0y6yqKzxbzmkdr9za/POjNRdqYCwfvE+Dlfs5/oGzRFRdGHg
wa78l5cBpHSIJ4u+V2kBXvXzfLdgKbs1CxbhCiEJflv5zZBY5X0xLXdYopX3acIe6qrkWzuxLutS
ReQUEPStT6jb41UkxycQ6LPTTfs0ZLkndLNcJwlJM+1szy+JZy/7MrGb7Zwt2Wk0u/6BeeHz3LHt
j3bmHtE60r7zh/rE+PZbnHn+iq4vn+Ic1vvZEN/iWj2HybhTg3aabJxDuniHNK2wCSzp/TrNfMpp
hq/tUd0FC5Zyts3XjkLjc+flCwNNaqy/v5B/scJo3UmktQ7IR//Lcgpj2pYucHVQ0rqUEzMrG677
/sqQzuHv30trDN5/ZsyICCIIcVXFlejnp6Czlywo3KU6ePn04PbZsax/tWBenqR374GBFkk/+teI
jMKf3yNLW/h+06wOdTRBu2SzzZRcvemVPlMOFGgXH3PbPWAodpZxlG6ReR6x2v/UC/FbSGDDCpqg
w9VHOGA4bOIpdN2qWcobC5dH5aNJhjzKD4UDjyc8R65Ile2vi8zfkj/9MRz4awz3kit3QU1aeNQt
CDyHdRu1zc7u7HQFTWrvx7kBTLezbx4cGLPV/GaCKsm9ZFmHvqBAxXFk9sCGKh0bPZnDQ13Z6dZ1
1OkXn8lfPLF8FuTV4J1puv8lAIKRHcgxL6uDVXBQmNIyW2f4hEAT5fzMYBCcoD0BeRGeSw/1U9zT
6VZWeTsI7uU4rzANr4grjfUAzUeDPKbmixSNs8FQTSfb++cYeGY9xt45jWyB2TwrUVOj4Q/E8mza
8o1p/SoLssfZoTrkQI1DKAaUeWo+LxRisL5ps3cKuUdZ8JB4Pg1U0gyg/Vn4en+SpMYTLFbGRbQH
W32Omm66+fuL9BcPCXuG/s9CpWNb9s83lUzaoBjkVGF0Wm0oceZVIPl2XHNcxU3yi0/Eeq/p1rtF
yC7Msgamgrz73e7YojlCLzZWh87uq63loz8NY3EkiPwQWXw+quaWVAsHpMlmmRKCCjApbvycApA8
Yx+uI2owhp/abeQrPLF0oEC1hL/1uXWN9fRtEZX9Oo2o9ueqdjZO07/h9PowF8upDPRmzG2WOPmX
WOoqlValUOZNO6LbnXEBpVzdToPAjIuP9HK8VO7sbEgPIfG3I4wR+3qGSnLa4VEIBKCG9GoGh7kc
guJqrrFezcn5GuVTNnCQDHOcrFTLUc9T8qkbEvA4uvp4bD4xa7xrjezoOFRrVjASIp8vG/0Hg64J
0KS+IZtx2lku7oj6Mepn71wH8slP9AFCa7tDxnDroqVaMmNxM2O/vwka/u/O8F7Av3jEEPZcR978
1mlLiZELLIrshr55uYYNZMso3BdyLR+Agf21U4PnEZ9kTOKoSjDgLuEBxnjryKF4zxgIX040daue
p8OXw01heZ/TXlbH3PIIKZhoMnYLE0C5J4Ej28u2q08ILs7F4L7YXfar/dj/i8ebWocmKGN77qj3
Ct1icUSLPVx56IPlreqnh95k32Mcx/GOx1rXX5ejdj1EwC4Rld7lma/SYbfIXsKU8bK2dOAyK7Gl
94nFK8PXTTEk7Rrzg2obzeNyYBxvcEDLmQUlbrZtIereWqOIbpououGYsC9idx5dExFBlR84Z9tg
jRHD8jw5lFtm52Bxa2bjek4w0yhCKmvGdDb7YerUfCAJZXYgxqdhYgXt7OGhCzmSRmNxw5TowfXG
bM80f95mXe5sWqlOZSqfRFySu20ZSmdrvflESu+6ZngIOB0c8sw/T2wiHDLHJ8ef73Q1PwQ/9td/
O2y/6LDR4ApZJv/vDttV9ZVT+M9eaN9f8wNDcT+wMcEdozvmztUttD8olDD8YDKAxYIMr3WNk/BP
P7prGLQTd2xSaHuW+13b+4NCCT7AVaIPZOr8HV75Jx02Cor31YwOrOKr0a2zfe3z8fOmMMJDZCqd
DU25kl3VFsUXT6CtAKo0MTZMFYvzaukXFGm0TiQhJBgq+3B8N4pci5ljfpVj2JxNX4OR7VTFc/U5
ojlQr5Iop9PGq8rNXMd0iStVfS692IHIsuzbLqPEXAkewxtlFSHxS6JMyi256v4+88NHwoGKh24m
dsecvpR1R1cadON5mMzutc6zyVirqagUI/9m/kJgeTljG2QsNA+cBJ3azLljxskQQ5tt47f5byl9
8gQkv2S/WED6tzWF3BVppTM99iIabxIAA4fufaxcdndqsm1RY1S/7pxIILELhbNvIy2B4NCfXjsi
mMItI6EMSXFV4IGYG3n9pinx13ow1XnsF3M9OkV/SqJevqEsql7dIeOIxrhwOWUyb++XRiRf7NSG
PSFrCyHyuGMExBrCbGo9Z6E8KyjiO89Z6mglw7mFlytlgMlalp9Dp5zvcfXBvXwZSOyor4JAwoBj
eLWeqhHq3l320s6COwsrcBtfzPJtxgOYgScHN1IImyuQ2uHRYYWEsu/psMnFOcSK5BJaD+TfekMS
bASu3ico7iy+UtgyHSdVQASaCRD8ihN8cB2apV1R6yzFs1M24yOGTswqRwuVFGJOi7ZOHr8M5AZd
NdIDIyd/4loqW6yGCnSmVou7ljR9rlVijZ+KfGnatVYBXsu4a09piAAtIp4ZzekyGPmmL9z0dnKr
YotxdiVwAI3aiuI00F3gudN2lGP+pdVSxwRo2tsnZIGAlCL++SwEvKymHlvieFonuavCqLIOLObZ
Q9rkzic7KbP7SGcerRwz6B6txkZV2qbuybIFY/h0rNMDsEkCnlU3bDtTe5ALfdkkLVHmAnu/GlXS
HR2zjH6XnQy6nW+WCYM+R4bZVrZt9ABapeS6R1NgvIjE8e9Sl3IARU1MKkHUq/zNJcsqAgvCVpsc
53ITeYOFKMOqnvgc84/QEOldMIv+preW9Bh09hRtrVq21yQUuBvDX5Jyw+2KUYrTmlrmhMu50fLv
Vp245Ku6Y70lja85i4qYN+ykSp7yl7myhAtxndCq4/LMOMU1x2jKTH6rKyuhNzhH0yL8h76OZrO4
rkxzroaV3RsDxuMST5p4gqF/WIhSWY4pvgqHVvp3FonUsDWBWjsO+AO8dPQ4Fzw9255ohtc4jhZc
5mLmkwG63n6dN3a9rsree4TxH3VWsjWsB3dp1xwwzbMLwELenJ/uXcoemiw9XU2s2rF/xY8VaR23
Is/LQ9zP8GXZNBUf5wsQAgpkirsgI2Ml2rgNuMyjq3pZApEEfuWdbYtQZTl2zy5DaoJWQq381QwK
B+kjwXD+Ta35lFKTKoVmVpqxXO7hgOyrURMttWZbwqUv7mXndA/FH+RLtosJyNziyF9umL+QbAYp
Y7XpmVIV4g6GxgSmoQyDNeYrOUaLQQe8TQR442sCxwPFEURbk+VqrizcufkymtfR5E6KzSU6b2ge
S3M99OD62wzUJ9LMj1QO3X3NAQllxYdEr9YLkFClaSFMu/mQl69dP50GxTWMB3o4F8TIinJzZ/bp
x/nCHwEi0X6ESAJN8vjEaBvYD6amlhACPQNW3PpSkFII2OTGpBLYywl3a3NXmvXjlDkl/eNgWEuN
RiEGmjb2hZfi5BgegtTK14vGqcbvZBWMVZtZ/bFz+tOg8asFd6u9rZEs4tzyFlQ7AMiI8vRIQhIV
Wi0b9UqeYH+DRbi7ow2Os/vonnwNfplJR6LYBQZDrrk3vMrYu8yS18NSqzONUfixvramVcjs975d
lujBUbSBN0k2FPeEY0hETN3XoE7NY54l1kmVUbs1ehmW6waqWi+zLRxbyO33FCCE3UCe4+mmgTel
0bfET5Yz0loarZPVfVT6hGB4LvxclN17mJjzSADSdXBlsErAdV1ZlI9TEcf3nkbvXA3heTUZ5thB
niKm+5tco3rFHH9JNbxna4zP1kBfptE+X0N+wNXEfDv+sdcA4Dxy6+BT9MnTcCA6fqa/YsZfzuc7
tfPgTTK8fwiNKMCjZF52zqIi+Oyg+ObTZDwrue01jigHFzKx05Aia4xxLUixt1dtWrYPXkE6QavB
RhrODpkcwI7R3Kdv7oWAjMh8XAf5+MBNWJyj2izuEKuQb67hyUxjlJZ1sTFyNxoovCo1bFlghbUx
Rg1gSuuzR69+21pG/lhqTNPTwOZQu+2uv1CcLIea6JxMf40fRrVbMk18YiW9tzQESlBsdPR6uRyq
MJuv/IEtkvw8/8oo6P59bxz+Wyf/sk7G9e5v6+RaviuSLy/4o0iOzA9azES1/VOFHPkfMNHzMZLH
US+wUYL9p0J2QLh9Kwx0lrIukOmQ/VEhu+YHXGipuVFwaGNyXvVPEpGddx13lMjaLtineo+0K/Gl
K/4nTnsph4EU9QxRXlvOJ0P06GdzG29rxyPyrJrUlbwQUih9oKXyCzh1QaguNFUc9MYdhAmMFWDN
dOc6Q/ycKx7vU6txrHTIRHJVX3ipuGL9X6N4Ad6yYtBNXOieF2+Q92PXMFHoiANBHSvC4uukMbCp
HcPndK4FeNqFExsuzFil8TFoqCumjNnVpNEycaHM/AtxRhiH/5WpfvF7BY+WMCw4i2ieUH217gNI
HdzaODXxt0HDbMxQbvJiBEQF8xSvSkNvbpxMn+akRS+x9Ok3g7YGATyJp9sIc3CHQiqi5F+cnic9
mW9U0NEGjBBEfwuINbuvK4wLV8FUJufJsPEqvVB5CbwbEHztuNd2KnIcNlkwIMLkmH5RjMAPhR/3
W2+K01cSeAgHdcIy3PearF+BkxePi4XEm4oBgg7j00Mmi2SPACY80sGd9mZNn3qjytJ/LNMEDSVm
OEWwWhZIG/hZOtX43lLlbCq3jr4u6HMbuPUuMNfMDkGAo25Y23HeHsc4J4mjt2iQwmcj7mnn6NQp
Og6a3a9WpKCFZ1Sh2Hkghh0fpqBsDwngwgEJY88pJA458WdlUdPE95vHtpADk9UQUg8Z0n0dFcWw
MpqquLWCODDR/ShxmzH3RHflBdMLDAMCtdEdQvD2mrluqpZZS4qCiLLTjwfkhFIQqlR1t1Wq0aOZ
AKOV4xOF58oZfZ2Z9cNxEKWeiaVzchcOzTdsApbxYA6qzQgjcepv6M0Kd4UFRwG64KrhreooOw5x
HBbP8TiLq8mp2q2KFqF1/P70pWFadefLDvgK3mtHCm4XcORonZ1VRxy8ZlznbhkYJOK5NfN4nu5R
VGV1AbMPgr0PrCl7kCTG3JV2tFjFVz5dQirJbuoyru3sVqnRX5uY0tbZGZNwcoGTvo3oi9T2ynKH
6VV60qf+suyPSch7xH27wVvt0e3nZCsr4gXWg2XR/Iwrq9kZNSQczLlPIpYdHEFE8x26sJLHG98s
UhyhLnKJkAoYipT0etubTYlHqxXvRJrr4BsCnbKZENguccpNkVsnm9bTDQJ6fGxrF2O16FBI0yPP
0GVabXaws2alx9st131Ev1muJneJN1XYcQe6VWueDfo7Pp4lo7MGo412mPMPR7vsAF0QV+DQEMlr
gmJxdm3LfN96gMUr3Avak9+349EWY/mwWJVL6672vb0vquHBiPp7lfJg5rX4pkLno2WQE1mQ1Rh2
tbtBZouhHtqqJ2O0i3Mh52DdV7BgGV37RzTRrFphSX0WQZWuyJmdCUaldSVkEiIGx1NlGvM7x62e
I7crCJfmwTZq5yCG5MH3q5RYZ0us45b8aEGkqbfi/BkeOuWXDGl8fbVr+WQ6mK2YUOtXAfabmP36
0z60hf3gI27fsDwRg+R23hVuKCUmDLQ4ac71441HnbptZzFfLyWiB6dw3ZegpBuIgXWBJIM8xWAc
gid6LOOpkb6OgE161hTKFJjazIuNNxNpHU2OPFG3JhYNwNWJuFMTa2OeUKDWynUPoxGJa2kZ0cyJ
Mpl3sa1w363Mco33Au5mWd6ey3HK9kFXasjO/mL6nGnGJJt2c4we24vaYVv2OtnW4aLco1+kZaIQ
Dqz9pOBq2w5j0DVFGDGLOBFxzZ0JijubcRNKORZeZ3Dqt4Lsna+TSVTcVOWKg4htbs2QpEfhBuOu
68PyhdNIeEcSN1xrwsf/QozmzvZG4+zlc3VrTbgCL0ViPjFyKr71izu8BlbiPgbtXN2TA5ZsF1QI
u6KBQJzUQIIbFgX0MelsbDGjLVh002x8zFynPoZp73xxem5px2nlNThBdRNaTX+YcS247XVi9jzQ
z+hLuTwywNTJE4aVofOPqMw5rF33XhEfzNQT60n0+abGAHAXF8mtFSG/zWIju8MjOAiZvYQBFLeT
aINPWiXxkKqjWTQoVWkZnfHOjz+mFRT4CqVx/5nyL2OuYEzZtT3l/aG347Zn1DP/VjIQgs1o1JMz
OWCpsQi6FUTSkKyCtv/YJtK+VqCP16CpE0Yxvim439r0gWGN9Wgnk71TtWg2i2xRYvjLkH5q2qa/
cxSN17SvdeCRXu3Z0ecvKbJq+Bad2Db61gxr4+Rr0yZmXHBXIr0d7odx6QXnc8cahhez9XVxu3CE
yc2XxUBtcKjnoMs+MeyKKw4ttT+yE+VmKG5VnU4og52RHGzLJ67VmeZy25iz+hoOk7+N84VjcJex
BKfMnyfU1JLpe7qMe2mWT3KecVDLJRZUCW0dPspig6KzuHd0J8mrguOYGM2mRTj5r57x/5WpYXvU
j39XH9/9XlX4sU1fqp+Tev544Q9S0/2AzTuhmDABhGHwp/90k80PHt41Fi7wSL80evmfWtn+wF/5
eLnaDgkNjkeF+6ObHH0A5YDKoXFAGAZ19D+ple0LW/PT3DpwXdrZoBNuYFk4Mf7cTQZb6FXZmMvB
40C4bEarzqyNV0gmJfEMGcbk1HLWZZl15U4OPokxZLt1V+QQW+ZOtZ0krZF4zmjd4s/ggcl5vrHq
OTfDkbw1ZF/fSt9nvEeBtgGDnLEUwPKOvHiD9qWwUOcpv6BtbTi9ZeDHtDB4JZkby59OpGpvWHb9
3PVLd1wELRgrdM1tQMTYx9g2HARMyJ63XWQ2QvfH2sck7+bqYDL0DjcW7aQvOOr41Tq3aizwanBa
sMGGNhECG4zR0uqA0Xr2u8GI/U2iw76Zec2Lt9SCbCAjcq9pEsaw2EHPxBVpaE/fw0vsbW1I7y4K
k+I00Wq+JftnuMF0xdhbsVCI8gkEXtXDNG9DiMqdCBJBnB0XZT1THaO48ontvIQ/Rk1sEvLoOR/D
jstsEYjHW9i0Lyo/GbcVrjAH226TrR1x5d3MtY5SReXdYDj+jpF/eW+qor4TY9jdpjif2fjB6DZw
AJYjQhWvc5kGOzYPc1gjS7mB2E/M7RL4rL1dTlz7GlHmJysIhuuxdl/YHYdHq++rcB9SzxQbG/vk
ZgVNmuNsNzrPc5HjHDg64R5LFmqLScXxjUtznwXNhN6tK0UgEf0J7UjIWoxp0hEC1/zWM6zfuqX1
EEx3ZVRUm17iCekm5p07jlm97mvbORNsPnJWaJKPKPLn26kX3pqTAg0cKnCvJCkqSIdy71RzcYyK
Lr6OGiwUPHLmb3LX/pRJ198QK5lvFn/UfnlJ/IjLabv1DeaQLKNrE90dvUchHuKRRuto9MEmnrXn
O1L9XDjhtnQlueKjWW9iVZfZKprq+CCi2NuNfkk8oJRvnPMMSGQXZVc6FNYDN3myAgRqr3rwBM51
kbPFZpbOD8P0DY3K+5q7bY3i+VSjfUfkhN+ckfYvqsxwKZgDY5dypMZMOOS77FNvnYwwjtZoZeDA
qfHiYnB1hRBHd26a5mbB8PIYhLpaNtJl22EVvi7weDw7EzrMitsWhMNf7D2OIpCEcBxaTKjDVfzR
2yK+nmn4DjgHJZlbJ3vfLZfE+hjGjChw8bKkg6rCUi5Jg0KmSRo+SH9GfYxxWRSOj7ade/LR630M
i1dei6vkM/Y9idianshOfmcG90PIuOXT7CqyNEZLFM6uimq8AfCyXHj/KTtH4WJ/ihykcKtCWN20
7mLA0q1r1czGZxQJ4krihY2UrlaCn0Ygc672XW10Ex3KzJWPQ56NyD+ShPL/nDukC7/m+dCpasPB
roL/SD1Ip6Xx8dGbULayso1ZkryWqM0KkFwr4/Mx6pLbE4KYUn9RVpKuiDbgxw851iSbQlRhuGUE
PeQJ7F7ovo51JYe3II8QZ7xyjaJxWpEdUB+zoXIocqs4HxhhVX6MwoW8S8YDqTkO8VOVj0CmZstA
b20PHcMuG2B2e9l+/u1k/aKTxRZp/W0n6/y7/J/j713/+/KTouL7y37s0w6ReuyqyBb0dvvnqW/g
fQBjINMHZxG88H8e+hI9gMGA7XHmDJw/tbQcwvb4cri/s7YCJkLQ/oOWFhvyu6EvGAVWyRoghaqA
kX2H5thtRxNo9LoDJt2Zs+ZsjzNpUnf5CQdM7zSbpIM8Jh6xu7WZpePVhOj0Pm2MqWRds7TlVzdh
3ZfmxKkG8eisYt2ptht0pglzBmZoU2/ugxz0M4lasVazIc8JGkRnYy1x/DTblffiV9OXAkkVaZzl
09TGHo9hre574m3RXol1UTW5yzar3cqgUWl/Eb17M0rtrBaK0HrofSIzh2YwX6LcEqB+BpOJqpL5
se8IAQZPxce14YXSD4yt6wXzucQ0aGOxQz/Eyia+rjeib73dsXIwc4OamIA8r5JJoD10SbT64kyE
yypJkrLSiS6XC5UryoEuSH/j80fNYGg7HmlN3RViDsVWB9CH62M5XqlcuOvAGXlh70lce+2qgeP2
S2yfPk1Ctcm6KkKTQ+ugbvyGIF/P1hm+lPGHQZJ5OxnkKSsrlFiHCUzn+ow8XpnV2Jlpu0WPLTyz
8xVe3+rQiXAsN3aTGK/j6HiPIR2ekkaRY113YR+Ze4l5/zPOQHiUTslovXBYZRXNZ5OvVpTpfBs2
hfENH5NojVASvDCd06+ExkLiQ0LuL99fr78r7mysbgW/XtnFwIdRlSQ4B35QyZ1JTvB+xNh2XYcN
yXw1FxkNKDntahrTVTBk9nUSWiNth3FAZH+NxUCaHuLCytUBT67O2aVekGd7Rzl1Tcy1MhhFw1cS
m3o1dS724YOYxh3mkvZLg6TB31nNEpp7bhV1GIeSeyFs8qMYCS3n3VEgcBTNti5s0SO9kuK5M5zi
MW265aVtUgxGKwcdpJrCXerYeOAjA3eOlTcmJ1Qy6SexNATzRot3Mho+bKDG3F/lgwfMqJMeLsHt
noJv23vYfKxyrx3kyo8GLCEEkylVSfwgUQvsi8J2vkkcACG9urKsmQgrDNsTW2T5LhLmkJ7zot56
7AJFs8Ou3AZDcxl8ZcjIuzoQ2yHJ+4e4jJabTOGN5ugySQ1mfFP6ZUbtlMhwb2n8qStS57nQRVYZ
zka9yv2U2mvGGi7c55bZPzI7efGGYrwuqdaqcF5wBJlaajgxKkNtp7y4KZOYORldTn+X6cLP1SXg
qIvB5FIXZrpEVLpY7HXZ2OsCUi5LeefponJMqmhl6UKTVA/3oAKik0hEUMfUbalIc1s6a6nL1Nny
zZVHOggNTF3GSl3Q0nLgwbCrjJtKF7yVLn1Ji6IKBn3DE1iXxi398JtRl8tz6OSnSpfQgy6mp3Qi
PtK81NjJpd6mr+JeF1GbjRupC/JJl+axLtIX9OEc72psBvjolS7lq0tVLy4VPr1Nqn3zUvhfzgCG
0OeBRB8N2sspQeIStcWqj7MDvIT6OHts/kofLSan6Y7KbOpnw/eWvd3iFQUtgtUtHUO8MLcVJQIe
LABzGzut+i2Da84xdJQYYY50DjeTPuhI1AX36az6TxE/v3MFBEzvtSlrzBp8BWkwxiJdG1SoMKoy
zFHrVPgpr8wWt0aVBjg/kr/erbvCTp/8AJwA3+guX9tdKU7Qj9DYSNeYQQsba3CaxP0aYem8T82k
WssF+bAy2y1An43hVxuc62XEZxgrJXwubFwEIjkLDMOrYmjWKlTdXRfm+fES0w0aq+5tH55l0wP3
v15WFrBmHHDnEo1CzROKkx7RL5enqCHk4HFmRvjcYUlD8IjJsjrZ9cSqsbDDdLVPpnrC8kxv3HZ5
HKT9YHloCeohxfES0yi+E0R76kaacqKpJ42oOrNtL+eeePhlU9eKBK+RM0VH2fodd/23XPpFucSI
1KYJ8X8DcieS3L/8bNP0/SU/Rn/uBw9uP/DMUMeC2RbNiT8AOboIH6j7beZ4mCUBddNB+QHIUbH8
aGFgy4RfE0WMjY7CQn78T2oj6LqfayPGfRFsD9b7+PmiV3ovH2qJRilEMvun0m5Ca617JxghW5gW
tOuxN5qhJTsHxwGJ751Tx+e6WpgtdJ5pgESogXbbY1G3plHijuQ73bw11Ny58SGMadWtR2ci0T5o
C4WVbUryVrArO6xE5HnA0CydQdMCxh4uJ9wh2Q19UfrXk9v2b2hv7gc3Czj62UawdlM/2BXkM1MV
tMmmsdXyiNZUWddwyoTRt5FVme2Ks7pQewTY2p58tgp8m3uT6XjQ9Vl/KNpwbO+EEeePXRtHr32h
HHAEpgmWrvBEc8K1OIWUW6IXVni35i0WX23nqLCzPTY1JN05S1VugVvD27yt/NcWBm1jRLX8nE0u
rXSG9bt6XEiQ77TWT+Agy9DCIQljNdRGs89VWVyJsUg/+73Xvti9AwdH1yh6q6PwrZiXc2h2mL5P
eblc8UsMKes7+BNnJgKiwNoOwtEFi8npmu5Jez8KvEbX5rIQzSSTiaZOE0TlipkgvV43JqdJsmoc
KkOVd6M19s9zWiLh7xa5x0RruY96eznS8deoXcZEDv29kR3SQmRfuR+8e5FPk7OdKGxu05LOxuz5
3aGvZwtebaieUhUwWyRW4I7ZQbCe5iRl0BcO9o3rTfYnoy56d+W3tnNbu3S1ooY5YInnNCW2pU6U
U7gXZKM7bi2b3GVDt3mlEc87R1LjFS7kOu5drfpsLGWzC7OCnTBr1ZWb2uoNDi+4SnureVTmEp9H
o62va9wEy72rCAabR+WTB7ubJ8oon5naH78DNLlTemN4dkOaWGbijtCu2inCDvkomh6P0CPQkixQ
OoCYiwj9hwExQlnKAi2LXqqtSYvNfPv3AFoN2bD8ckVFxPK3KyolyfiW/3T8ZNnTL/pjTQ2tD8SH
cLaMNP2gj5g/kOPoA/JLvcwGUUBf9E9AhROh2ifaHOE1Sec2CSR/XmFdnfNOcAuueKZ+1T84fVq6
B/xTj9jm/IoghE50xFbwXlzn+DRnqCmT42QxygGBsoJ7iVcl93hFNmTLIHsyfxOGBBhtXdpPog6j
h6mehgOeZtPeaUlHAZpDQf6ny/gXMlVOU//1rfHDsRNxdrc5Zr+HoefeW7zcDv2rYPKa+jZiwngb
Kp+1nkXSQ1Qw1o+Z5RouhD6O5QmYptFM/bpkEhx/DavKuu8JF2y7bbMEZfBJEfp+xmRJDizYvfVa
EsJAmEAxcTZiymhgBYvdr3kL7Rj2xsb1ByM8SAQwG5daG6c8ixwNnGhqN8i7jyl5IcyEjFLgeuQV
LZ5afbFsGDFB2VF/RsewGy3NNYvtzCma1T3txm0kQ+cOu8/xY1RjDSy7tpxWrOAFjLcU7W/lUpoP
boyhMxPprhGkzYCcQbV5uEqRq5QWx8GpC9IBcA4nJANrwXvSQzbMjyT+IYRxxImx7zLVHdtEWBz/
nP4tM9PuNiIrZ+OL/kRS1bGp/f4pqDLM7qN52Qf9OJziGJvr2ZiMDZ1zVtwCOPashUPYVKc7A099
6jiGCA+GG72ajuiJ7OrreqPyIn2x47gJVuboyRsDmPYeAxrcz4J06bcym+brJFCP5EsUt91CziFZ
bhVGstK3kl34v+ydSXPcSpal/0pb7WGG2YEy602MiOAYIkVJ3MBIicI8uGPGr68PrKxuKUgj++W6
F/nMsuqlXEAADr/3nvOdTLOfVVOkQGLjBoeaw1iuI5HD/aJjCf9Cu4MhRehRzvSzWOLK4PVeMa9t
rK9pBMNlNLSE8kdumeCbO2Iih/tJ1+nVxeBPRrd2qPeKcleLlmApQ7ndukGbsZ1pmAejRdapmH1t
ZS1n65Ea4WDP7bA2ZOSeuOvywnMzRZ8/148RU5ujz6DlGBt6TuJRqeff69Zo7ivBRF8OhiCUodPq
O9kkM/RBc7y0el38gsrg7kDuyC2i8gSvCeRjki8w2yYV1Sn33WbeMsA+qrM6fsp47FcUwOO65Ulb
zez6X3TRD9c+34YLZ2i6LRwkH81tnG9bDTSQOSQWF9RaX2iik2Wlz+YqopTgkVaFCHcDs1c8MiCp
vtPUstfamPMt9fxu6+B6fYLREK+LdJpeKBPDKwkBbeONowqAseEyaJFm/OBLPEMYRCV6MHs3VRui
VKd4PbcA1vZ8gZGQC6dpvJUpC2EiGgfPutItf9rkUR4tBsZQu3fGBh2wreUtiHRlXPjQqJ3tyH08
9GJWzaow8vgyYvhPSNHA3YMjMa/tfhH59PEun0yHvo8X2j+hAA0uLrRB3c9DXV4uLG9u3ywzhhRp
uLMqP1ybHoa1FRZtCa2H80a/R0xgMfpo/eEkQN46tMUq90B3+asfD/Oz6Gfg2kNjH3wXPi1KH8RT
taFV1+yEw48+RoW0qj130ldFNJfGJsMcBMZnoLUA/U6Jx5IEn27jgJRjKEXEan+NDN8+jAZj7FWB
DI+RUw8Y43KqUK2s/KnvDxUjCjDHbCLEwqHpAXRZuUCfaavcoLAfTq7qDabmZPVxJC2b/MbmxdiT
f8Lki+l4pSE4MEAe1og5rl22A6xKfp5AP8yLBw5C8kvSWS1hLvQ9rsJFfK7JRYcuFkk6BIzqXnCE
yjdGl9gbfRGvuzyjPvMHJO397KirwYzj28Qcsq/1In33FhF8BFR6U9QDcoRXjTxTsOxnGrW0xpNX
FT2qI/e2SaZc+w7pFJ39uEjuzVf1vXhV4kdkrKidvQj01Uygx1QYw4/Ii7FlLEJ+o0XSjyZkM2uu
puA1I/jXX7X/7WIDiP0+3YmhV3cETuESgF4Qnxiwmt+qvki+iGksjKBRTXRLdllNfQ9xGh+0iJtH
5gJlsbLByDl7tdgTwsWoENNYYFjD1OWqxSKCa8YYcJIBJ1waJUgMbrRxsT0wBWO5HAI20QsIlX0N
or4UbvNIRCdLRL4+X4LosyDYWNCcM3PcyoFpFXvDeEgXCwYYOoN/8NCxz/OSZ4iPIfhDzwYQEWNZ
ffVxpA6WDuPV3SEmc3F6NJg+UFcjFOgRdFy0nuu+/myB5sUXBdUEvTyLi+wNsW1i92dqoVMePBsr
vxytB+T79SGlWLj1CZln1eKniY+BB9HJrJtRqy8hzbPlOPllNHkhFhXCDAQgNNfRxjXKEQ0LLikR
dW2n15NTib1N4cD/YB7Nm5IXHYLg4pRxFs+MaXbmhhgN5PKKfySerj1CnpAnZVrjhe1IO18D7MeJ
4/j9z35x52TEHm8UyL39ci55zhcXD0+pYwEEWsw99qvRh+FXfNlUPe0IPqfqwvIW35BjxRiEjGYW
NmleGuNn/AS+tZsUuV0bKIH6g5u2bbmViwPJfjUjTa/GpMheTEppsxiW2lfzkheLgVraW5wFr/am
bnE6kQuSPVAU83PFTxiE+xuNCJ4vk+7eZWPo7NNX05RFAte8LpvYumpebVVL2X6Dqxl3QBtXj/BC
2l27OLGwJvF7ha8GLeJAykfLkQV/Jv4tc3FyoSDEJiBiVVx5sjEuG7Yz3qLF/xW9WsE4dzFfz70W
tYsQZvaEcvdHoxnuxpkMCytP6tfHFDOLQD3oaWgIsVXF6y4PBzzWlSy+DAvUt1rwvvYC+h1fmb8L
vi5a0aaCDt40XyJ/QfM7nnMVO1WMf4xX7DJhruls0JajKAcEBG/TKWyMH3ncb8IFP4zlQj57WNQR
vMwaY027GZYDpmOqLUBVH3nT3EK0XbDG3ivh2F9gx3SN4R7XSQ4xdtRmQYGfpv2lNGZmgsMrMVm9
0pM5nqhvZrowlXtr4SuDegNg+kpdJp4eArO/wJj7VPEloHNbyiCT3M/NOIRxyKeVzJBVlVveHTHX
NpQmAecZZIh74amMjTZmiLn3mHikVxAzsnHN1l7g0vHGB8XI/gsuIvEoQy/dVy62Hog7GXhEI1xY
eUKWe9kolL9aVOjWKjZmPhkkW3b7pKiNWxMuZnH06sSHqSvq336p2wn49Eg/1F6a6+uy6pFaWGRk
bkYsT1Z74TJXReH6/8u6/6eyzkdM8kc98oZofvWUlC9/jhSZzi3/i3/VdC5tLst1bNdCEuQxVKSs
+ldVJwyMpLqwqc/IFAUl8n/bZDDQ4dOYqIUoZggzoIP2Pyp5i97a0nYTkNp0Kj/xT4o6lvi7poOE
Yen8OUtIOYL9M93PBOXEaidtDmA6Tv7Wma5Qqf1xN96rzt4sQXPPWYaWGGPBz5wtEQ5drkXLfKwP
LWiTHkGuzAFdbun/aU7+G6ssF/qH2B+ZyghijVVE+dhoj9X40n4Wbf32Xv19IUsD8o8lRFLZvGss
0c0noZ+mZCPn54+vwqBmP79dHkc9tBzU10x4QYn8vUoDEi+NeqkCdAPqJxA4iOKJPphbMbC0E2Ku
pWkWIqTswqOFImk3Nta4ReJr7KexH/ZJrdQDPX7LAPHapBvVihPw4x5VVj8Ol75yk10FL3pjtQB/
DFjHd3waliFf0aX3U8ZMR6SCSAmXKDWvqh8xkGFL9BpstUYfdMDDObHH8Kapb1BPkDiBHmXCmNlV
KzcBKOCqLj3Eei4udIrwH1qBHBslxhRf6aT8XHDIp8DQtWYbaw4utggZFvNM6MhUgt0lKRHzV8CU
+SYmlBTVpfzpmoU4hklhbSHW9xvCIWmNmc2lDVLwK9gt+zTQpN1rnci3laXSg12g2c07w941mcdn
YayNK0/Pii3JauMKmk7/xRJoiOzMay8FbKRtNXvmxLGvMa5CHNVBlfrMxKsuPoVpP/z0WzyD/cxM
mJjmUaxFT8GsJfPLgMzje1wzRt8gaJq/ugPtaSx8xotSIygdp7Hb35qEJwapO28ffHOJahnd1j71
1Htrsdxgx0aBPjkmU6B2cRFPjstpOWzhBYcWBBQbf3WIvBP1TYPzDl+p4MOcatdpZL+0DR/rYWq7
X+k8frVn88XHLvJjNNE4252WfG8zRk/6hHofnpM09uVgv8xtpXxGLXIOUkkBnOY1P4LD8PCh0/nz
ipG/RzqK7Fj4TvOQkJlCHIoUF4SVxld1MYRby1H0DPhQo4s200NUWgSXKZKvKDb0PVUeXD7HdaO1
H07hlmmljp4g96KjQ3JNQF+DBcwZ6KJM2z2joyxInbS/Q0rQ3UFq5F9WfsODgcnvlEf40vU8zI5k
Q+Cv06pu2+N3vfFIfYdmbhnhplBEu5rsndctMXnpgclYsYMXSVN0xJwYrjsVGl+oEqPTFCX6XVp2
RNLi3nRuzNxI9zF5wXvDVuFzKBwaRKOphdfm4IPizmIhmG8aJeyXMLRvpliZmyma3DWWH/sI1lhe
Sk0YXwwm6gfXr93bULMIxa1j61YYRXSJ+OEhLOR8aikpOJc5vR50sXTJ3VKMPbtuRKTNHCF8brFq
0t4YGDhaWqft4f15v+00836DjGe0i43xQmG7eo6Jkd5GnbSxToPNRh7X+oRA+Mv9CBHFb4if+ZXL
hjvZ9BDuYsaXgdEYU1DAJ7gEhWvf6xjqtiFJYdC0kX/vIVqpvUO9/N0zw54K1YlPeiH1oEet7W7s
bgTPI5LeWhWoU34apAgdZdEV1x0ijCdlWeVV2UX+DTWsdZ/7LWwS6nxtO0oGd4MZTbfA3OYdtZx3
C1S3fJpiZzipiVyhMY3b67GR0P1GMV010ncustoq94Z0+jX6ZveuprratPM040/WPLSUurnQizAB
xeD2wRQrso7KFV7mTCC/cp1NgiWGVhjKQwJuW4QveRXDcO/TX87sNoFB1P0204pmz6MBwhF9Lp58
ktnbasCL3dRJQ9ZETI2g2/IiH1xKubiSMZF4BcdoBDD8mU4Yu5vUZ8BjinI+8reN7k2jmo9TNskL
2oQLhylM5Dp1S3K3nCL1Dx4nhh1HaXcj7Mg/OI1foeMcK6TgS0suzhJcLq7FM+GhndlxSmi3WHfV
QVMgxlax9KYdJ1OUsiF5eVtTz/01uG/uw1jNWHk5ed6WuZLPKN5btrE+O+Xo9PdxqkN/YRd4BCZO
JnQvRIB7s39hIjTvzMhzLszSKPdDleTeakmCfGqyynimc9NMdPmS8HeD0OFhavDY0pMG0bf862bp
OtizbHWYxqgwqQnFcANybrx51ZD0HmPcLc/wK/EAJKkRodN5XTKZF62Q2xDA00Eab1ZW3urPaPia
b2Jsm00PQA5Jj7K0bUKL5QqWe0oUSGR+scsx/JHacfXQJ0WxJ3IQLYczh9uE0fTinMXmIXUfGUCX
Hd2qe6JR3h48FNoZ3YHUgWmU6QE1JjqcSfXXBBxy+8oYm4Yy/AScEaW9obXQzSejGoNK8ylMvdqw
DtSk2Ax0ry+OGMrGDGMK7tQNGY/of8ol2Ewf3Tnwk8y9M2hjfW+bfj4lNkPBVb2Im5zaK/dicNHx
zHXHsmj6w+M4e83KUB0aHCG1e5D/6Ie0kZ/es5gPVsJShw4i4i/Umch88hRLnHKdixCj1j5yl7G8
jKhzZah5e06j6mDVWvYw+PT/ylK6d4R4alsHH//ao7bdR4sKDMnlHKD3pENL0Nrtq+KKMFh/Xfnw
buMQh4RFmMOTUUhSLmoecApNZD080WuAXvhjbL18SfmGH8xGb+5JPZwfeJCiWzcmOLRNO5+UB6je
0FmJIld1iabYcr+3HEjRhSZmSJRNCXesKUoAWiGBcG2bzZjM9P6lL0Pta7Fw8CGcpsbGA5Lz379T
1o7h70lHHjbaFvIluzau0U9o9xEWilsaJNMxzU0Gcc6Y/Ci7xjv5VU+ABl3nb1Y32d96tcT9OfV0
zZfK3cUy1jZTkmgbrbbjQBDQcjVHmvoCkbzcmsjutmBIRrQ+3PXWKeJN1Xjejbk47suy4sPXpBeO
qgwQiAwOy44WVsWDuBuxgV8IGZfb0k/bQzG11raGCbEelU4uDC3A6diZU34TekZ0MGiBZOvXZ3n2
jPkEWgyEEPXGxYwH+hqWcrgtchFhmKbftXKcMrvRZVociDpwv/shbcs21G0HZzwfQ6pjfv5ZzldZ
U81XBt0b+o8gkRmzZjFbIHK6WEueVTaN12wK08Gsw/JGqHlGg4WWCn5MDSONKp7Ynhl34ozzZSeM
DOY9DkIwISK9wQlP7W+Z2dHuCuciHWYmBWLQtqGqxxspGj7dEO2xCspKs+jnFyJDQKJCiPQG+H6+
Tf3BVzT9ViERnldDS8T8uhRldd9VY7nr2HA4A5WCcYRttjeSfsZadcT5RXE+X00DcHMZusPOMg1t
gqJSaveNrmMFpC/HidnGgJv3bBt61PBqtk6d0idP8Jt5PYhDmg7lvjVKssw7HqeCOLuj5SfGsx7Z
05VdMDBBDK4/QzSA7Doi4gNbjMAybngxE1qIx3kc5pMiVfHoDjbSZtCt+BlNpCzAZcGEFb5Lj4AI
PHa6EsnfSXdH3nn0bECLQ/7LPVHFEaxjmvuXXathvONfvU0t+jpgVmQYNBA+9oluzQcaNC7UrmS/
XBF5xvAFZxJAr405MZt1lxR35giaGtV9uZ3rWNu3TtWSx+BM5iMZxx5iz1LeYaOa6FIm2kUU9rcd
My+ox5LcvFR78SSTf9LpvlsdyJmcPIlLLiPb5HrFzulEjdp5nhq2VR6Z+zBM+hUBD+0FCAlFep7U
xZYTYnysZwcvM9m6Zo2uP2vc4ifgq5/N7NyMiAV25jgUy7lNHuifEfgzJ/dDFc/YE7QoYLfacyP6
tbEE80Uhcwo/875rJR5PdAMIDAE1hxtvWHzbFshl3Wu1A2kFoH9EzfXSq0V11pkuQRJ1eTXW4RWh
1dE6gweydZO8StAy9B3KgTR+jLreCTJEFkTidGNPjvlc3dW2a870bXU8aIUZX8SpW9+WZVZ/16IM
ork5FXTP6g5zi3DvhKHoFuUoGA/kfMxHM/GzPTySLtBixnGbKpL2re2p+TaNXHVX4z3c9kUnJqwg
CkLq7LpbPGMhGsM43pM1n+56mVGS63lyZDY3dSujJatLzcWFgUU3YJDm+OTOVhHKxJ1HDHZ20ZTP
HO+NH6NbeleG37X6WplOdeplinIEsPpwG85TdWin2N9jGmh2LQH3G7MoyCnIaEzTx1P8ihv6k8+E
/8lh3WMvvrGNNj2VDlnvXTKpH4j7yd0bjdi8nqCg/WCkJ44ZXfxv4SR0GLCY4R/05QvpGkW90mMv
Dsay7C7ixLOv4qJpvzF9cgJchgPZzlF/MWhT9rMlYxdTtMGPWyGWv+1FXfwqGozcvWvYT02TVrSe
mRweDXQPl6oFseJqFNgwOkqbWrdBfDFprf3VKkWxzUKHqM6Evu91pU0vWS+87yZJzFuIsCRxRfm8
c+C2r9O+mBgkxjOfwriISXQBH7JxJ8VOluZpkNY9aWBIvPl5+doeJ6oKYiqsGTmKR55bPW9otd5r
eQKIB4kRgejtisYNGZX+RFFs1N+QP8Ovc/MhWem2kIx8OBnv4Y0X91VWVJftnJsHpUKOUtuomMKI
DnZWex0RVc2gFQHlkqu9TAg/6Wrip0WF6z20GvQk6k5vTxWzhO8mJLxaWnvJRzG/5aiYPo2GVX1N
ZSa/1x15Zvtao9O7SsiOzJjCLSwP+DsmxVRbnmzLIKu6qZLxMVMu5LAOS9exN7sX5KlARmnvXI6+
V15YnGx/ljXMjglCAnK/7HqueuZ3jaXl+zYTcj3wU11mfY0wlZZue01OaXSNXBa+up2nzdbzHHml
IpecGYVbmPf/F65chhF808An0ZteWWE7HyGQdLcZmoSNHeUxnNvG4sOFdMggSv3U1Fb1bIEat9Nm
eLSn8W6GiWbvhEtXWSsHY5/KmZ291iwinzoCiHzBOD+OpSLojZzXdUg2iYvJh4l+TwATTzyTkcre
x0i0CB8Dx7TKVIcyB3pJAMknekZlQHYKOyEDBI1xdDSKe0odvidkkzyGBYybOvK/2XiJLvTaMPf8
KSZcGdneYdr6JXJP3fRg8J+jOewJhhs8OGvWlF75hCHtyTXjjuEE3jOOH4nW8bkpVii+iT6275O+
YrbcJbywMA1XQ8mZaorJl3MIu2mt2LylBnlgQ85uxnp2j1Kiy23x6m3rvAyfKj+b17kaPGK4rPTa
BdxFG16jikFFPwYoKCSC/qH8UjJD5oSrnYqiaA+tNxUnYl7dWyH1CE2Aa14b6GZ/GxHe8Cod6q3C
UXMMQRbckJwcXwK9dO6I7/TLaE3Aj9b9SEsGyHHW7Au2221fWwzp2lE/hWHn4rVHu1RhINhPTHXu
WnbcVUcU8tb3e32v8u4+6uDwjEJ3j1ZUQdAd1GPslyJIo5gvFgdBopSEFhSW319ylBPHwYZQ0UQy
4/xblb87hOcJwMj62ZJp/aPxWsKQVpGMs+dKT1P9woDkeoFFL93QLRl42BrzvjO1cVprhFD610lO
kuG6KqWES6eq2tnJcpwpzWLlX8N8z+/LgqDqwpn8fZw0iPpoYd27ZvMyjm230lFvrZW01FGfh5/C
oWpwcrNYc6iiSJL9hMc5Sw9F4hsLnyLQmI8fef8d/AXuQ0EGAwhhwBicCnOS4b2fjYkiGqUHoZIp
31dytINudJ8EJchIppej9BNnKJfOGW0irfOMn7afDxd25VhbV1o0UjIYE1FoBL2vhb9jBLy3qCDN
UzP6v+Voaw8Rr95X0xQq3jhNJfG/KYySgD4WZJ5T7cGFdwgSJKG5bQSGqaQD8HEj9G0XlFgp4biA
gX0Dr8tZrxWrmVn2mqeCwaZ/12s04xIU1UUh99Tjxf7j1d50dr1lNei6+A5oSS0Gnr86u6Mzck4S
KpgqAir1hn8khRi3eVTnm3++lGGSGuo5JvKUc6WS3rg17UeDC4u96J5Adj4ZaW9c6S20jI+XOjcL
4RFCSybg3yAnZcWze0j4sT7lFkuVquwus7zNAleR/hDy8K5kNBZ73PLTZ1qsN+1rpKmGZVj04dBp
nS9K1CkyV+B0wURM4YrEcr7SipYdNan9yfW9EX1xfbzQHipLgmyQ3P79q2Vs/nNdayogA82CthvC
VdWklx4yk44mECt5W08GHcR8jq/INR4/WX95Kv7Swy3r49GysWgvM5qzp2aK7DrWs6gJvEKjAV9y
ga4cvn78Iy4Xcb6IZfJgOvoyKzoP0hkNPhetb6qgbWndiiHmFBEJK7zOTZKT5wkGSd9BuKjIPNx9
vPR7z49luo6p+wxvjGWm9edb4Tv2aBBlpZYmybStLQeDK24metaavgRuRpzAppikqY+Xfe/Vt2yU
fDa/LJNhRl9/Lms1vluJhGWFTMkuKfqvUDnmIHJ5an2Y3f/GA2uxx+g2JnrM9Obfy0VK6gbqaJZr
WudemnJP8Y8GA4bPJ7uMsdywN7/lAp6nAmej0c9v6Dz/67d052742bw+m1PY/QIXMq40CJ+gTF19
73qz/hQT3IWZjFb8x3f3vYcWAK2Lf8ciM+TNSyOsdh4iXQWWiOyTg0zmqo7YYj9e5b0NlZ9wGV/p
DD5fh1x/jMpswik7bN5sqMsu0EMEXJN4NwL8SetPfr/3LsjWQZbbZKszYlz+Kn8slY1dibxxYEMd
JHKtoXp0verx48v5bI2znZQ4NdPlQ60Cw2zB56q97RWnj5d49+Hg+UMXyKPoYBn9+zp8P/UGhSs4
qDm7XkWdbh5NLArAcofke6yxw8iy1xfqCOIti+k/wayf7WhvXz2SvGAee7x/Pq2Lsx3NdurO0iof
7pUBiadFcLiGaiIJOEzlIav9cvPxRb+9r6wHQ9nnHGUa4vzdk5RVHkY9GRTlyAHFnU5oBsUnR4m3
z6LFDB3NNK3dJVX87AX3I6MFDpnLAF4Mes4anndV95ciZZbx8eW8sxIX4TkC/Ytj2eLsMfGbJJmn
yasCtjayDLTmAszwfa3Sh4/XeednIsQFNTa/FTvXKxr6j0ferYvM8pWogjnRtyp/0siRSbNyneD+
/Hilt8JqDxX3H0udfWPpUbmEOrJU1/s07kubxNFB/DdSttvKHu/c5HAeQ9Eeqo20W2+jY0n5AetE
A7lOYGbK9HdvNrTRCmXRAC/sOTs6XlojToZeHQ3xfBXm1IFENVnAl5gWUVe1hGfBOD6KPh+vh6qj
gz11LjlodByxBSfzJxeK2eh8b+YLzlwPGb1jwA08e/2gVWmWX3bc0yZuv/nE6F4bvfdlct3kqZg7
yDp5zvw0D3+oMYt2AtwxM2v34LpQvhwms4assed1X4uQwqh1Sa+sChIyPZKSaCwRNSK3TTbQb0wA
34UqtZDdDhWCpx6OmZZqsOftyoaTPw+btvXMNeukG1p44jKz0TKkGdqkkf1640fDehbRCAy3yn3u
lokyjARK/Vmg1frko/XOs4bDEySMwzeLI/9ySPjjWQtJceD0MXFfUjhuPZiaA7/6GESpQvUKeHsI
Pn7k3h54LAtvu+1gdkDze37gkZXd9wNGycD3WsSwSVVsJZqpS9eq233oRe1lTOv1HlFz9EnyxTuv
L6c5fTFReJj5z19fkhR6Le7cMqDNNX3vXQimknnPvWO46cs/vkgEHuxG9Dr4z/nRkbko9ebUlUHR
K6YiGCoU7VqoaVpaqoPbZKTFNwzYMT2ZNO0/Xvyd6+RcBRgTjx43+dzHIaDy0HYqSYMiqW4vh/I+
GiOkHumk/vExwF42KUOgMBI+mU5/Pzz0gJoIkFwemJ73bSIgb2N6I+i93LL+8WPKcQPBFMIoqg/9
3PxXYy4gn6rL0RV0AywhGq9WejMMDj7ozP31T2+grVtcmLnYapBznH1RoiSvSzuXXJZTWIFWT2XF
DJGZTpMvwa8fL/b2BWQxjjYcDRwG2uefL4k2JHa7givT7PvY0r7J2fuVjtZ9NLifnEGWd/nv8ylL
UZa6XBp7vnN2XYAlk4lAySyw6nxr0Sv1KwfIdt7PCMr7I23Kz06j76/ocxTF8sdLd/55weNHVDkr
SqM/Zn79VE3GvaUARnexm2MhMS8/vptvn30bhAa/3nLqYMWzJ9JpqDvaUGSB1nVHsF6BbWdQOvVP
lnl7sFmWoTSEF8Lp47yh0Hs6yS380QGgVO1eE+h565Ev4scX83arZBUDmi47M2jCcxrIqJkjKEwj
C5RFR4tOzzpPu9+idE+pbBmok81gTdUnu+TiEn7zlCwbB+QFYl3e+GwBI7Y+ZV8W+A4a6CH3acNB
/JivRqIycZYwxG4mbEorrbKBZOOYqRl76WLfjjI65MyRIQ6I+3ly5Be/y7JNVNccDpZjgaxM5wJZ
nPvVNwc3iNrmX3bvn+N/Ri9YM3NgJ+X/ot10W0E2af73f7z7wyzgYYaBS0Du8v//43OGJCHOmWyQ
lj0wkk0nPyV9iz7nxz/Mu0/Z4kb2wbqJN0fOwpZ8RqIqD8pWIByu+kDPjHtPtJ+dWt77KSB+o6p0
XaDKZ4cWR+QWOZIlG9FYWwhZQpKOXH3cfXw17+1AuLNpw2Grptnx5p7p5hh1WoZ4CCIKbNxFFAPg
pGny5z5FjPzxcu/dPC4JaLPAG4mH/O+fyGsTF7MDr+iUhb+We6cS91So8NvHy7z38ix+QYEkl8Lg
/IsxNlCD54qXJ08c7zabDEZsofOLYUu1U5Hj/RzyOj3QLWw++VS9t+e92t1pHL1T9NA61WE79hnp
uuZNW2rA6aJdnT7U6XzHi/jJau898JQ9Jg87leWbJlnONQroEFlQRzVgEdfBs2mm2ubjm/maBHr+
6eAmEuFnL6mI5wW/35kjSDyZBV436A9JrFc7cMTo0VKrz5nNieFranjVuoOHdyOnMrt2cmHtYzLp
t8D+XAbLADoNGeJXG4DDxF2XflbdLjioNzsXoZ+vnAALf+3Z66LCRneGouBrM9qMCVr5ZLQgf1CV
NYdEeN/AI9drAX/2Mi+t5CEb+uYQ+tVjjKID5HNL1ENhH+gi+St30mrcYlzHxzfynXeNmTZHUDhS
NBfPP4i54O+QjBy3h3L+Vc9Gu9NrxJRhjn5levp4rXduh/GqMXaWRi2n7r9fNNPA+ojDnaN9aPzS
aThs4Mo8AbssA0FCy5ZWefvJCeOdl84wmNhxouGL9eaI3at8Ik234vJS53ucRNraRLXDHEPNK8uc
5FepBrlBjdEH//xaSbqDs8nJxrDOd0obMADJ2U0VUKtdS3DXdKXzE9146O5Z9DCRAfLPz20suLQB
TIPq9zxzlXdlaBtbkoCuE1WGRQ1VQmm1p0H6RVC4FNIfX+E72ybrcYZaYqE4LJ6dbIh+s+Ok4taO
fcTkwlbDRpeV3FgoYv+dpXyAGx4J8vT5zz4INQEebVFSohl+Vd7iRZxXSrTuRdIZxifb13vPqMUL
tfgQlk7/2TPaI4krZzoDJNd2911cvTiOvAddoIi5kyevg6/7z2/jErJoOjjcOSGefX2MkVmb2cwE
kpozGj8xfFGd2tT0AT5Z6J2NmZa67lgWnWdsHMvv+cdJpJ4HFGAhJWAeOd+icdx7s7z/5Fqstxve
X2ucPRO+Bo/fXpIcEfQbC3SsPjZO43wxOzJ9w3xouIs6uYeDqmH9pNHXalDYvxxmtXCiMpp/HWrI
MmHSa8Mp1oDybAdvyoPEaqEk2XZ8Mn2Q/uXUhz/CWi/3RYM4i+p2WiODDQ+x4zGk0Mfx1jEUWl3M
XsYXyKWIrUqjyXZV0ai9DkOOlCykozf4mTgdVrCzSuyyNySMx3sYKNMhd5Bo9lZcXPXQHwMv8++T
KmvW3OFsV9ArImUMoWCAOBFmyDDX27CLHcTCoMoq20qgr6Xd7uPb+96zaRtCGDwnAADP909XNuCk
XZ5NZMJPcmyfvLi+sS1tZxXVNtQw8X683ntvOGduDnu07xkInb0LTjyVZF+RX4ujdek5XQ9mdhja
8pPD69uxmk2vlMEWvcwFSXy2DPi8GPqND3Bfz051nSg0g95PmX1lCH2FIGXdOeZjpMpPSqbzuA7C
95Z16dJyRymuzw9kfl1IHMIOPZFqmr/HUPdXnrK1E0YXPd+imaHGkU4Rbtusl5scZgPD7ZKNXJr9
wUHl76SDdrD0TtsZrV2uQ4ShPHD1nnknE2w/fXYMfLrDiBQwE3O08VuDxDrM5JvICO/MzG7W3uyA
3G9Tm0xNwiu2KX+fTZvXL3g+jFvyO/B4joPc4eji/17Mzjpu2nQrNGE+SMv57Kd47xd3AQ8JIJJs
FAti6c89ItEbpygzsg/09mli3LuaBh0UXNt/8mS9txf9sc75waive2It/KEMPGcxFNJvWEO82H78
+L53tHEtQbVqMm9zzxHTujTrStqK+OWu8tYT/EGK8W9VhjE9bqZPTGfvLka/kpoFyNSbY6+r2IzK
nHdFi10YG9W87+16hwIULXWbfHL73tsIXNr+fC2w7L05/ObTZLkpKipYjupkNqQNG+H0rcrVS5ug
WYjdT+6k8d5zscy8KWCREAjz7AM8N3XO/eWclo55jMvLNI4w3IaDSS9+U1laDI1Btuux9q0vCbDh
YIowNUTUzFde5MEtrOzpq8AShD0jjOz5k/vx7l+PDZE2Ev1b/3xjJBSw0bKYY84g6xfLjx5is7/L
LXQkHz9R764jPCpFyt/FMvf369H02hTX6PECKtGabk77VE7asKk69cmH9L1jK80pRBuklANeOHsP
rcHHwYH2MmjxjMQNEtehPKnKwS9t3AANuy9y/5M2y3sP8B9Lnh9Y09nO0ejpRQBOZw/N4MW3c8Tt
7lFV/Sc1xxuq7LLzUpEuWc+CifD5698unn8A1AXbjDk9tnH9e0h8ElZyw1vTvo3WWq0lsHL0cpvI
xWugGYsyUyH6gxf7DbhV/C2UXhN0Jo4FXG34jOJW3ZHiQ3R0SXQjHCpvN4rBe/Acdk1CxAj7hv0+
QoRZWpuV+VsfQI6KytuMtf6YVt01Upx6iwn+JfH6YVVMVrIluM+8qxFd87E3nU+epvfeYn9x6tLi
4Lk9H8Dm+X+xdybLcRtbt36VG/8cDvTN4E6AallsSxIlcoKgRRE9kOgz8fT3A2WfkChZuv7HZ3TC
xyaLhSYz995rfUtAPMefcFjEclyGxQgH3f7oCOdEz5SQJaLUf/34/uwWr84shDIezda3l13kRqJa
DkOHrA3IBhFjJ3bE9vgbK4lLEu5WTfqvP/FVO/GmTEcxY/IFeV0oM99UwAlZn0xJy+rgVksQpfPo
vrNTY4pqC1Jq2pTlvTCBOOY2yslXu4AP2/y+GgEwDkj69tpMrNNvLsNPrjuHjdUCTUIC5cSbE3fg
AjwfTKs8FEFib9NOuVd1yrFR5U3/Me8MELkwe39zIX7SxESVQNdnXbXJBjO/XzoS6SyC1EuWjiVG
ymol9g5BqrXr467fQ+eyQp4UlJNOuQ0ABxF22Bc4L+y/cuf+sR9p/WQNW33hyDEIUWPQ9uYP0ZFG
uBWIV3zLOUDfV19DZpXLHdrq2jlxZbzjkKNGxmLVQ6ahiWxopA2GcPmm29ma9Z1Ssf4ptTl4m8Oi
f+JYXO+hAb86pkhHkoGzR5L/BfBcyJI9bW03T7dohe1Np9XDIXVbbyvT0dv4yclsCutdAVr/htcW
Exqpi8vH1B+Di1L3HvRRFb8pzH/2/ZmA4UH31gn928YR7baceHiL718W8l2KLO0gXZl9zAwt3f36
pv/soxBeozXAjc628WbXZOjUtsBuqkMAx3AjWn9180mgw0FaJh9//Vmv9+3tm7Z2fy2qV7bBt+V/
rbnlOFcZxcHkxDATGRhj9lpsYw8ZdtrUXmmcDIIAbgdpztemqSV35kB+BnGNYi9qGM2vf9B/Oae/
ofJZzOhYUf6DEvgB3/AON0H6fzZPRTPQPwPRB+nv+Px//+evH/ybdur+gT6MKTguQWSbCP7+Q3Gg
X/cH8kM0M7Ad3oQdOn+8zrZ8a+29Wqs26W+Kg/mHTQWHDGs9C/9bNB96wO8rfearHKt1nbYPz9w6
cf1+PQv0vh7iuNVONqlBdxBbq+1i4xWo1hQub50s61Bgzsg5yOha07qMNbcLOCso64IsL7Wmelk9
smSjHfxDkemEfsV5XiNjIAmMoN10WxAOlgjrYBcUIPGaG2YTIDYTJDabJIqBlfMjrSBljHk5eWM9
yWPoKMqwf40jg+BjvoMvlYZCmISWWkl1bdNhfQ/IOw17D56yGrvymdzXUBF4loNJY+SPeT8e71Sg
hnO+pqPBRiIojdyt6kzM2njRCL89ET83kXK8pqtNa85aXtaEi+FlPFbIXLf5mseGsTuAy0pGW47F
3IXgrevXncsMLcS1FW8muUa7eXKNeYP4pGhbkP2mrylwwmmdS73zD8DAz0JHBW3B676qCI+rY0lm
85onl8AK3RZrxlzb+vFu0Mmd44Fptv6aRdeuqXQZJNoEvxJRbUN1WtbsOs/RvIsKIzCeL5LtRtsT
O2km0Krla/Sds6bgIWB91zp1u5lVek/Invlhrhz3SBN7eqjXHL0Ut/RGVyvVFkA68WLYnDNsnq2W
GvoJF6W1vKs7qyjGbTY3vva5KKVBOkZTjtpCpElPEOVYN/0S6Q76CwxuQzvglMvVubVq/zqAUqXR
+WlRnHUrcnxfEf9zMD1H7gmrraF4keB6I6s1uc4b9AEEq1alQ+gvvTXBW8ycS/B0EKMNAtBxUi4a
BTZpkyuV0C6uNZVhVd1olQQUvW9gk3XdVZOXmZZiU8MR4REYbU29F0RiksTRX3gka7ndQ2PGzrlb
MPEXRN01GQ2vkNjsLp/v4qGo9jXBal5yY3lYPOYdBjt9XICqim44B70ylfth1sdef6dNyvWTLV3i
sgoi0sRHae5QX/kSJnfhchCXV3NWE3G+w1Bfj5FR6sZHUPnyDhTfwj6Z1625MzMjx+ymoc3hkIpe
R4OJFGwzhCX3+MBW78bi4Tca3EpegXTX/bAOWoyYSbtAFTLjc12mmohYSUg6B6KY3oN9KKprLVem
EVVC6TfoAd1pV2og1iNwPw0Z6kNdk4tkpAeQYOz6i2cl0eyP6l0Xp16Cs7+TH4usDLDvta71CA+N
JOykSm7aVLU3bpv522EScCdSo573/AH61ULrYVslLZEodbkc0AWIW7fvyAuULQoOrzWoGm2VE4VE
051AgTyn2+e7hJIJT6Ol2LPjhckgnTW1YVhC3YDiOEwc98PcATkTGlNqblO9H87j5NW3KG0SHKI2
DrDJuQlyTPRxKeRJlIKTfqsly8N/N8T/H54ROnWf3eGfN8Srp06VT/Xzt5vhXz/012ZIFApGtVUp
pdNfpVtOZfM30ij4g3IcIS5alXXwzY73F/kbTi2SJ456gb32sr5FGlneH7zC9BuZPtreGq/yb5BG
b8uqYJ0Zr2J5JhT0zd4e82odQk2VEkvhJYazkG1v15cInNSHao1IShLnd1yg9dz47VGPD/Qsz6eE
4y//ccQ6oICArOmqg5T0f3Rtwuzuztn+m5tw+/X3fatcWHsMbz4Fh9pq5nCoFX6oFgekK1PrpJIM
Iuy/synbu6IhMynzbLHVtZkXsWfmY7e5du5nT3749cc7wduSae2ycJLlnOOb3OO3fWHCQXxAst5w
AJVWyp1EuLkjdw02CMpBciTT7oJMT8onjIGVEYrYIv+lExmtgx7Z0bsGjW4SNrEP3GMGdQ4xEY+u
v8zFTpkF/y126KqKrFJbplAKaBmgNXoI5HjQ1Aut9uJs5X6xWfDnHlIbKEjsue0FI+32E3gNtY+n
CqCCSAzFCKDlsB8ygVyIgZPGe0Tq4rqbUWHA/gExYAFPmt1ePPlk2ukYHyf1khKmu5tIuSeEA1Bp
n8v6MjZg+GBVByg/N2Z9mcY68+BMiQcS1PjBWWbBZd9Kc0uLKj4HE5kwJE0JvTlyqeoKDqLOz5K9
YVt7kij5mrrXA3PCr/1eNcrfeLJJbxysiswpAlTX2KoxnHpZd9eUE2i9aXUt5gN5mr2LVHaxZEZn
vpo3Vpx1F8Votnd9NcQXaFTl3m2N8tiiu90a1jDd53o13bf54r7j7pBtT8N1W5tOGY3E2X5Wzcz7
4FH+Z3OtPuDkaB7AwXJnWgqQg7vypry5ww4/1MGlCzr3QNaoepkxjH/QO36EeNz+IxFv/mUsE/uI
id14P5YLZfsw15eyaYLLqqK634Blt/PQrrCzEm2z6HhySrHtRVxGcz2RpNeSyy3IOwlHI8G5Zjbd
ZzvmH5MCxTyZqAzjDppEWlTbYwtqktfZ1wa1d7OxPDY+N1d5YgaAl5fpprdwPEFE7MujgNJAK98p
AK1ocq8ZcXFO0LTvXD9tr20UwVEZJNOXQge6V0OeYJik6ywaRvOYyXa6Z/6/XAXtxK+yUrUX0IVD
Q/KNg1kT13Gxvuxa69xoiT5FdsB3ce08CIcgraIJfy1pwWk9fTGKTO3h0ts3ic2diFFTkx0s1KbS
ABJuoC9xXYtEPHll4ERgB/N8M0gtq/Eax/HZ1eP2M2qs5aqeU/XBpLLc1/jxYfa2xQ6E9PCs567x
HpjqvElXc7OhcW37hPsIpJ9LvT6inIqnLwok8m7B+JuE7cKdsF1MlRQN6gWUoXgoEy++KPviYSaF
74JTJFHi/os+BvoUcqZzOarHlQmt3nmEvgP4HxfnfWLybOJBJv/HBBOwse3y0Y696cvAefZa5A4P
pTSnSKbcKDKdhh0hPeJGVJZ9EwyzczOq2HhfZ714GB23ecTFzdPqwYshJK15tLBWnnIARe+kr3xC
InMfhEk9N0+JDxIjyshnwaJICszrl/NTXoK+6bWzVKIeNpJC4YqxZf9R0Jc+q2YwfGLvuD7GYIBd
KfMqcmc9OwyN6QHmiGW2BxvSfabLzgnNrorRw2rrt5+MDPIFCB0PI6VptdeDC+nE/Mg0co2Cm15z
4bJutB8yLMrExVGM1Da+g0WrtyjP5/FKtTNZiHNijfYZSAnFgi3VB4OkpYiYWNLaDUeio28Xd8dz
6OjhwJS6Dhs5sDSN9fXYBCQp8YRd2FpxO+g9yeN6edac8dquRLXDTO3cLR3DFceT1nXnJO9iJ76u
MP1udIZeh8Rc0mNlFh96lDxb6J7jdrTVn5lfjVt7Gp+L1KyOWp18VqOdHtMFgURtjOKyASe6LZ1J
RkwMhmcDAMM2yfqTHNp4h/3GAF9TBBtDdYDCPCdB1Zdk1/YCQ0MLxKSiDq6Gm/sXWkGgeVa29RKK
IG6PCFHXgElpRxiMnbDKCoZ0VVm+JGIZfIbRtQdlzFYRuQZnVXvZ1qy04JSDs7piZj1j4eaFhYFi
nDKFcWskkPO4MGeOTGPSj3qtTYfKg7QhBoIdm1kjQHiNkZ7qlfmlo9w3tUo/zU4WHMbEeGdV1IlM
G/pLow6skgAjOXzuxTy7kUOfFik/+G0yecthOsC28HauMT/WAPUux94syT/SR0wNgcHYMCCswYnX
mN+4/2w187hPnIQ9jw3c34FWmMKUVI1tXrvtGb2SwUm+6HfImFOQooUG5dyXj74z4XiwCnmq5eq1
LYviAdtu40Uu8Y77IJuymfpc+JvA8ZFbTrZFy8RCHGGY/s4eHcs7Mngz9Y1iEYEOVAizDwXv1ZVd
9uI0LzEgKFM3j4gI+42VprxV/TZJEOHWFD6hGgznQrid/LDMVh51K8wHVcZhLjfWpDUXRucuT6LU
HcZP1fJe5KKBT9MHB7k4wbEaY3WbFRb5i4RtXhQQriPXLLE/uwWxicTVb3vbsu88ugQcDlYZXkKQ
UKgLf9eSW0dNhn1idix4+YGVf/LcBG6MrmYg6QpMQTBpO9jmDc6R6q40NPZyaInHLLOkFWIl2CRa
EtyDnTP2ZcYT71pNevQnCfJ1ju2rhlEYYWqzdq4G6V8b7aIuAHfDfKDbA/irdbvqi5201/jxvMtA
YgSL7HnuSJlGSI1qNS2uBIGfR4H8oIXA73ancomthxHarA3mfMavYhK2cUpVUvgUwLn+RWCtL8H/
167c6Lk+HZe2pbKttG4/EvXyMJdjRkZYkeWX9pD0nysrd/Uro7cnJClGDeT5AXO8joW46GFKNDWy
TE3WdBNSZ/qzIQQrGsp5PReI9g4PernBvVbTiQB1fYLnjpEFVEdOxrRZpUcMZd1l0PaNjeWESRqY
cCej/UBIAeHvjXOjzDg7LGkt/jSFrxE0JVSx3hs9fD0i5bnFPoTQEH5fD12dkpzFWQzPfhbPAvEA
PeWdXvRsONhh1AuNZR9BjRafBWN43oGCY4IX6yLeJM7IgSjNqqhNhXOzwGM6a40QfN3MSncj3FyY
G0gjoopDXkrughR/SjEi90hRH0LBYXfGJwQd/PXw1Wam8R56Sv8sIFr6G5M4ds7J1TpekUpRf2bC
fSdh/fawaNoW0hOE7U2emuWRSXZ9WYJCOth6P2+qhtSUocuTnLRyE/hM6vRs7kHVaOc6Ccb7zLSS
m6TipFE7rrhOlte/Img/WQDJszBu6eCEzlKplwGYZpgFHseToG2NW5bB+tkSLm1hLYEV0HNMvHAT
FqKw6vhzVgjTPjW08T7NdO6d0Wo+8WZVp/ZJRdYYqad8/3GaN8kKSGg4bD1gvKiiXq3HX+y0D94g
S/hcfAUmHSiRK6lecN5le7nEzbbOM2LfshnEm3Ji3QwbYZW4qIP2N/I/42c1hIFKlHoJodoPwujO
DIqGsNbhkGhmexEz01yPw14dtXnbgahbj/cWKY0TN+aRuGcoKnPNxR4H53cFzdoFflNQff1LaKYY
/DlvnepjYzWVQCh/sDNO/hGeXOeGwDtzmwzg1ZTNgTANuLJDostbj/A46AwO5J2heUzimgezhkJP
V0qd6lm0n8bRtm/AJMoPMyfu34wufhjcrcXXak5GBIdc+QdbPeOMwpsIxz4Q+0l6T1+775TgRdON
HNL8yFPHVsQDZkw88dDzsOGxT10UtWyecsG52YNOd/XrkvB1QPl9SQpiHRPx+kfh2Hqr1E7gaJhB
hgG+qqzWihDxrZCIsb1cZm3ad92Yblial61i8gK7fOQElQuKV4+M6lAhgT7ns91e0JSGqRs7zTMo
b+/OdxPoHwNk0ljrGhKNBud3cmWGiz/cfNym/moEoaG/qqn499+o75xRw+OicA3T7yVF0cuIDm/J
aNw1SrI6ZViVgtTyXiZTTYfMt5KdZphPuBY/AquzUF9xXNKcOdmMWNWups60H+ig1UQ8WsVJ1yvr
0cT8IPFWi3o6AXXyj7FrFBvY3aRrSl7oiqXkkATQR3UjhaIiK86rdB8vOUAuu1pa6oSgc950LYam
Zl1hTGiu5ynp3Hea46mXyk90CAu1bZNI0rPGgkjg3Ds35XEcWcDSuOHMTrFMXZIU/EfkWvGEdAAa
gb6sZ3U6qe1djZGJNQXuzMYGWPmJ7BfY5kSqvLOtQmxNGRN4hub0Mh9bzqAGLQcgg9N9smgkJeN2
Lx87ayzci6FcPODr8ZxwkbIsYUvqB7l1kiLVo1FYcQnQiMY9/W9It1pPfiLSRPO+iSGY9q0FO8tz
lzI5AtHPyN1e/4+YA3280XsmM1Gc4YCYEIr75gnJTw9Ox5KC3Zgzfaeneb0hlYZvnBAzTdfSoSKB
+cDTJuFBaopDPuW0js2fQqQn2/OjDosrArrkRL2jgYurAoGJpaNw81Nb/Knysdh12ZDtx4nTlV7M
PJHLQEGR1u54P2Tlo9dRPy7SEA/+XFrZplPZRFHJtQtWts/FsqxDWSfVzoCOrKPBxnFXWFO2jzE4
1BHRGOVxcPzmSRIw+WQrg7OhWZpmyGtb7KzB726pRP1L1erQzGaKfres+491RS0Did466pLVaFhr
uzoNyiitBqD/9lLKKcQTP+6MJamOoAmpWmrPCjk7eXeV1Y33ujGaW7M2myen77I9jnR1EgbV86ar
F3aAoTF6iPk0lNq2FNcDgQq8wTaryRDXKBT8gcootm0IM42z8I70+gjkWRr8y0Ff2s9NLbkqBLeG
wDoJXMiIeUVY1l60oqUrRwoNhF168MBMK5ZLRxH3W1Zm+wlvkH9pzLRZoOcGl4lBHmemvPrSJRRu
jwhH7WvddMiprad7tEGU97PK9v7aAUK6I66rgv6Ql1Emo9JZXnze0mVLGKp4YMZ1O0lP/DmMA+W2
7iQ3Rm3Dd5tTJFs2v7TW1oPz+ldLO6CJ5aOo7qIGIcylsubyaKyvqlzXd50Q3I2gWfLo0BDfQXEj
yDhHxLIdp4zOyFq8ZlKngE+l3d7pdcedaXKOIq97saiTGmRJYipyLHweVQ699HUsmE00Vvl2padO
SwLxVE50114fQ7AxHCSSGhyvHDXYhAkdD6tX7d1rx4d5Ubmas8vIBasYwpgsj5AUM9LnOFCVCH8u
x9hFsbi2B7RE4zLgUyKR0OaFf23kLRlY2ULQEJrT9IWsL3W18LrVkVQJh5F55Vn7Cd0rXcji3Ao0
wSEHYMZ82FyxdsAPbUeQi8AeucXJTFSPBLMbImQzaeIsvIKoDGnBxW5K+6/QnUiMWrMlnYF2Bo27
efsaSczMDiZzAVOWA4/e0fhCZYQIgo4gRMv202IxfAydYW4/w84xt5AY1YcaFlwYm1151NbmChZv
ljUq+vjitVMD4kMPfY4aXVQvGb+pMmn2tAtLnGXw8a/9m9dNUhb0busmtY+arn3R9WU9Lnsat6+s
OCy1PYrjr49mRutS2LSGmJHGZ90o60vRmMUGz6Z/6Q99+6kx6KEZfUJPDT9LfTnjsbyZbCqtKNEH
FnfN7J8xcTePMuGw0+ltcDl7rLPNnHIJU6ftPuuAteFcFSSE9ZRP297leE7OUnC5Ps9tty7DOHn7
U9mXdCSDzOPMW3T8OJuoOmXoS9+na9ebc8m6C1CgPRo+j4S9jP3z2MbNU2rEyY03Em5mdOvzA80P
PB99yNLl68Rr9+v1eOsHdEjBHxbnipio3WKzTbroo9+/7g0Gea4Xo5+kNx5LPn0nmqiT5tg3XqI5
bBVz4F+2AceQVhXm+5lBYhRUgH/dhpOwTTkcpW5uvBcuwM6MUfARJk15VKVeXwJery8dk0Nstd6D
lOPhQ48LQOy6peFwPhusZnYy3auZY7Io6M/pTWm+16qaxZZ17BO4VvGApzS+oH/hRq8twWmgaenD
PL1IyJ5kjMvxs2c1ERFlTrFLfMkT0sg1n5pip+LFBrRm0QVtSl4KpU/NI7knNKhnesZWFlMqDByc
LbfF6Exzectmz8PzusxKj6tB50idOgIkP1LVK0FmaLXWE72kC9VZ8rajafNBeJzaNTKgiPglyerG
01ne0on3qAgsdi13EtR4Fs+apsdnOdMvM0tZZceamJyLmYHZk7culTiYzW1XWMUNaHto+G4GiSUB
eG21AftDSsuEd7KjO41LUV3hZcR623rjF4+h9n7gTw9rDnhWlAUUIeRdij/hp3LkaPuF6M+alywT
WXoD9fpxmhyu2uJp1pGkKV6VqeAaDKVONTTN7SdOJbkdjlKBeASfF3BuGZ3seobSTHZyy3GiaWJO
kGpSm2nkhisfQ2lh0lJ//cfXF1NVOVuMZozdZ2dmTxVsKsd6GeQtqHa1q9I82xNezAudcapMPIdF
BvFNcoPLGM3h4mTLlXAXKrLZU6QmFC+jvTTuNu0pYF8bxV4PThDs+3leTwFKtpRkJLSOexoJfOP5
6JU5sDXffli6JIVix2F2oKGyHR2PDyua0b8Y4uEv4f9/tTu/0+64ryrxfx5Vfsx6DhJ9Vn87q7S+
/tTfkZruHz5OM1wT5ir6+nZWGZiMHZG9khPA2G5N3PzPsNL2SGZZ+UhYxRBYexYzv2+UO9DU9IAx
nEn1gI79X4Rqfj+sXI1NWB5WhzgpvKbxg/yNOM+0GJ3UPQVJ0x06RpQ4ZeoOsJeC1zh0vfP066Lt
Zx+ISIlQe4O8TMip3xc+Bd9amAJOM6JWf2NM7HVE18tbt/TB/hAv8Rtx8feiu69fEKUp14vyD4vC
G8UpuZALmWGeffKa1H3KAz7AwrP+vndYon791b4v6F8/ilvNvQY0wRD57eC3S+cUsoVhn4pqdp4y
LydDZVjHWXTpjethWYJ7r8iN6y525PnXH/2Tb/lVHIacl9yst+a7uS0mRY60ferNnDUJagj2d4ez
cAVwuPqNc+xN8fr6RXkCEXrRE+bY9tZJIckihk6Y2ae5IS4s9ERH2TPnsIKjafByOvZWLtIL1DQ9
Rgt0ov0n22gYjEkUNZFuMs37t1/fZeCOHMBnhg8u6E01jfQkHssktqFo2nzdoGJd1NcK83/5WWiF
HdwwjMFxQXz/ACe5pZepUjZqtdm4Hm1tPVFX8jzmpvgqEflHce73g/31OqPMgwrnrPrsdb7//Udl
g+g0kgPs0xSnLz0glu3I7OE3d/PHR4cPcU3SkfhfVqk3LyTNO9vjqAXhHUj7KfcnNhLfFVpkLAXH
/V/fqDeUsa9fCbyOAf/F5hK+FVvDDDOmRTOsU25mRUUDn88kh6x3w7Jj+ua3hfNku4qXNAvkGcyD
daQbaX0Vo/7jhf3JE4x0hGVPX19VG1nI91c2BnMSxxwzTxLV3IWFFV8jtoDzodB6nlAsshCcC7Nz
ESCPilnK+vI6os/2rCDd4dcX5Wd3gPF7YAfrnf5B+F8wp5FVIXh5p1iedeZ00HXH5mSLLtj++49y
XRBhBuIYC+jZ999bCr9rOq+1TpnD5Q2ChFdWKwlhiXyXO/HrD/t+qWf5tqG4waDAXcrH/fD4inRo
yrYV2kVM9M4SalonHmrkxQ/L7MvbqVasDr/+xLc9VT6Sti4qGNflaQbIt/5J37TVoIDYEB0JgtZj
aiooaBr1f9fLsztr8pwxOiZz3iEgIPVz8z2tw2Bb0cI4eVpNLetnbntYWra/1xUEfaToeQDMDBVP
qi0GorrmdxfJeVWYf9vFZMViNeVBDHClr5aA7/9molJyClnLvuhLvdrpCyVOk7naLsGgOoaNXmFM
jcoy7wgCanKcwFtAPe5d12lltSUPlL8xZqKQRbHDYHSxquFZmgWPLsUS75XZaqy8epeTseMYzPhD
Iwnspzb15bl0yfmiDTU8d2AUj+R2Ft2mX1tFMBrah2HympOf2NZFl3MBQ1XA+4U+pHWMsczgflhS
wgJSpqgGRabDr+4JgKQcClK3APacEbiWjJnl7su65TN8rrTbp+oWhSozU5tCFOp2RnRGnzY8IcKm
k7WGzS57LV4Cl2LCak49AV3dOlmvU0JH0uG5yMv2wRO1KS4qI1NnvEXyVqOlN1FcFkn2aKiAW+Yt
lruGq0C6um+pHh7qoXCfiszkabdz03lSRtA/94ZYd2gKiKeKsvAz8QvmYWq99twR2EMWEVM1L0sQ
pbL+okmeA4cdxlAUK/RqeElXLYYdF1pkSZsrGmfxPaYCqj7L6p+7HiCd1tATRxPD9WHm5537PiGi
ZHKYCgU296lC6XJvoFx6LqqE5puLuhetTIzwBC5ocI/chf9Ki5V1ZFLDbyH+2Hi/DFw3e9T79uuO
WrNT70RPaHDIaKqjt2szeQuVt+pS7NS1VVjVavEu0vVg8hq2ktBxvtRzU57Jx3Ex7euaRhxnXRrX
pFbx1BSY9588t+BqqjwXQzQ1vqqjSUf5dCHW9VKbvLbfMxlsy71JsEIb0bIn56yjwfrsNinvX6Mn
KtlWi29cpzhHuJVONfjojX1KNIaU7DdDEcfMxWqLZ3nKteC+Z1Tc7yFlY8fSKEyF4bMXDWg65U7h
gqFBWGPzZJKeIEnyyoWJb1Y5T1PTOk8w1REp4KUKyo2jDHxg1kLg1zIn3sZMXPuxniZygZdMXZW0
FjZtL8lNyTW6bDsj02n3lc10TEqEzmFPCxeJ0NKMdIFj9z2cvmymoeQTjeGhT77GXqWfGMM2IqyK
IIgyB0q8dDQ7UvWi3heIFbdjkwpxUVBHczJyizRckMvfDZR8BDnEY/WlcbrhxacYPDqmN15D3Bmp
72Uey2gsWJnILWPhmnXRcRE0JT65ZdH1u95R7me5eAZdgxr9Vq93yQ6JoDeHwSiyDWLgGtL+2Fyj
ZzVmGk89aRPoWAgMGsSVclN339YqPhlq8Nq938/ug8iqYYfadnl0wQNeIA5KyCeY7eWRRj3xyY65
RL0xcRv92JkiupD1Y850c6DQTsl21ztvvx5GmfjItjc3XVdp25YzYDhxeNlVPiFzLEwxs326B2PR
k5tRtAT9duRBKGdUX+KkmUnmyzRU9031CT2GTQJ5PYSiRmWdk1ceouV+QrDP+5Et2iZmihyNU2fs
KiLRcxI8rom701n+rZg0h6IjPpg2UWk1A8nCAUCesHM9P2nWOy/mS066/sG0DOVs6gyrn71C7EO7
DOKNPSZM6xvRR+XQU3A3SkP+0YwfROG2IprqfsfsS2FZ1j+XXt98Isqa9ODAkLtei63NWPJ3BPFQ
3bErkUe3sLxfunY7IxPUuaNeYuYEKwX1rT6M4hYnEg+1hvoDv3U8GNeamfNK9D0Vw7YRJGWdAOdz
wDYtdC8Rq+3wnHTEQ5P1ExhEyS88spC8g/sOkEtCEop09C2xbrKmFdnqU0jCerkwEtCah9iw5S2Z
elrkqRK+cx+wH/sjwUqEmdnNqenK9bcZEutukQ0sQazGHMxEw2orqaOgMXGEc6fFeD8Jm1cf4kF7
sCV+zINjFOJBCB5bwqSmht5RWZcPZgOBi+nNOIeG1ZgN73zai+rRyVNfvCgx2WE/eRCdS2/oGQvb
85fKn9skcgrN+Ri4cXDs0qA/oNSk6YgeJRtDovPSP/tpYMwIX96xsySJCPxr+08gNUftHQlfjXXw
zdS/nro8i9wSB0AKrPeQa+6yU0gFPixBUnkhEJX5w+R01ZkJ4ItZLp+kaRs3xWAOB9ZVGpNm0KFS
GoX5nAxp8ow+YH6XjDQub3njGeBNBWldduKtSdlptloxyt67oF/aE+oMz4mRuMs6HhVjn8wA9aV+
gtCirlocaGf40pkWdqi9jNDlLuQRh53gXqtxHGylMZTMhjobUcJS3iB/H89V5rcRkU/9Z3vSCJ4c
FutPUj1ItHTFYqL8MTM37H3gE0XakdhAJlQQgj9juQhiZ5NXPtGB8/RnLLT53TwkxZ0xjvpVlyXO
YzG7RRJ1ZYojjK5XFrZ4FK8DW2VXnXSsC41uqhumU9I/mdksThU4oW2dOeMJEa8Wh/ZAr25vsOTt
NA6z00YiKY5Jkow9uUvBG713CyEOU40zhCZefKmrkXBCuE1hMCXzA5FL7bjV+97OLmRGtCpJoLrm
hn48+wXpEfos9kE6Mo92au0y95bmg54x3scANFY140VPLw4jD8/1zA7/YkxtfzUKMe0lG+GpznsE
MCJI0V3QOreOKYvbvrBjI4sEJwuNEaM33SXmNFthnceO4LksuwdCQi0MKKVzKTMar6Glq2CI1gQn
Gq5VN8ZRWTfmFe1M+n0qaA1/65eezYJozF8a0x3jXaDRXUebZh9tuzW3r7PnfvSyc18Z7YcRrci9
Xyp7OyFni8DFIQ7Cu8lANCUDXS65t7HE7GU4/Jf0Wa8G9qFBp5Mda1OGpodLdTuRLrXHNeEx6Gzi
7MbU6erq3axdOdmAojdjWL7zNQvUCoFqpEn0nsNsiMwgsCs8uy9xmcqPAlDB59mJvefZHYhs1YVL
+CiQcOS7OeOhLowJN3zBn9kyeEwXNR68QbygEE9u+5w5Q7hkpDNas0xJ1CG9gkEUM7LQ9rqOPCYS
ILSSRC+T4HD0uQln9mRRcMj1tGHU54ygfE/FqCvMQN70KXVVM0YeM5wb3QONHsaiLm/qoCSaqzal
dpeSdxmxZ/eGfQDjUcrxXqYtHPCvFex/e6G/6YWurFGqxX/uhV5ldf2lf2Ni/Oun/u6FYs7wQdxi
YAwssp6/8W0E3h+mtXZHfdhcNEtdPusv44Yd/EETlGMjeQ7/j70z220cSbf1E7HA4Ezg4FyIlGRJ
ljw77bwhbGcmyQjOZHB6+v2pdtVBVTfQffpi322gLzpRVWlrYAzrX+tbMMlcn8v6n1qoTdqDQOTv
zRnu9Rb1n2ihsLiu99+/3MWAjnNRhZjoQ4248lX/4S5mM0wsYbeYp8o06qwlZ+V4BmtXleCiZSfc
Kuqq681ij/TMcjIVGHHxdVK0wu6PMzOvNjip+zODBies8XTJ9du8Fo7zKkLYrDGL0Sf+gfSlnJl8
5qnnfhsZYp+xng73LM9GsstrCQuMk7N/Tif+YTR6c9jsDZnB2RxkdQIcvt6UM6W03WB/GhM+xBO3
gBmnsGcNt6PEqPpiq0T7tz3de3gfCm/STEpL+1rRC2S3snrykV5tbvAX7dYFexnizxLbnWlHmW/r
d/BoEyZQTaLhrOycWV7bgTfaKT7bJ5zLpRfZVlUrEupJ/iKIcW3SjGNy1OVy9A4kcFDFMM88eY62
DoQrM24HkjbYcNnS33pNZLQ5LMfRsvYoQcQ/bXXvST+RN/wr9hl3YFJiQGfYNQAt6zYdatJ2EMbH
rChQDkxZTvgKfCNaMclu29AK52hk8hOvmd+6ZE+N/lGYhXseQ45OYtC+OOgw5MI2rGHyupaB/9T4
bvLcDYsVHLpksI1Y9o1bMMa8nmUoQ5NvI3MYqFPERRXUIN6DZty0tAMdvbAuTkPDIggLlEYMpm0J
oYJlmU7M9q851LTJtn7urY9tlTq5uU+4xN4ogSN36CA5WMMEYGBaq9gPljGjYaeVu2BJkhunLq23
ZrVxJqy9sT6HHDwcIows+jeOYQbFa97BHXvBeo6WtNUV01yykbh9+35vacnR+8C4tYJ0Lgs3Fx9p
z7CIT442PReK0bbsnchieH6hQ3PazmZCI11YiUM+rnRhJd4W32nBwb6eJLcZnKZO3ZaMRsMBOsDQ
B5srqpzeKNfCkE2PFK7NAMKq4T8r0nalax1S3Z3da9ffykGI2vKL066cDl0q6Waaw31V7SpP9S+G
kT3MxLI2HT9ml64z/dPj8i7MicpZP092ybg8mVR2UVIMDghHo7xtS8M8NC7R1SFprWMIQWCjetFv
ewOQT+nM+dHRRb2bghqvabGsB7Pl0bS8wnqhQPV7NQQ4vUXqb+j7NSKHcqZdXfnDcCQ0Jg99Pn0i
kRXHjtLrU+v5Ol7XEso9jikaWKPeafSOACfvj4GNvDSqKG2N0Ng0HEMphMx+ugz4sPxgnk64E3qt
yRzc6bDekovD1KWX9JaeKuBDhHj2ODmehtygdrXOxWa03CRyUGru+e3lSbqLwS47D82Buhv9k8nq
EgdUv+18HrYbjh2x8hsOKOlKKKptD9XkPrV28Uhl9e0qkj2nVSKv1vqce/S9mX149NPpsQ8Z1a6l
FeNi3qa4cKlCy6JgdF76lkvgMp8ldnicVXredU0xbMdkhfyQOK8e2eZr8Vcfi7L4WThYI6xqonyY
osGn3ADu0woRhQOjYkxzLIJ5cHYaOi8lowD6akOxAZjkPFB0W6G7dVXkh+PEd6uBNcLn4e2tvuwj
Iwv1TdAVX6vPjRnneHiksBICfkfLDsR3ecnCQTIGhaLAUyEe0qx9GCl2MwJe1FpXlzlw5EdxXc2U
Tnz0bNkbJ2LfzmNutR6Z7SGL+MC6XQOi6N1vszfa4HGDW/OvbCjFTer3NDUggWwYgICSM5LwqMkI
b3uW9YeBysMN/trwoKT/mHjdwzQO5o5lIjjV0pj8iBLa4Rvrio6t0U9GLk6DvEhLj1E7qGFv8kHt
zLrVFzd1s0d7nkNO1ebj2hkDLb4UOyIDRTLUd8tc7uj9olZZNj4Q7P6xp+eHd+hqZzTlDuuzza9X
Ox+Zk2OTy9gdWjD9SkB1l8NzUSlvZ5Vr8jSp6dwYbRdxk5AvviFfXMx/m8IYP/o1fPNS/Pfa5Y5H
2IIMUkECwJp2WBwOtSf3oSUT3sXWuVgibfdT0H1VlNFt3W7tb6D2PDcwrfkCk5WOy6wYT247mZdM
2I86bG6LPnv1FHWW3Km2JuynDSvt1jPC70449RGTgkhd19LGCO6D3t73uZwfZz466opH4JUso8F3
laTiraDXJu5sn0fNcJKN5Y9nfxm3dFUefZSFnTu21qkj5rFpx4bKa9JTWaSWIthzIFwPWT3cDA29
gnmi9rgD8igN4ajmePjZzIpoTUJ/wwwpJMBHgcwXvajD1cRjBJdlNZ2HrLwaWPyuPeOQNyIuTzRm
Szf7BK7tRJOluRe07AlT8SKc8aYi4xCOKxurDMOt1Q1P49IjrfnlF3c6CgaWN+mrYjvyerxZ1SqC
1JOfRoQ+wSh25+BTtaKUVunLjJ0I/TZpm1ivmTi5uZvuFsNeNr1O7fek1s0jhguaQY1uoL0uUKxM
Y2lX96kx9iQbOixmOIKihqwdNWO0zwohml2lG31r4QWLcstqbkJtYhW3jZfMmK7bMwbT2gs3RuBe
JtO3uIwW1Z2ZNuMcO+hwRCGWVerHShrBIezVepxH+8WZzeYTSiJFqklJyf3O9ScsNXYhwGY6To1b
j33W2o5D+FUa473IuM8MzjQ89m51P1WGEbWK/r8l03cKFEvf2d2Ohrn6SCzpW9ADoiLFf7QMMWwF
Ly+2uL19Z3l1biaxJB9yFd2Wm0t3oODD2sp6zPYe9pNNQD9qVHLNAwg8vocpNLbKDIwzvYPqtSEI
xt2zD355kIRj7TZcoTO7+CDBvzz5E5dPpYN3W7lNRKbQf8Umk8dG4pmR5WfyGUOdiVBmXvE94HFs
e+bO71wfIj4wuSEOgpknwCAlQ369tOvLbSl/NJ36ZHLrM4upxm92P9IPqrMLxhU3XgBgbXzZCAyh
OXTVCG6As2nMrjj161pjcNIOZ4QqPQuruEFDVRHGXMwgOqwfA7yM6ERBph/IXgU3q++134w1vKHP
a34ee4BDtIxTwB2S87glefijVcEXq3OxazGAx7pL9EsuxcmDj7Fvwm6J3cnIt0njsUGA54qRqnBM
uZZZRUYtrUuFNYlbpNveStFTXTv0y23pTOHNVIuZVEX7ReZfRJohMJmDZhRPLJD9vLW1Tde7N0xZ
sXeqtN85paPYvHqjem8ZnZxwIbq7grPgqzl19oLzsgjoq3IW+6nMbPFZFa73Sf8r2aL1WpeeZC0u
nYIDg+Y9t+DD470h8uCU49HXq4G5y4wr27pLuKjYPLcVN/cj/tW45OQRZcSM0wxkmMCXeer05O8U
Y/Qnam+HTpw5aEUl1s8uXA+eNf2oEw8VFYdPXA4N8S/cXYcEFWCzzm64YZPc86kdXQmhhKxUExd1
LXF36u/j4AyRtTaaWzhSoVvUyaZDt0LCqMkXV9izkgbVMxDFjT1QfYCoPx4rc6LY2r7ITNovueN1
+6LxglOelQxvB1xDyg+fljXbFSNFo+iuzt4Un+iQHJgk1jVZJi8i7cpN0VpxYjh2jBcS+qrbbQJ6
so6dt1Rbv4WJVvG9K0nkbCAaiahmQhblzhgHSIYsJ5i5aPcaMU6TCVtV9n0K6UjhgL8zA95ivMwv
c03mB2NGg/u2PE1evsQwuMuYq4rk62EQvkj9hj2xqA917TyG0K335E6+ikq/1M1CqNVDEyq5p1iD
i2NqqogINUPcOAvFpI3bnSFLjFjwDOuVCCB1o+iNLzPSU0SHJVvdQn2ZFJQP2zWiReZC/bBkTTls
ub6UbTPvCGki2SOS/FCdiMXsU/xOYHw7F0x+TVCu3hwkL74obttMO5fOQe7RbfWLwy+SZtZvhVzr
KIM6w0c63s0EOUCo6fKlcySdn8jHu9apwq0Dd5JDd4AqZMjiTND2ytJU5Y7xQHvxguTT7DuIoDT6
7LNJzQ/t4hu7sPdEtBQ+px7RhHdmIy/VvOgLGdeorKlHXvtObTLHXC4WiUwDQD+c8NomhDeOGz/0
p1umpT9q7hsk096tYP1IG2/vi17fcs1deDPUbirWQxKocbsaxr7IfhlBC4ne681b0cvmplXdPZVB
hP8ylsesDVDac3PXNFxvR6uz9+S891btig22mhNDZzZQaR5NFbzgSQNjlq8fs6+/Ep1+1rXi+1Pb
D3o4+3XyUo/rgCmvSr8bBqZ4jdsS298apbZ/u4bBW9DUcReG9V6xOW6IuhJ4xkxJB6gpbh2neZAT
pzOjl2Y0aESvjQpS86KSeuJ4ZtyTwxqDjSrnlS1BJrxcdoJ2YxpNhuwLc73jG/wdf8pPWzHdtJNp
2WS21XcAeUhX4n4t34taAtPNc1ECjLdgjsy1XXDAY4oek2mvHqarOjwaM1M46am9zI20ixqLQEBU
q6F5tyY0xXlicti5Tfsy6aA4jOQXDpyq1SGkmH7vhJWza5Y1PQGD8XaUZT4vHUk7UId3YaDlfZUb
4hcisj6tWc7gzQ5g3xSLOmoCizt3crpnp1pAHXbWB3d4eVaVwwU/BdaypiMuzjq9tWffjjTAjDPo
W3KF6zzv7ZqsiaQ8eTeSTt8NoY8FmOBEYlfMjSrbidOZFGhJHfAGLe9aLEvQubJpgXMo+/AaaW+t
rEjuPDF4ANSWT1K8SMyWjwO04B3jUHuuNJzQTi4HCMpwuqfxIsqaY0Wf+ezF4XfoFnncBr6NIM2U
yGjcimNQt8aT4q/vwynSPDspcw++riWxS4ukBdCyqJ5nuctIHx84Nx7AAEmm5OW4uwLYtqzmlF+X
brUtsAFJwMhcpgJMOgZqrF+guNizfB+Z2F1jBaY6s1WzCzGeJcnfhyf4kMGmgV4dWwnwHwqLImPk
+lELqz35S2+SZSjym17R/N11jQTa25unQbXDsa/tX+1K1DosOkA12Zu15hfB6r6dSUPcy46PsVaY
9UMFJqEopsiYDCT/Oh9i1QbGaXLkfW6VFn7O8px6/msdoMxyvm6jueHr38/zrhLmnuqyMS4Gl7sM
bOZrOpG/KtDMn/Lh51o3D149nJdmkUjWSbwSG0JluFbH21VU4kzeTEPGy8P7jOM5MrOZVdk1k5sM
cuwWYzr69rwcJ57USF8Ti6YeWCNd0ZGtHj9HX34S+aKOoL3HQjEfcoBGMVfIE0v0K3DDivDvvOWq
xTdZ0No5jD3GFgasFzqSrH0wT8goK5supuVD14jHRRqHQOrtOuIeIJhYoeZna/WtdQxkk2magp1V
iGfWzkdrSRde0ThslTdx8wqmKGXMFw+GCeQOszuKQCySfDpmhADp1q4+q6EOH2Rq8EEGV4xXm8Xe
bK8vgXDu6Yghpt8IiziDCaTL9TcODeaAGWuyX4x+FnAivnwuk+xnINpLv1onFXgftrB2TfExiHKv
h+BXd/VUm0G+bKn2kFFfhnELwUwwH43XdvzVDDDNC0N9zwBjbVvHutYBGpGymFIWa3C1LMgwjasK
LSATK8cWmYAilfddxgId9brz5qgBjXOHF9w6Gpzpm82cUnUzjVzKx3YB7aXZyZtREQ01m3Zb9XPV
xdng43L2Tg0hdRzUEXy0koOYKvQOFSelWUlTxr4Kv2WHXlp9C7CYkkny5OGG6UN3yIs2uQ9Y1YZN
3YvOLTka4yABebZ6w7PheGXPaLfHBd0ZauoiW2RIbYxaeArL1tL5TjqhaAkW8R65SYPmQILEvNVg
Ej97NftqAHUS9igW/zN6/f5nffkof/b/5zoI+OJwwTqXDf/373/s//vPNP1cKX5/+8P2d/TRg/7Z
LY8/e6ZTf3pyr//m/+8//IP+92+VeNf8N0p83+f8Dzb6X33J1EBc/7s/tfjgN8CBV1Gfbq8/BPc/
GEqh+A1qEe48C6fan/Qk/u8fortt/oaDiqF4CIYHgqAb/CeiOwL/3zV3B1QTVViCFKeNB+6fbGLI
wa2L0UodSgnqxE8JLpFK4dlYS2JvLjPBm6F1QfdYYmAjEqQ3nM14heHU3CVfVmL9HEiJBaGaK1o1
NqFYCE2pxCLQkBMd8BcDz1mjOoaivcz1ekpyf9E8Gw0DODHAV/EJ5vFbssgtGQD6y+/MFBLbto5a
SjV3XWaH/Ubion5srw3EHdaMfTBN8/3vlJDf0Sz+6CTH2p0xqngVWRt+TeKONCI2HzQ7rjuAUaQR
CH4eFg0tbeNlDmfqm2Jp0EufmOdp4xhwyhKcEcFA/xhTO/V2U+hzujXHJM23pU7njq0mM9z3zAyX
Gqw8x+7sVA82xurNxJl2um+xkGQbPw2m9LKGRhbsatqF0kdad70d+e0SyFmeliarKWNzMzYy03YP
wrn+mynJLf9t7lRT7ZEuvU2KixZc8pKxciWi99NYTMFqBxHAEYEVDPNSYvreBpX7s1yX9G70l3pb
E1pCIfaXtsFt1gZvq54Hg1VxmrfkqQFqeGs88CfMQSNpCtmOF59jYx8pM7VvCs8WnMOtOp6SZHzr
KJ8JwmJfduWVQhAU+yDcNd0YSBDRHvsNp4LWaZv7NlMWX5iG8eCg8zoyljB5GL1lfmEzU29mtmDa
KaoMj5IGUZAr96dRzfIxICe6IZTSxlVohLuMefdhILf7DlCAjYf6nTj3u+qQhxUcx4S6KyGKx6yQ
6mGccd5sfIP+wmpq4ftMHgeA6jCHyzNZL0pXjDDsP91rQKskdBnP3JIPKqW105yAMPpm0cMhchBB
17zgREwyrDVEtk/nOvzygGAUXAo7eT8aXvuRjmy/HAIW8xIuARvEIIVxJNbIf7WYlfmAh3bZT+Bb
Xm2reJZGY717mBnSiDTwV4418tULeKicyXZ2bOnOIeVqi0g9k9K0p58JmOyPFfVwGzY1o9cxS4cP
JL6tXHPKh7PJ2ahmOo1O5t4Vqi929ojfkKNQUt90qaMONbDRM2wQ8T5bOrgIvwJVYk3DIZSKmJqz
hJzy6/6513V6Z09ufaPs0j7BFJovBe0GN2XauJQ+ZDirx0a+tVUm3/lEi/08a/uk67W40VXVXDB6
Fl9NOnhJlHSpf8w7e71v3WHkYkN+v8RUCCO0CXxOFQOYR8NANsdJlp+x1NkP4Wp6UE14JG6KuUuQ
74M8P1ZcPu80osTt2Nn5t7k3ySnZy2SeGzXm5yFT7bNWenrKc6/BNZxWWwP+1juKpnztRm84DW4N
9xixWh7N1V+tnSiz8t41w+QA4Xzaw0dOY1OGwa5rR/eXO3btnmTI8m2WBN0QIzFDNSWZ3ORMTIlE
sc7Mq+WQEVaVHqywOS2uuSBr2hxOHf1DV5O1wb5c3JhUuGwqlxuTED3h97zyd1ZmAjifvfaTqL4+
me2U7wosHJFXOdODrLl6ZlSl3NSdth+SZVredJ2vX24CwpU3JLmb60Z/Q4UX0ehMZcxzMsR1OUvY
K47cN470WmJptXqhpaPY87HztBjXegpfNT/gTgz7FdRDj2hv2luwyg6p0G64B/lVWaiTy5W0NWbE
Il3r12pljFFwA4BfNbnMIDo8E/Mcz1lS3jdohRerttI3CH/FfnXDdkdCHccnDhPz7OXKPIeDCi8G
07OHZR41GwUtgLd1LYp9WMx3Rasb7EY8qEetUydeEXnLKJkGDq5KpMem5lqRBl4e8WZUZw1/FKcY
Sw2K58nwXHm0Wkc8eQsDrsgcjCTqW2/5yuQ0c180Apx5upfypl/69pNpIYM1qY7sJeE2aWvru+Ta
fCh6t9i39OA8i072j6k/+BcLPY7uxJa4G3Tr9qWvdIjc66/nkcPhR1NrxrRCTI9FjnuKYVzv31bT
tPwgsk0ZvUpb96aq3OlopOW4T/DmXcahs4/kuKtdkLft6+S6PQYl7gAwD9a9nc/ZAztb8+6Fuv4M
hsr/teQKr6g39OkGU/gPFAh5DQ+ipQ0NfTiBPi1z78a+MAfEPn7PKMQoD79XSdyQfTF+NCU6VTRa
k01+czXk8Vpz+Eq/0LCtfWx5cPfzJHI9qX5Vjmh3mGnbb0Faed7WqdPy007TYF9h2DhrkQSnEes2
8fm1O2SY86hpJAy6WOxvKGpDcRlwnt/JoOyhmC7DVtOsRXmjMZyTAQerdBR6deFzmxwr/Y2ABTbo
Bm2X8R0QN1Cuk35o0j64XY1w+WnautA4JnO265D3+FRMg/GcZa733uYU4s2KAQvnXrpxr4s2ZXHr
mlADYwY1SdPKvlBxQWkvNfCxwruDlTRxg70PBvb6nZhyG9+Y0YKMocZtrv3gQ5krXSC5/eHovj4b
aeU+BYjRG2HO9u00hDhY0sW6B85vRqA+ztcP8NgWttivg47GpcqvQDvrrINBHlKrxpOUVbRTppb9
4gfDuJ19Axm3rd294UmExNCztwETmJjLMB2/td0cmGf0D3CynC9Ss5hoxNCssZ7G8Em4mAIqvJs7
M+vEs5vIzOG+2Dj3KmnJT1rjHD4UKVgsKIp1NJn2bZB0Ex976Zg4GZBI4eIcw8EKtiI32p+ZzjF9
GgtScDK0/g3DpwYjUY9tMln6+2YtGvoPGwx5mWXdzBC3IrKSRjRNa7juE9H53zgLWM+zHcplcwVK
/QpKQ7+XEB13iWre3Lbwt4YMH2wL1gCvzxw4d0wUQlgseelGDjLDS94ZBw/rQx6RF+sSNu12/cqb
rmyZxSbT0dJz7NZsb9RHpXw1Ha40Urn3CWdTfMFs1prEiGSy3PkytqnBlQzaHH2xAZFw8e1eoaaX
dyOmjSZKGBft2e+q3eho8ES4dndGLvwbTI/BnS/8mV3Bz985oHkovhJBu12SG93IhCmywr/sC0B5
B7dIRcQ3u7gnWIpPoHNmiX3XrDm+jv1C56aaHr3uau9b7engmUt1hwrBgLKwvY4vR+gjba4ZCqSy
9spkWcH8wmF65qSKKdQyp6fRLNIXU9XFC358kF0YBpyIUVN716ghJBd07RhP3eRgAvIuN6lJBApt
gh0MyTg55Fhv13hObXmUAxYLxmkCX2aehvUNd7+0/2mX0u+h/6phEVgFAOzcJiPImBnAxNEtmN56
Rm+fEUmXS9gixIYqT6MhbedjVk3rNuXg/7aickvHe049oCTayi+4DQWv0jmWyhffwZBaV2teEbUJ
doaNX3pvAuT4YaH9djNOmR23mvBxY68fXQZwzjceggZBLyTaHBerIMTeMp2pBxDEJuUEkcLoNnNF
OOWFKLcF7WR8LPYODKkTcVPVsV1wuDGKnEB9bp/h2b2DyEKrHQcYYkoVsVIBWmBZ8MaUWC+LEnkA
f1SzqX2nOjK1tpm/BbssrZYjQ4e7jODAq91VhYqCuS4j06u6nYBqG63GvEaJ0vbVgswdnMZ7HwEF
i5203xfDmhEeMSWUYYDb2IWE7WUqarxKneFVqg+Dyhjr6nYph967abCgHhGwzXNWFnmM3dKJ1qBj
m+uz/JA3frBb+mGNGmzH0eJg1m3qIb2QpWFnJwJy55q8OMqoQD0TkcAI3Q2Igbgs/uIfu/9v29Vf
ibPXENZfzFhcDMlS2uBeHVhX/1xrlCXIB7kO8oOkpY0j3AwZslsDVmkX3suTY1btF6UgROHxOaj4
X//wv4eyMKjxwz1q+LDLE9kR4T8kiXByMQlZm/wgZligq+zIu+dFdheoUD3+6x/195jf7z/KJkd5
DRQS8/P/MbSU44Ty5owAvYDPUm15Rhai7zQN//zXP+efOiF4TdRBEjMTBIcFMWXe8L+kowh5LDhR
/PSgG3TjLOicg6d/53LmAyAHBVxyDDOm4otTfjR401NWFXAK9PpeL9fM1artv/6V/vkjvjrtnGuJ
HUGJf2pQ0uYQZAO3jEMLC+hsXpFitmTMeHXfE7sz06z7mvXI5yzgwP7+s//Xyfnv9aN/5+TskXq6
fxSPrv/Rn+JR+Bv58z/aJq4q0Z/KkfsbIDPqffgW/z/pyDF/8/AS8DCRzeN5uv49f0pJ3m8m8UsE
AgGG+NpR8Z9ISWz0f18x6HBh7+IhYpprE+P4R6pWR/FDq9s0O66uyZSyKMDZDRtHJhYCrueM7yY+
/4vhuvVj3izV5eq43LRBacKgCLXcCj83n+Sg1mXbWbO6yzhgqY1nVLi5/G4/h7l9HCr8+eWYQxF1
gxnVpQYjxxBBMSdeMjc7jcVU35opVtNNbRW3DdLJvV/bwb40w2yf4F7eO4pTbJSWBrwylrL9mmfd
AWupd9b9Vaonp0OeTC8YH8sJ3BSM5um7grXHnuknaWRD29tLIm8Y6OvkkVo7h3YHY5oP2vxUaq0/
sJUE51XZJPCw5w1s/1O6nbCS7lQye3dTMlM3ILyQur0rp+uAb8K5UZ1lfE1s7L/8Jg/vbFkFB1oh
up/pbCUtdKdG3OdZo68Uku7R6Z3pKJVvEjhjV4CcLa2f0qxxOLjXMF/R2Mzhl9S7pGaVnvpmNb64
YXecNZvauhgELQ9L3r6NCC+A2Cxvr7JgfMmaYXgKwwG2DyTu7pPEQPqGqqyQDlxmlugZUmOFCteN
DqoDTgkf/yXm/0Pmhspn8iu6j3aZJ43oMX1jlWcqoavis8iH4SZc82EnuIF9raYubkl73Rlr6h5V
NzTHLlnXE0xo+qhcv9/58J4JMDG3zrhmaqvj80zVG64JDFm8S5q/jQ4xZDS7OC3CTwhjlB4vdA4Z
0ohE34rcNaBSmtl+bpPiua6c7JsacvZmVEGbETCI6m3J5VJgJHHNBs+VrYDP8N3D8ujos3bCtYds
ZNpqs4gx2WUri2ORYvKMpr7KOLjYHOYI806/cgxmHDdmuyJmVvTrvpFZdZ977rxxGCffpl29xrCy
9MbqgvLcDIa8tQxbcIcsJ3xNqBjMOTgBp68J0gX5Ue7Jny3ZL8gijcvcuGCSXjd0wtFQRpaOoSFz
POpFLmvphg9psmTRFBhbUKQYQ5Yx9jr3Qu3D+AX7Sx3MDvvRJDF9xmOvF7we2XxaV9yCOxkO1UtY
y+QNwnNKYLi1WrkNK1/8wEfW601mTvpxhEmTbMdFifcBqZahYNVqMitV+71bTCsKm0l8KMxCjDyX
YblS6IvgBorcBAc+4DSaW0sPMZOgJvdaGD4bTcby1R7N7NSamfPJwJjST5TQJY38DqmpSavgu/RN
/6zceTFR9eh9XXG54f3CrHylTxUECLlK1pCPq/LDTbPwBdH50yCgEntNZ5+F9pafbtNhke6FqKtt
EiTVm0wZURGRBazOh1V174OPRYC0pmwOQVIPcLlHztoD2vntFdIbMzt6QPsMkVBynmemOJQ6s4MT
MGnWiJErt9KRmp3ZIfjn4KDcrtMAgLEW/tE1+2vhTSYD3geEm1prVjSsNH5khNR7jxC6Hi1QSfs6
N9UcG+GQOFuCGua7pTKyqA6L6WiZDRDkqswld9umOKQLBGrMVBrFvbaHxy7IHd5Yv5SUfUiSHq3A
KcliluhDQqMM4TJjar4jEDcdTmZuZ60Zpgm8saW/c/rO+KpdH7NoL+TI3XcxWFxWQGI1N7sOD60z
Uumetd+9aZl+kk6d3henEmeby1u5HaY+WIBuLV0ShYndcpYOExUDVyKhlk10g1jGZEXCbJ5S1Tcx
x7gJo2BHrWCh2tir/KPTLKDzae18CKG0cizOk4OkVGhbC6fdz2b5zEVd7yk5IMfEmQbvS5eToTEU
kdhwGL1ta84rAeyRyp9RgF2ubY3MW2ejBXQokHcziK5Rn5yi9eiNdrqpyb+tRsp8fOFCoMy3YFHc
0jH6MJUYIHouvbxLZuRJC47JnZBTsltF0T16ZWE+kihM71kWqcABVnTgGP/KnLN6bKGhPWrRJ4T3
cpm8TnDLgMBiGt9U6LHHDBDwa1B510nyxGMV5A3xQz2X95QSIszAkL1q4w6tO5hx8WhgocOfzbLN
bhfN5ZJftBVqzGx+yz24L8uLDE1+XU/RfNsXDPH7ghKZSTJA2oiu925bwa+Pvds6u26V4AJYh+TJ
CTrvIHM1PTMLDFrCZExX7dVY7ioj1eV+MNr6FikwuYQgeJ9wLPuHlBf+hbFzPUxL5+4JQYK+S9r1
OxfzuY7W1lhvUlEsjBsXLDn4/rftAGJc4R8aY52L9URHnX/IcrSYcpL3baG7jdta9l0C1cRhkVXQ
l9bk6nq1zt1cpzWxWQf+eqDr+3T1qb7g/Xzu6lncwhJDFXcMfy/BoN0pNY4YIqyJaEZIOisZwJjl
M9P9TdfODT8HTtyRCPbyQM5+2ofLf7F3ZsttI9kW/ZX7A6jIxIxXcKaogbIsW35ByJaNeUjMwNff
BdrVZamq7Oj37o6oWSIJApl5ztl7bc879LJrHuughAworX7P82RPmArKGoGTgw61GWBp+eB4xBrz
R4QawvDUeTBEzoAlMeDQM6qDPhwDPFOZeYtSIcAR7Y2Hho2ROAp9uAGV9UWUsfdFNoZeko1DYgW5
BdEnMQQppHqt2hVGpMHT6llquP0iNmkzM6wV0HhnG/dJeoeSdvgEGmxYp620cXLG7q0+FTx50bJo
klCK530eBmve1LWul++KyfsY60XIih0RTH2lGtXJlShwYtL6HbynWAvSdxZDX3Vn1ww094bjKeS1
tp3CV06kEifdRg+E+FAWQsEBh7q2+D248qU+ky6kwvUI9GfaGpHtbCvPdlZRUTASSMLhjBUWDX1b
w6rZd60WfbQqw4qfdZtHfDXpKb7sesAZgayTMIrZvpZypHTflSHhY92RW1avURX3Bb2JZxXMTxx7
iTFCV/sl6Uf90cNT8iBVWB2Vih9U4Uyb3FD5AT98tXK6Pl85JdyJbH5iAfwG4/c5ae0npxu6z0bZ
cIIwgeP7jdU9OeSk723Hze6UzDaDmWsnvhyd9GkIpEXaqm/GbPU0ayq18AxQc8ZIGONsX9MLOBvW
gAEZKWik/KpG1Prg2l2N316fzxENNBzj5WDl2vfi/H/V02+qJ6qKxTX27z64x691Xhbtz5P3Hz/z
o3hy5B+mw6jbXgB4tsec/T/1k4OfjQqdesikXnrtgrP+WCL28Ec4CxJosbr9WUWZOslGnqR6ovCR
wjKd/6aKetON0BnHM9oHOWbwIqYpln//U5PAlX03x3RW9yjk8ONADvaTUBnfb59/JfC8Lfxd4pn5
jOBRl/gmKMivXyWgpteNMqTjmRRA9XoBzc8dydooWuJxctsxDtmM9nBdwrn4DVbprcsPVZ804P4w
cOeyOVzs1y8OhRE1cep6IDI8OLdOjQGuH4GI5HS27hMWjufQyysPhkRsrJt5ir+OxGvjk6ptg8gT
CQ6jA/bX9m62MpSmjl1KiE7jJjiHk4yuWTvVgDJD4BRd4zD5tbNh/dNN9Q/NsX/8EPQ0PXLchMWN
9OYKitqsQL0g6EbKp29Gs5y3iLrMQ+wM03tlkAYTyJSgEC3HHcxkoXoaPHAaVhkukUbQle5oho93
cCldX/RzvEMKB1/ZZU47esA13X6QD3ncLTSIuUV0uaAsf/0ZuGVfNfiW78F1bA8M1MK/09+4LRvT
4IjjMBaI8TSva0QDNE9pATll8u3Xr/RWY3J5JcJ9AZ9arsUB6PU3bvWSLALJK10QzFO7cBNtVx1x
UKozHN7fIdLePESXO8wTiJd0bvG/J5DrsimKXMt4vTCuz6wojT934X+HPeOz2DQ75GKNhWVPMteb
6+exz7oZs8d9Dc6YWM3kW2V48T5t3IdfX74LD+vnViyvZOmSzZ4HjwSwt4tCEkrdo0IHk8H58zA7
MHgjtpbdNPHFTblBe1ZG2L7Ksk3vp4UYTHZNipcJ2UPUFfNVblnqTLTyIo7p4f1W6ABBgkiD81oG
ALXMwJPG3Jvv+xBS6cpgfqL5IQ5JLCMhLzJWRPJIV0dzidnyw2DP8f7XH9Jwl+v16lNCHZIsDeQD
uDDuraW99NPSF6CF7KK5HvdDYtDjCUuAm2HQHLBNpYhomgXNU34bKYPXVoq4k5s32Wd50oElr1rI
xXV9U6HCZMstGDfYhfgg9TS+sbzJ/OQMef7BUvamloP+TkKYQtkxZMhHbVoDukgRntB1XtMOHd8z
EtDXRRhPuzTcUg+Fn1jO0r1NPXgbdrq17wFDX7G7RPu8ClAxMRXZa4WHOQKt/SaCW7FrjNJ9gDWY
HBItydeFVARiqjD4ErHxrPImDQ/Erve3Fb4cyrvZMU+5C8anB9K8qXqdnBSz6lZ2ZyOeb2WIVqMu
08eWwCPSc+hQ55N2a3kVk+iJutoFzbQJ09bYWYGZIJayI+YWaWWvNWc2z1hpxEPVNfkHzIvpt4ph
6OiniJioKZleQnemyeGX9AQ+OsB11k6ug09EknVIpmQ8zZhSbqHeQPd248LzjTwebjviXD8XuFyf
hcL9R9uFZlb6VUs19xqnkrbGoESoplMf89zmXdtSbVLdO4y9VtyUQYU0ZSyGFvY1jQ3GRDsU9qfl
eq7LjBEl/UrNb0q6BzI3noBkDv7ClVk0MznIp2p6r2XAQfi3Yr6RHYFXPlZe6NTsLysmPgSulZ57
6GbTeK4Du7lLuE7FoSXMaoUn1XhIzW0RVdwRPZTeThnGc6nqcksEkrY2qtHFhaYX9XtAaR1icuQj
8OEW+W8Z7oep20aRcdYDggBY2/pDCxQF5RgzNabB+otR853XtqzOU51dxwEqYQ1mMmVt1q27IK3h
njNMroU4oikOfRFSvCfeGL4rkvAaE8uniI7HPmpbcR9IGqLgrz9Mbfqsk7e6HpizMrW0YYCRLr01
6lqenLEbjoUFjpuacVzlAtREl3CiB17MtBUlGktUN6zkotQ2k3K80tzQ26UoVFdos4MndPkTb2ak
y6Wn5ipKDXSxIKl7bq5+cNZsQ+k2RqNRrBMA/+sutPVd3WDttGZMHS1zX7zI1vScDI04d3FDZl0x
WS51sJ5UtzPAIZapRpLXO0kT5seY7aVB4eSUPC62NpWCFFelz8TU6gNosgjTkj+3EYZKkRRf6t4M
PyaB7F5sp5k+Gn09HHPX7Q9pjze6DyvzVGMu2OEZROkQkKvTMYG81aYUQXI2TaHhCwah8lAQvjKr
tVTMVXNa0v6ozeN7sxfF1hB6dBD4QzZmRiBOMnWB7xldvKOfUJziEZJOIfKWNh1/m2Cuq9Yx5cuR
Nk66hhU5MfEnbUMtkPAgIVQNLchQ3ogpzNZBxaFghs3k1wslvNJzdx2H7ByX2Bpyo8hx7AHI84nr
o2OTRDLUdJxREU1XcyuaD7M3mLc6D+oNohvVrdOghRwvyBP/ipkWc3MmZlztSf0lcsZwi6LdITKm
LTA8wwTXBOcLOGwRhTLBf5cIunJJtbFDYm/XAb4i5XeSiMBR2Ol9FprEdWBwhSk1D+tY41yoWcjb
slTCpzPJnauWVIqyhd6twG69zCgZ91kCUD+hH+iriuOXje7+OHvA/6fJqG4MyFNHh77NbhognK5s
gzE0lCwCP2pA7ljholtvCTe0OkOndUDvw7TM8HZ2KlAxqTkvsV5e1nwIbUj2GJJ5JynZdLu+bxcG
C5pIvyXtl+l1mlgbkqWt20sSHtbdeFe1Onk4iZ2tPAfHGWcVAPRMq33OkfWxpwQEi0TAIWfg/jHu
yekzSmJqkokm4wKU13dS5GoXFJpFYUvwz8QLRGstY+edAwecmsUE4hMJb7j2Ydy390zs+as07O5r
oat17UTyo3CtqyYlfMzpVUnKpD4PgCqEcWWNYtcqFgWJBOqmNxSuFBAqhzwldKrPkmhbGkG0KfGn
gOzUV0Pbxr6VDhagA3FXB4XXo00NEZ9V/RTtuPxO+gWPjYpOdZOrnrvZItV5LLrJbyF5Y+TV6+Dk
BTl8HXOcEB/RHTCjm3HQx3z+zvz8X8H624LVNakw/71g/fDMWL8I2/I1xdq6/NiPmpXx3R9AVizu
anSv2CI5Gv2Y+Und/MNBu61jpPhp6MeEUOgmOa380EVM/le5av1hmUQeQVgBn7tI0P+bcvV1DcEj
wrCRhGdYMlJAsTXfnOzncl5kHZ19zvssn1dFPHZnej6tjRdXNZ9+ujD/UHQtv+yvA+LlxZCq0wYF
X23zcWkE/HxADK3RJKiixQgOhO+pMBElTQtt7TsejQKnegqFYz57ffI7SOw/vjTtNuG6tsOy9EaP
EGupxGUjzfPsUcoVXq15jEIGZ9w4HcGbhjvic2lEDT+uCZYh0a8/+esCavnkjg7GdeGNA9zhgPj6
k+tGTKxNkhnnLEcRTie/hz8Hs26ujnG5vNzITvgbqrP+OiTpx4tyq6APkHSzjTeXGzgVrsHK08+W
XugPheEaBz0HoL+lHeI9ViTXnFDe8OIdTP5mF4FeebEXSG+m2VwHxQa0Q8YAjq7RahqRxOGYz7ar
M4eCXSjkVY8OAqrrjL7Kb/BZL4RqbMy/odK+nkp//xg2DRsUJZYUfyvT3AGx5ehE+pkzIvdKl5mH
MesgWbrNKB+yeCqvxpT969ffmPe3e9VZuks0PS/8+bcCFlsTgIKsWp4Bv5JtqlGtKaeIvolkVOdJ
zuO9ZUIQtRzKflwPHDF+/fp/fzBJ1KYudWzhcd+8fVZ6DO2pSkeJtssGvbs8MNMCeg979TvGu/yH
GwX1DE8WJT7Sg7flPWGCbSFEJ8/mQo3mHEkWYR9LjnvBQmFFpWc+98Jenk6B6rdyBh6WCwI1wUzx
m6/7nz64gbXGALKMROHtXaubWukpEXACZTNVQPyCrDzpbU69GxdIbH59mf/pIVk6gjyX/N/5G79b
VomINaPX0f7Dmi0mAs/I2xrLqw6V4FVew4M3Fso2XWrucsIs5U3OyD1kgik1OIwYmNE39+M9QmKQ
kanQ3VPLiRZokg0nOeo5VhRY89jq3QLPHgKhLtv++kNc+PSvF1aUG3x/dDMsA5vpm05GAry9cydP
noMgYQYFYqPeX+6bsc2rp4UhSoDQwLo3cQGh+nlkv2IxIWHQU/tqIuvWZ2JF8QpxCDSpDETz4tZi
vP/1+/yHVdCh/eHSAOHNWuLN29QwNfQ2cWFni6gRRErLZZZVTRi3COSDojP4m/SCZQd9tePYAu4Z
mfX0ipGz0IF5ve7mLYBQkU7NeVhQyFYL4zbwxuUPBkVbJ5bQFsNubB/ucFBzfmfm7w/D5L2L8YOi
tSym9sUoOTsnJGsDxechYHjJwrncE5dL1LBr2MQvEnYFfLNEyWDA9dXINtEdPhCCgd8xr/kEbz8W
n4TvmSO2qdP5e5sgMDN+dVQ8heeSu4TB/TTX6wRd8C34oqndg5IlwyVx+qQlM5Pz7Sru8V5uvSiE
GkYwsSHA41beSsc/sKEecrZEkxLrSA+KIRMJpZMBMNkK5rUwgHsCFRy095WWh+1aOERq+UPISZm8
bAdmrdAFT0bSDN2GLQBLJYDp0jfdqjgjX4+u3CZHKZG75Q2ABCySblmLjsFapn2U5GzdynLKvhAw
KtdITFDi6hMWVN5fH71MFmDlYztFxTpu2b+PyKpyY+HC4VaCdJgTSQ3WdFH1izV+ecagveNo1SOC
lYRwrcBx0MIoTCAqCfEM13qP6ja3whrhqu3h96RMcz+D+K7dFWCmNt3P40xPQjEQqg+6mmINd780
Ybx0gJYrkj1Jw4IQMTB4RAhNnN9ZGwxJ7W+BVF4h+05hXxBuXN05TFuBKKBuCtZuAqM6jDq23ZR7
BPscjxzJ3R6phREzco4G3sbBS8e7Ky3ruSGzJ14VLqsNR0AW4h5uyD3MK36MqDXY0pjMNXJ8A+Bm
0LIy50TCZNqxM8sIkTBzvo7i5UhiXjJd03ZTJ/o7rtyGU5lHqV/Fo3ugvRPd4OFuv9Axsks/pFTd
MfOu156Rhze1btbbGshRqaB/DyRpfURBER/13h3X0LL1z1NblisrBjWNqi3Y6rNRfsq9xvpYLpBk
ZVfRCzfK+DXsgqT1Z7pya9Hx9dBmaotdjVdpnUunX3FjXdodQTFiL5g0bfLdsn0xlbBhQcdh9aBZ
bpxe9YWLY/yIxsDLH5we4ZXHDZCBPF/nTu6Cp2gnk94k9GHLC3T+LGlEAJwhEAtTmB9P2mTjwwHv
VH3UEC4bvN00weGLXiJ3t5pYDj8z8SJlmnKlyZ4urwTAQYPVXgP67g5MBJpsqLDlgvF7P2oN39gF
NZxTIGMucDzWFTLn4108cVf6+KfZTM2Ccc2KYUr15NUN36xNzyDz4wQljBAkhw3ewO0FvYWvPu1Z
ssGnnXH3zu1qnmzzObAGoAwxJNJNC73ljvaY9TwCeX8caI6/NDNxZ3QaWXjQrpwcM4dTV0eKTgZP
qLsi4JNfPylr6VQZVnnFsS547OzeXRNxX14RCaY/KLEkLk3EmZ3atmd9ZjkLCLnD6YNtUbb8k3Be
OiiI9yQQDcE/oERlAuTC636udXZqECJMZ+mgyeQGYRFLDKJa93QhpXvLQJdMFDb1792IZY3kDIea
nQbUQt6q91DNm5cFYdjR1jTlQ9N0/OXl3eb4juAAKZOhC8dOHSdDPN2py1kkzXBZ35LZXu/DsMf8
NgN/7k1OhpPOGKaXM/woPZnuu5hyw8gIL0DUyPbcArBeT8vpcdK59pKeLMg0nt/FJto3L+Qnj/fJ
8lcMVkBJhwmnT5FCu2dy4G285XhUZey2ygvVEzxnTr8jTv77y0FhTsGDH8cks5/1hXOfNKQ31Io3
M+pu8mKCwuBaMDI4lEoTNyLikbbLQNyg107LE7cR352+vNuiVGw8YDP2C8v6ntRpDuFlqbzNhRSN
iIjdHP4+0QKBTjyB3cwk/vUl2NeDamreec/P9AwYhmk8Ka2GeX054HTLUSWdk/ble/FjLHvylHh0
PzNrAmRITr1KfAd6rYmRZnJPUW6BS3OYWezYdniDtBzRK7paAY4Wh3zwOdMiXry4PEKSBvq47cd6
OQax87Treji75tC8AFzkO6oCl8Mdf+uFkg2YDDTWNtSexiGNclprk+RgwAT0YPNN3xQNaeh8nPKK
6HL7PsYJDOAWJ2lO7BgWS5K9SQpabs8LhV+EUOlpO3X85qTHM2K6dASvqyHUaPxHATWgtAvuWsYW
LhYf/nci/pob+Ht2RSsBSI997BDIR2t/0ypBLhtuJDSEEW3zKB+4pmNFAub3RSDNDFJX4oKrglXI
O9mTZRxIQ+GBs5eXzwfI/cny1GetrJ6SJQ/jkhzFcV/tVWDwrcY66b8ZGznXgRjNK68gEkHD4Xk3
IgZ9vqRApGIB2hOsgVsLBJ53quuGd3K5E3G4yOZqiFkCLJmwYMg6Y/EhBD1s7rwx0AeI7MsXlIDW
ge9UBmqf19J7jNt59FA7zNg8ZrxsmL5c0iV8fQjzd0SQWM+X5Cddc6kBMFCxNY2ufBgMkjR8Q0df
iSAw8ejixx7muLDiQVeYlO8un5CdiDNyY7MC1Ti7dpeCdx4Wa7k0eESZ2DzELN34NSlpH2jnywfI
7nwt7XJKm4mhINR9uTsv2+Y0C+6oKsMObrhLbOxsVd6p0Bk5JIDy13XXUcksV41u2ujR8ZbZvGZ2
xEO/pBSmcWA+Vx1KXODzTBYzopbvxTwRgewYMzYVSM0uUp+Q5ShOebh0ExWOHzW1ZfgRtzxqMKTA
91EcYA4biHHYT7FFoojldZl1P9ZQsbA0m4RlaIgNn+nPcdfwX3uPBTo2ghA685DiTCI+0yN99pj3
Nj/NAE1X72jiDtwiAYMSmHosZXFyWftGPdEQ2EgWeY4i4VKS4+YDuZW35dXlAnxfi5bCvV/ylC4L
K/5edpzLvYuOkG1tJBhpPzrx9JlRfHC+3J/ANIJdQiMAcI0y02unc7lFXNGhNbTS/hiFU+3+uCHy
IXe/VU4PUyOv+5owDBBN+PCtZ9q68uFyV8Dj46FI9UDe2CaTb6nQuSbW0m0gswDfm41uAU2OxaB3
NRGVtHIU7rNdbeHE8QlRoKoasCH7cY2PqDaZmOwmDkL1mtpT3kjCffbccvjrIpsESZmFPFlOoNhh
HN0wtmXFTdMlJau9EctbZpYzusSZm1poEjhCO7BoX1ZAM23B8JcIL/NVG2jL9o1qPfQNZ+CxWTYg
dKUhNuZV1bcspGVYIyQmw91juULGMHPDtTxmBoh3AzT5NN7n+ERAQVKqPXrjxMHPCvnc3dS73N26
2YLKNetR+jVnofldT5rnuG+7vohuYUaJ8lCwjN7UAhw+RSMSLnZ+cFVrAeSgfmitjkMIYAEPnhsR
8AWSZT6v4w13Zqc77zp3zG+hVnyJtAA4ipc0eytTwndQ412RX5N8C4mb9h1dBb5hU1KTSmLwAI9s
jwnuJXSxMRi3lpanxwllsh9Rp3Odidie/dIa5nGndYmxRYo2kdasShRvSDYxPlXJtWEi0oUIZiHk
MvRxX8iKaXRWEa0dENj+zRszzgu2DmYdxjV3WN3orbsh6awVR7Us/scE1O+8ojFPod2ZSHl1og8O
lxCYgi4bRIksGLR3YaLz9dR5xR+VJ7lIl2CiS/yTa5AMzgSPdUn1nHHy5Uh3SexJQ/KgmZRoYMgG
npmlUE6xil8NhsejCqCLUaqoeXsBIsBH0DKcD8xg4J2Ol80kiFi3sVeWKakjHktS6lXeJln2cKmh
FkWdzB10KQxDERbVkeQhZgh1y5pW2rgPruin1XsnKr1T7IGxHypP3oSj5T1KrW1eEOa5a9tIQQtw
O2FwQ2cKRzZhc+vykNVqtmP9oeeVV5d1EzAAiyMqPmMzLclLEH5Y1C/ZMjmK4pypFe2rAVnzU5rh
eCuRJj/Xikeozbh54kBLj1ppbe1wWZnBIrIDUdtFe2Kv469mb4vmyqo6njjYQJCAUhJute8nDAg1
ncbOnKeFax7AOQrnQME2kvZAfeO7XVfvmC51eOZ1HfVy0zJohpLzQKojLTvcBvGKPg+XxCGzhl5T
oFNJ5DYbi91P9kNExxruD1Kmyhp5HuYlhvf7kdkS+TeQq1B2EVQLIm1zx93YU6tveeXoIaq78f0Y
2fMpwq7/vupCgmF5QlidqXbAkWR650DmyVG9T2al3S05cRC/Zq9wN0ZtjHs9tLQvXWVYL2Bk568Z
p8pvZTY2HLeHDC+XPel0LhbIG4eyXUZz5aPJ260ZDUP/95UqErUhe1YdLaAJN7EDNSJM7PhDXrXh
O5szPtE0eYbjubHEbnItnJtGFcANZeZTqonfZBUibjgpF154NxcaFWsmwkGunFYAMam93v6u6/rf
hOc3Ex5uPpvu779PeG6+fq4pu55/1iT++KEf8x3P+oManznN4ntEQbj8vj/nO8L8gyaUELYLaP+i
O/wTzG8w4zHA9tsOPCDXWrp6P4xdSJH+BCD9GKvATvpXcSCixlf9ITpdNNfo+9MiEoZt8cZet70y
o9MQfkf9ychnr49wMqF1ohw2TJVMxal3YnOCkxEvkvGoW9Tj6SIktxZJebOIy7PcRWde8Pav60V8
ztZsn8aLIr1dxOn6Raeuc/TbEsfdfTQXGXt9UbT3i7jdQ2ZyQ80DQfqifa8WGTyilWYF9ti4IZLM
WhFDobaid3NU+KK4axcxvXfR1dPZSh/BvA9H86K7HxcJPuc9SlYRaXRn3NK7zyI3v6/1FiQL8v3G
lQj5F0m/TT79PU6B+h5PdbDF9I52PmjHDX2a9phW3gxP0GDXs+W4MSMT320MJuahg5r87Di52vNI
B5AiZvq3SlXNHQOl6IMiWGZaCRLk1kbY6/TSHPnOsVR0b412sukFvSBfE8V4qsNBP7mqeY87uCUu
jjEeIqzegHthVPND0XbpSsjxczqSWeYbfdrsBekjJxUXuOWKymo+xcU8sIrwHb7P0iS/cYc+2mpt
NB/rHHeqH5Ems85611klBWHZEBO0+E73mmSvZeEt5L9ky/QiheZvwVGjYbUXQzmcxqjoTgStx6Cl
c9tlijxM71DzddsUa86qxTxx64Is3U8Yaa8dJYaT2RTTHjOs8Qy9qTwC323f0frJEKjgnd8UegXh
GcGMe8grDFczsvOtko62pqwqzhpn93f0ZNonkimyb9TY4kGnUlvb6Vjc5o2lEVTpbEML/wPXCoMM
RlbvTjVu/tGo435LK6tYF9js4R6l824QlkagQD3ia2qaW6AL5SkZ23HlGX2s/IQbh+MbyKAvhpHg
5sIMj1Jcm40CLzoM141pF9G5aHqUKran2s0U5LOfixLsYcMcB3/Qc09/64rInXiHcrC6MWsZrjpE
IytNn7tV1ITjdpSaN256zUtO1Wya+yys3L3gAP81KcLkTlQY6OM0nG9TWBAVrcFA++JS1OZ+EDbS
89VgAwhnGtFdFbHtsH5F0TFOUQFyJErWnFusjyAzxYd6TMaT7aViE5lNd802ghutrFR/JjZ+flJZ
pVtY6KvxqqJN9kDT0Lp14VPVbhWiqXDwr4mmxZuErCq1jBb8Qz/DtpOycBYNTEdGfUvqgN0QDYdX
omCiQREWHKj0ggPi2fpgTXQtfMj0eP2DUVH3AH/IH1lGqruJlJx9ESqxwWxlbWKtEtdIJCAAQB9C
xY/VagMsQN3S3wtv68jU17ai6ZbhaqNHp9XjhyaIHCoSt5veYVwwwhW5NNpmJpJ2b9lBfuxm/AZ+
rjlDsOo1ZfXbAnzTbUIQqgTXXKT5jQZv4tGRdJvY0pGlrUylAlaSGCLHnJcvGc101+/sfLw2Zief
+GqsGNnK1GuPYd+QYZkgEiZ7SAvHNcVCghEmoWG3HfE1gFB3q/GsZ0J+qJug6FYhdNJKbTO7xCR7
LZmmjXC8jDDHCr6t+yrMvVU4TDYG0VF0jXgXAHac7Pehw95/3y7eU9IGiNgtjnOlE1Gxal0A/9Xa
7PV0eFcnY+h+McM0iIpV5GRisN7nfTIoZ+NWEHi3Wte1ycvkVJVMIXnJumbjYnP73zngd+cARDrM
j351DuifX16fAr7/yH9UHmz1zLeQ5HOiWDQVf50CFnH2n/u+zr7P7AbFNp0MZvMcFv40dONSEDRE
uSGXM/FyJHiz7//qHCB14805gKn/8jIoqPFLQKhYBnI/KXKRWox9UVfGtRM0zuNEZ+UwGVLDSjVn
Yj1FuVIog8sjAAcl/VIqpkEzWPfBhhLVMeg/ocPr9I9WNKc3JQZWnJ5jD/NbrxTLRlebE/5Ps/9I
CV2v23BiPakmnfW4d9kOq5YBFCyNot91wyTvOwrPp6IP+tu59ghnXHqGHeDM2iEgBwbONgZdvneQ
XqINS/uOtuPU7mwUG6VfRWxoqzAsTQg1E8W9OU2OvY1GOH17kA1zt6blID4nHWQcH7pv+qJA1NyS
xtbnjPTy8TYISjRSSHj57HlFXKlPPljqHMqpNmecgd1Y7XhW+bdGA77+2LkhDWZC+aZDqBUg/3Oy
ZIEM8gYJLkUlgsBU0Vo/625Vnj0zCe/nJO1vVQbyI4GSux6i3CVOrymxmw+1s889klxXCWaDEGdb
S3PKJaByrdENIFDSSPX3bVW1zlxB7hNlq/aBtOJulwd6aDg70B3ImZ06FrNYj0leF2JF7TXeoJjL
C4lrotcOFOBlx4AnVCQWJDYZvkW6id2MmOIPTZWZjXHf0+7Hvoq41XetOOjHm1T1phdsOLDUHrQS
+OZblj2XCalhGjb5gYTDBLeBnLQtUxfZDCuraQ2gFqrrnfbUcH6J1uwDtlPuRTPI4EqvARuvldn0
y43jzMzVEguE3JgMgGyIbM36Y9t2XSVu5JQnrUFGUdP0AwtuSo3VyI8h1Ax9fmJxnYr6pR1Um4NN
Tec5C87/W/AuPNXfL3geYptfLXjD/+2f8wqBW/31VfVjwIr4D87CuRAqOASy4umsoD8qH0f/w6Kv
pkMmASexhJP9tQRSL6E4Q3+OyOWNvE3/A9kN/zlBZ2yeujD+myXwb0YSSitSoV2ULbwLarDXCyDk
4xF+JrdfWqDgNmZmxbodPv50Uf5B1vZaZICPZHkRjyXfQq/Cn97orNqy1yqauPMezJryR6eZ15HT
OysQg+3m1y/F1vCTnuH7S5lcFsdCQSGst+KYMucIlpDHu2cq0foxWZxXtMEC8o8qeA9h3O5zWWu7
cbZMn3yU8jcv/7fLuYgUEcs4UkqMd2/3E/JnXGuwdVBjxfCg584HFx7arz/hsiX9JWXhly8vYXm6
g/SRQuJtnDdWgqlDDaL2lhweRst4bDxZrjodHIiY1ddfvxjqpr+/HAAVl5KdwTByS/n6BjFCZdoj
0V97czDUkUaSrFYwKPNjanH6zEh1ovunIBWEqhW+ZcCzJ5XUw1bDsJE9j1KRPF095FQPHyA9EHfh
5XRUew/aOACV0ueAmZCoqWQ1YAf0/Joq+gCK3fisJ8OOA2gL0W+JZ65boT9OjVct4NUuX2OVNW4i
1XlrcvXIwhXT+DglQX2K7XCgP01ZGa1NuvcPNpizD/HkEP6Z16Aow9K6RY6Q3tvEqvq9SVxFF4Kg
osUsfc6nAdiJTuGnttQWu+J84AR9Ddu93xp5/s10svsyNr+QGnRGJp2vBtPNj5UYP4VgLHmJxN5o
xLz6OfF867Saif5UFuDHQq6tJhm+kjGrDk4S3VYYltaxV9YbU8dnQQlq34xYB6Ef2sGRPe3R0WRw
TBC5o5wgaCru+6+GrXkPI3rv9SSTBASvCh9am0lk51I3k266djA+Ik8N+j3M12CTiDG6Lhr05BG9
28CdhisLVm+K/F5rp+UsHnrwaBPyuGKagA/KoSUccfha6W7snCqRJAQWVjKQ22Ksa/u9WTjahyjt
mSiXJM5t3HHUH0qZ9ldksnd7TpG0DOq6zflWAdYEuaqvywxDtF6gqs8HbOec7zHHl+W0SoZCojTt
dBR1mXg0Szw4U6/GlRbFevfU4QSgwBSTPGmzEz7EkZoJgiVQO4AHuI4UvUJ/iKV3mDXE3kEQ1edq
Luq7vG5OAYPyJ0B67YNJVMseKrq8lqNh7/OCewFTdrzF4zPuCvw3UVpbIP1jIjXoVo97s4m9swAG
s9OMqr5G/lPe4bJY67BFrhmzVQpdUSa29UCSfWlbFNZQW2lnIMjY1Z7ZXQH9S31iVO27GNpLEBgl
9W3rSN+TIbzONAICYH0Y+/Bo5sFyzhzO1ZS+ZzpJo4SY8p1JDswVc8bUj5mw+32H7VwLBrlDLiv2
sCay/UTOxsGqGjwnF/uJCK3yNr+YUroQQx0qpVCcjUBNz83iX8l4aE49nfqrdnG3GKMHpj6jTiQd
gb44BEZnrcRiiQnTxR7jAbZdlYtnJljcM+Pio3HTtlgFi7cmDILhakySBC86zht78eDQOwh49jGE
66agSxR0tEIW146BSfU465E8jbTjcY/Y3mNJWA2NEmxpthM9QxP64C1eoHBxBcWLP0jvjU9EJZ40
NwvfpaUA+OBwpUn9OLYmia394jQijbFdB4v7SLmSqKs5udYaRXwHUJx1oeYXTD3kCkYI3Qj4DftD
AABiIzVxJu1k2y5+p4SRjV9CeNnNKb82DGz1vpaaAyChGbR1tfimOkiYz+T0knYV4apqxi0WEOPB
YrCKJCwF4Fw4fXPXaZXxzLrtHuLFoyVkRG9laTBEETEHPqrY+Sa4GLuMxeNVSjc7sSDNBzl6nIt1
66lePGH64g4bYLUwHcIx1ojoFLrFLlq8ZHn//+ydyZLcRpZFf6V/ADLMcGxjjsh5YJLJDSylJDFP
jsEBfH0fR0plFNUlde1rUTJRxcwIRDgcz9+791xzxFYWM3UpSqu67UpxLkb7U16i5GKkCLoG8qFL
Ujl4FCBQkXasxVjXIu1hWzCzBYPtvg2m23AecPDo0Z8MN572v7El+Hep9sSFPl5MX/vkIALkDNsX
9aWmNciUVvLKJrRMRlc+NxCJKVP2PaQv89lSrfkM38d9cJbMh2EYWlsLDyNzQa9wYPzg4vNBS3Kf
+NM7Bwa4Ftrt12H7ywFfvniJB68kBIxKd6rQCakTPiWgXPtCuwcH7SMsnBRLIc3CkR6ZME7A3/xt
2wa/BZYTY5Vi+rNrEVYQ9yCC5wIZ9LHSvkUUW/M2GOf0hAEMu6ePvxGQN1nk0+CdPO1+9FMrPyVG
HH8V3r7UDsliTvj4tWsSg2+5A1qPEKqfCzTxsbX1TAvur9Hn9pOL+dLXLsweNPvXafSTWwzdy+cO
s2a92jYz7eAcLO3l1K7OXvs7YXXJDQmqeD6Z/1XaBRppPyjQ6+7M81GdR+0WDVvQrv4VURAcwBj5
dcNHXfHfrsY/FPnEE2iD/r8v8l9SGadV+qe+xu8/9HtfI/B+sV2f36NrP6GNKv+q8YXzC9MLDUVE
n4/LwaHA/r3N4ZBWjNOF5hqFHNYS84c2h/8Lvw0DMX5oYTN5+I/aHCzyn4s4Xp5+Cr+Sd6F7J38u
4sTos9HOsXUSgpakQvckcGaGHirIub1OFfDsKvo6V8JD6iPi5BNevXjrmkiC0ySGQFuTboeDzSFq
L7KivUQjfw/npwFxVGnu2MxUGBH5uY365wgXqdjOQ/tGOz+XhHfzAX/qpFG92Fry3ZRaqTIixXr3
CDK7qrW8xJ0RHUNhQawx2QjNnAbXMkcRN3zp/dr4RoQHlH2eoNO3MODUlF1S8HC3SR3sJRQhEU/Z
FUDsRhz9MarQ3LgxTIHYIFRr6G3LwmVYG8+G65F4ttBv2TeCcW7AjbbpyrR1d4HtTLeWnIqdBBP3
tYBvZ191EBj4WGrbPlmTiq+zBlErQD165iZ4CVBbAGkOtPThUnX5r265VFcYHgkkE4u786Sbf4HD
XaEzilxsylj6ishRL6vSDhmrhUO6wxjB2aQBgMN8+DhFCBVNDMSv2A6xoJLF8ykxu2QH8gola7uM
bfCCBWXst4E/oc9agO8S0pJFzIqikMygLXtvb9+RqYWRxfDQm8hWsNc3Lv17HsHNqxujz6Y/Zz2z
metPGbNevGHgbj2HuccQe9UEclZC51UQ/dNgOSxQEMkapU3nOEgMgr5D6eHQiy73whuZuIiESTNS
npYqQsEXuvpQVa3/WqC/BS/bsBvSEFkFLUnJz3jOnFNfVhiObFB35Rb9efSSuYLBt6fFmv3oUvcX
SbxYu1UCIOocuWPVoxLC7MLwSAqOEixNpJDkk3AZJNeAUKIcWY5THyJ+SpiqN1PB5NztNUWd8c2C
ZkwLJOeSOTtHE4QNmbtwQYH+UOyWcLUrII1oLQyhVUnKanEuYPTh0y3HqHkt2OUjImuJwcESKZ1s
JyZSlHciqH37NhoB9x66PjLjc9+MWp5Sox9cZW1pvvDn38VOuLGLY5Fl6MCIvxtJiMVVw+vRk9J6
Cl9fPApXZCWLnfMJSqXDP9aJP4k4uHxwiyPs6iCY+DCukCI2XEQ02OY9uF//en1FIoaxAqEGxEpa
WKzNljZ6StmNwFXJHFWQ43rQ9lxlA2/HaO2+mfjIBYI4rSUzcR+ghkDFi30D9Wiaee4DhEREkU6b
1OfUSWW3j/wB6UVrp/z+2Cm09FH7tZKo8D8TgTwbL+u7JIFhiE/FTJjiltMzb9ZrfFaZYTvWbShJ
k90Q+4CeqPMV33Neju3y1Cstoa0L/ZV+iGoRKZrdbT+HiP98bAazrPlzOKeoUkUYo2EiXyg9gtFj
QQBCSI+BKtihVgWtW5rWfEjbpvi+LB4rMvMNvaYsG1E+qgZRHuthRPsSWISokx2cT1udH6R2fYi9
tlt89WgqJMZjhuXIYaU5TD0HxHAFhD4e1C6JtL3AUd94IOM822gBltlMUYayihFKyy649bWqIwPQ
9YJ8w092uteDjHbuETHIrnnt3aGLGFHa09PIKqY5KsrDguFxa46xh/e8737LYCs6m4KHzktBAsGT
8A2YULZkYdtSSS6GD+Dah3PB1ZU5FPel9qpOK7sKZ+eFFUoWPrKRXgn9ppPCl/hbS1vWIQuiRi7D
uR59kI2g/BzH2uVT6c93npLoRQYBO8jQ1iMvWKo7ZXnw/MbYhobQO6SPt4QtbUoQMmfUHc4RJnkC
W5wnxoMWPD0WCG+BZudFhs4KHAFsxiU4GNjBv7lB6Vwi2aenbBTWe0FQwYuI8bcdTLbA6xZc5jcH
aOTz4HnzuSkhhM0gcbZ1anxC0CRfYFN0FP15T+ZVKFJEcRzxiTAvri1gDPy3qTqYoiRDKzaXb3qS
zh2giu6Kzk1AMyALZndDojHc6zzrrnoi2zjpQU0CtCDzG+IZPJJKlXZAA5zDOYIQ6tqL21vpy/Ib
nZvE3UO7xlE9IZq/VP0kboGoPFolGO09qgSH7CAxdhaSSnbzh8V1kjN8omM/Qk9dRmfcdW3e3Kih
qje5MUT31SjZTWZAjgwQh0erAreH0AUPeNgtjDGH1Llu8sq0P0WYeF7IOZVPhXLvE29sHyGRQVlm
qgplwQqeqqBPNsUw9eKupSd4SoMCV36cmF9iW0007cXzwrnx80Cf/1hPXi2PnqpqfcABuHoa5aRv
fHXCHMMMorHvu44Wjl82CfW5mZjXigiV7RzRDHroEuijk02IfJFJS9PkJKnPY580+0KRJrNLokR9
jZqpLKjyBy87mGjYy9PcIv7cGpZLcrHT1rDKzf7ZZo7/mtqh2fEoJCFwyNyBwbTRnHEpsKqVk32d
eLxfqWIYbhmIf1VStDdNt8AzR9Xa+NugimjFczrc0cy3n+bQcImdyKyH3PL776M7ya8zUtz2berN
YnxImePG+OCJUYxRv245A37BehM9oLyLdoAUaZUiqrgee8vZFsyAx8CXl6FzjDt6H5wPbSeGmBGU
34peoSmHpb6PvNl+yNJ+fBWpH+1i7ED36OO8O9gWRMbnFROnDWqZ5jaAXndjRq1d7ZLBNB7cvCYf
A1j6no8roGdFBELTldXXdOih6dfNp4hZwSU35UvPI3GfZKxTxJKvlh2fM5V118bsuV+UignUCXKc
PVbUWfuIqO8rwnpJywGecTME8iQGkCV5YCNbNC3wEEHdTO61YlbGFQqaQgm6fCL67KHn4WcgX2Wp
mGlyXZIqr/V1n6PMDTZx4Zf4iYBMgECBHUGzb2ehtWMvbNx9MoEliJ0QB1XMuWlT+TzCD6HrmNPG
thvngXwE/x4Jaf9UA6rlQV+NNdeT9Nt8mQ5G0I83tcy9Ddq1Tz4toqtKGunOcqYGbCt5viHTkCfE
cHDtMsqPg03o0m7CKwCi35yMzdD7Hsy/LknuSYp3Drljzs+mlOPV3DnmZ+Kl2aD8uL5hBxqZRQEQ
3PUlERC9OR6basDX1dtuc4WAqH1MvBKo71x1aj/UVQrZg0ziy+Bmw0Oa+oAIIv8M6llc1zkEIvJM
In/jlcNLMiQAP0poHp4lKCjoBX0aGyIOgm4iILTtnIvflNNpMmN744aEJ+Bh4XvoZab8TQnwedkK
/NnyMOeJx51Q9mD5J7qWbjrwdCwSvGltUBbHhh7lSxNy4WMzyacoq4NDBzQ4AxBiqRMB9oRkatGB
wNFiTtJ6TCK/wqiSJWTZzHF3VbuzC2AkmYerSbr1Qdn25Bz4mekmKKcEcTH7zTt8bP87qB61T3Pf
W05J2JOjFKD+Dplo7gtdWjXg9jfFCLB2ccnq3NId8NFGtM0+q0a834MYblRDWGI0F/2WXuC4y7F3
XiH0GW+XTjTOJ55v+U1fFU6CxDoELZr1xKB0OeDtoZxi/7EgTXlhLAfZdewzygKk5r/mlm3GhxBl
NTeQSS2Y+1Z+h0zyKR6L6Zqzd7fHeBZO26wT0UNHGXBjo81l50VP9CUooWHvFodeRuSGr/Fg1Y9L
pLIGr1NyaJE/XYO+9G4JlWoByratsRtqb7gQDtxfTVY7HwX4gHvL67vnRJWXVrVXjVimXRvaSEC6
uvuNGTWsj76VF2v0Ihxg4oVCTR1AiuzGQLoPIFcKekgj3pFDNpVxcUGWo6xDGi7LjDNANtkW1hUR
0KXtLwyUzebXKS+RZLLlkfDeVCVajAr1aeVEy3U+SKP8bR6n7p6kmuWOPEyZ7uMm9QaCexqASnOV
Bxu6um5kH0tSNLD7kSHcJk7wSPTR58YppuSKfPQgunYq861XYXMzMYdFJsNaOOcqjfies5kucZ4l
wSPMVs/8nJb8m1QbmVfRfU378uChEcEnsfUa9RmzVr11HSni4D5mkn7P0+/clzxB1emHk/z/MZn6
eZjCDMWDEIiBAiKi6/48/opDNcx2rPXGkrAC5XAS9dLEfl7mAMeNtP7RtP7zKCw0XVzrng370HQp
FX4ahQGvnX1wyfWpKiU2soTSvWNjfsuNHjqAXQ+/JYXpurfxKAbnTLPdieZtZ2EYuoF6XrDzcWPv
YfVg58JbgATc8GEkSNsKX8akh9kAkZm9Yql0+Frpd+9mbDohB3q3X55s38Dp007YwFJGy699g2ml
9kbVPyG78roDtjBLdVtSkxz3K21V8uwjMXGwiyOMOqkTa88CO8ZzGThYHou5e9cRqt8FKqQnJ4yp
6Pu24++vrAqzdKeJruWE3I290+SABazmAf/M0B1CJNvdUcRYtmb+orxz68byjzjj/GnfWaJ+Xc/C
q9z577903e34cYIWmgg9XDo1TLVMmjM/zTxzKmRoWWZ98qAWcdJMM84Gg4V6+Pz3L6R/0V9eKPRd
ygCXaIKfVxdiUddoEc+fVjMUzQk8SX3V8v1w77lvXaodM3GNehOfIBbS//TVNa0ghF/imoxff55F
NgbIeEZiJOdljf3sKwWNCU809WMhT/Vk8Kp+H3AI+PCR/P2LW3ou+OdrF6YeHIYMHtEu/nztKvOM
qI5kfeqshkPhqGL8cUHeYtXLOo7NwDu5+NWCiK6RGtUkl5qDXxUHBdxMwBXrG/pve/Mf2pucnPUQ
/N+3N2+/qf+5+Talv9V/FjCsP/aHcMvUUmzd4gQU4GsZw78anLQtkW87HCMZS4e0sPi//mhwBvwQ
J9dQsAboPmqV9R86LusXB3Ukkm9Nu7G5Pf4TEYP30x1thmyrDP3B/qAIC7mrWYw/yLjazC0WFVfZ
tSQKeH5za5cJZOUGvbs3Sf3TPD/FnG4GBFp3pXGu7aTxJNbboDrVKjWPMJjnd0nQFi0ss/G2eH3G
5Wqq/OAbPZoABhq1/dKeKqZmOf2FvFCz+0Se0SKoTceBkhXDJoGcxQYUGuoELKNLloR3sDP64GGk
o2A5+8bvZTM/OZWMCDRSY2++Fhw901lPsOiqyaQ2q/KSCkNtJxEwQRtLD+8XtmIvn5Jr0NJtI54S
O1hqlW1JPAFmZpFvzbSdGLaye+4EqqW9QIpc8JBtg34Z8D+Nwi63nVlW5lVqpdDnFrPF/dTJQ9A2
872HgQh+/6wyftSfjeVrU5EddvPfG/D/JyKCLfRPN+ArZ5Wfbj/9Q3/MF6xfmLbbAgEGycgf4Td/
aIjCXwDgMH0ggAGc22qs+ENGuRKdBf1+n4kAJgq2gX/ZJ35xwSx5FD5IO1bTxX8go/y5phFr7JPn
OOghUPn8rEixRr8dTTOuzyOEgRTFXezdOYQP3C4Fz5wfPpr/R8GmXwvNLllOSM0Jdf7p2T2ipFsY
8lbnwFGwQ8YZ0+SAjXDWUBFyacN/EPT8/Ajn9YCx2JTdASzkD6TrDzuLNFCRNMLk9UpLN1LMhs5s
NoGd6CfXOdOJxt3qrDZf7Tv7+4v9i/bGoxYEHw1PmDmQ3iT/vK2BWwAnwFx5kX3/XhYlO09hjeJ6
xSutdIPINv/pkn+uiblkmlDCcX00sX/NzOq7HtaiCEjsLUFW5wxs30dSOQCCpBK8kgmT4+8v8y8v
iNBNP114RV2P/1yoZKYxNXYnQ8auEW1XHSA861K2FI7x1Yn+8HH9W/uP9ZfPNfBW7RTyOj5c++dx
2NxZiHijaTwN9dRCRvWjzr5blpZmulCu9tuS5HArigrXHmkwj+3oVS8V50C1Tfx8qTZx0AWP/Wzb
w0aO3sCxqkk6+ovh9GW2/wmO7AX/x/vFBMO9T0EVcrPrx98Pi7Aidi/OoKmevMCJ3WejtL2Ipk3B
yId2ldiVbWypi1UnM+c8XIS4t6t4fsQziN/RJL2ZYRnAAOIBcSA7HYUfiHLWEhEeEJwWYd1OaVIm
l9G0meeQKs2xwuZJtG1zj8kLOmcav4ZM7Y2a7UUcMFlYtwbmXLlfHcKUmtOjpWd7Uaotn4sca+9X
MTrNvOOxOY2c/Vo7u5KOBxWcXcLfpQKuyikzR+NzRpciemylLVlyUdbS/gd/atBWtJfEsr6xSidC
Nq0U/xHRn+HoPkzVrK4rM6F6J9yIeSbpLfZm3QjkCmuaxg6ap0JAHOYt6BoyPJrXQTu+F2nCShhJ
PUCUMTavonTGe5PAMiz7LXxOjWLVhgcJwULiyK9lQb2+Tn0YJWGZbw28vj2k83RJvTcvhB13Joti
evXrnmc450wGGiuEAkIOV4rIEV1b0fGCK6nAznKw84OAT0IflmW2jHxueoA1hHxpi2hhlrSL97by
qdKYwUHrKM85EMfOsIYWDnVzx4z18WOtJsgdGVOgiMD/kk+UIeATmCF5XKw9j0137NTI8MiAtZpc
wiBKS3z1Rgvk1UdjMux7Ujk/JyP8HdGwn+76fMCt/WHRJp3CfQPh3rxC7OHmb8vwGipQ+NLQtKGn
sI4Eprxh9qSnRRJDFu2FpsZaPmh09+jrWRN3d/M6IcjmHFnnjCVH1OtMZhJAq0OCp3qjNL0nVS4u
1/VEuH7+7tSTEDIIuoX0f3boYbDHtVVo3q5/p4+IaCrhLrBvLMnJ4FofEvqCOxWH4WFYj6GJvj38
PlfNqeuyKLqykCc12xEW0y5vJxE+OmZgSWfTU0sNwFmEmd32aMoabyPgkk5PjU/qKr3+eorGQ5ER
Wh45Bj9QFallnpXVB+OEZNCokkvX9alxnM0BslIbG3P0iK2biXoCsAh2TTL00bW9hPMrCln1Ps4M
hgix6Zb0XhGxqVCfa6wpZPfx2NkJs4qF0NSNIUZjCzk43RjeCFIq7p4bjUmddGxYBJL7EBKJ3GqQ
KgpNkKoic249mrnbcVQnFHATUq96evYJ0maahRrTt435FmiBv+0wI33pNLkVcZe/6efJujN8uK4q
aRGh9aSofoX0EQJLdjrlbOMwna7GwBhPriBUGT4YcbMbs15uhRzi97Zj2/TLNLjQA/VvG7MKOVgv
7nyN5ankCwcHVNMMirUpf+nfQ8R8atcZQ5zuWNzhxcWGWO1C2GEhOq8geqGz31c7eA6f+iQ2tqls
3yoryG4z1ITuqSWmZuQv6iG2XGkAK6kmsfjDhn15euQxx1q2oypJ4b3BUIP3zkhIT0w9qw9fSsCE
wFtiUXo01YDULXq8NSXUFo1rQRTs8onGfq7ephoTVeb5bJjAjZ8zw8w+Z2R44YnHsHmONBkp1S53
0YRmgu86qiC5iPrZ98o9rf9qRxfHBbbulMIjlHYxw88LTMivpTSM5UzLaxBnp5Sk7G6tBm2ZIy3y
YeBMOr8u8ehB8a7ySxE20TVMkPgeQHZyjkX4HCRJ+1L08m2m8cnun1ovaLmGXUZI/C1yL/Z5Dxr+
hZAj++tgROj0aM8SOR+qgIYQVKxdOqqzhyV23DmqtTD5WwGToFqKQ1jZFbMJaB6HxbVfykQ0u3rq
sLqNYLl2dP5bAqoK1wPL5UTVLcJQ99eCLvxwaHhiyU+wV+zoVwAeqcT03UT1YRE1rT6C7gYicLvc
uMZUMfDRlVEDC9uLv8wBY4TUrcRdkDjmLuOSMK42Mt/OdtS91pOgFmk0nNNRpDjnlvbvtyG0iZSE
JTYLt4glXttuxsuTiVtDEybIVIGBo0nG72aR0eWDYayTeRb2oVajULrYxIE+acg6S5nkuziprVsO
seylrW+zp6/j2tHm3fi9ZtkpvpptUWieVbliLgKUtZuU1HrEFIzjAN/ofqIPRqDcxXbOfi+BgczJ
yD44enHXHVf2EypSUj1EzStnPEzIOQyYLjPJ417yFJK3YNYNG0aix7VttMwZG/66BQYoCuU+MGKu
YlZmkWASrkS1GWj3X6thMNHbeYzuZW9075WT8+Rg/MiKsJfWe8OAM913KR3XXUn7VUO+aqA6Re8F
VAz4oPzjx9uyKo+JfptkVBKRYfD4CjQrAx6hPKHcne77kdq31NhEayFo4QJUTA8PhpkG4I0FiIAR
uQzrV2W34Lltb+Rdp2XDtaoRmcWukoizH11m8qRnc0p2Ucqi+mjzAgWkOQbBNp5cnxSULoP/03rz
UwST4dUnaQAglyRoUDVyop9fDFnHI8OKnxVnZNIKzMK/dhdHdOyLgfVU1AY8+iExvveyDY/JoMJp
w3umykkNeBb2RPoWUQP0EYBm9HBvZaslDXJC1iIDTauJp1R/om3NKoQAxWN9aITHA1OyVT1FHrIV
qOLu2zKUmhHV8TUaVsupobcXEyi11zVGipYR4xhEixnLPJ8TpeWT76TG8MQQuPCbbaqSOBGPCDJD
n0cVpmxinUUMb49RT2rE1qdMUC3Hx0n15HVb8DtoNGIxNd2Inm1RprteFaQe+AznSiOkBgnshPmg
K5Nbcl1GwAnJvOd/CI+BwV2KbGkQaSftYy3YWfIxMb6gL0ovqGwAZXWaZjiL8sRw2EIEEBiHYoDM
jSbT31Umse1mEF65cxdt29J5iAVbuiPj4WCZsbWTi8UsELvouR4R7cR9YT1WLlsMOnAySLORWYyV
U5H0fpl/B3vmHdD1RORf1iVhFy2jP+5AtWVX+F4RH2oU8104uerMuqYwGFrzLuwb884ji2Y3YkX2
u7k8oels99TG0dPkD0S28RDdZS2jqcl171yzd2/gbVYPfNs8l4H1X3jylYiuc2MTGE6/FaW/j8Pi
ZshBvjt8VHfm3MRgHv0Bia7t3NZjiRcWcBMF5NQeUWGgYx7vndJ6pPKr9kQCmt9x6XoXBxMgYWkl
OXuEmVWBYtAOFmj5RmAHX4g7cAsfcM+oZFcOJkIUKoIRnwNP4I4soFHvIImOF+B5xW7Y468bWpu8
eWdum5sO/hJDKK2jY2jNilzGiO8+wtHd3c+5ylLM/Gj6//7Ypk8dP3Z46Z8HHDg8GgsWLYifj/1k
n2chT7zm1KycF8pYpGPkgfwTFPUvpx9eiNQU0/I49qM51MfHH04/YQR3Oav75lQQlQYlKAisZ5Bt
aFPoEqNQcvXRZd0O//76/nL01xeo3aZ62OFyUvzz63IkLxxSJJrTyqfrjVKeym5iBKOChP2rLqv5
0fcT9uIPRdXfv/pfjEy8emhzKuYG502sRNsfrppkRronll+flBdxAEFRYj+DHqivsoBklc3vPfNG
IkHSlfcHfWt9C/9tmf9jy9zX44y/aZnzsE3+Z/sm6yKt3v7ct1t/9I++nYfC1/aZMPna57f2xn/v
2wmXBrg2BJoWzirh/qgLRvzLindIkjKdD/HvH307x/mFv2qxMJjnmEzk/iPvH364n27hEDyuAwTF
8xlRmU6gdcM/LLIgn9oSmH12Qg+ka4MwT4Ld0sVU5fYoQTj0Y2PWUM6CxD9H9gyOiYIwFFgsiDze
2sqHveQsU5nva4K/WugataUk7DWoQ2gFgD+WKYUaqBX33Gj5KCYA99y7A0t6tjHOFA26xA+Utsrw
4PIIB8IElEVch0mEGVqfPRtz4YYb0ShwUqwscW0h8nr76FOEHL22dQVYbTPU+IyPNgR9uaew1D/i
RNRaOdiLe7ul3B+AItDEaLTIsu8EvL0J9VyZWtOjzGyq+FzrOp1mCiSygCqvL7Una3HxQ8bBnWDu
WaCkoxehQZRWpaeHDcrl+5m8N+SKg25+NKFmm9l2LE8mc+dnPbl4C2yIWXVtDCdnTJxPi9YPVo6m
VTompaVfgnqMbTC7mxXlSYQHvxqiNvNUgKlUihQA3Xsmtb5yjQVINSkTW89aZUr+2roXoin23uZY
lyxDzBvwLHhmG6WBqKTlaKanRgIPKA6RAocTV+3mvKbIGeZytuXaw7VeHJTpoOtJy6uKjJpbJ6fC
EmMEkE2l000WpePZqUPCI3XZzsNSf57+pMFe5cRAese65r98fKGMVSkYYw32swf9Da8VI19p132B
vgltU62U/CnH87dDG5OnD3S4uIR61lTwhkoEGWxXcNTyioHPRWUGFViCpI/6ZnYNbxsYAWdKDNAk
nDbaBPNZ+p3rHEhsMGpmj8v3JNJAYXOsaBUX6rFfOo/cucR3UWSDj1zsLnsIkIW5mxV+1lglg0oK
lNf1LAiujYWeT4AyD5QA/KYl0ro6HgS8t0Qvot7Eck+EE3+mB8FqsCWCDrJ1egSV6xGR5j4j0CII
eECT6MziM2xq32hkGLUJVNO/4yIAdWz24DkT1XITErPKF1zTgEZgHWpha57Bi7tUmWaD5WFBu45W
G+vN4ra8rokodU8B7I+zkY0U3TOqOEx9y0CtWmoaowNyDfKoKlkxBA2BrqeKivfVopWyo14ndLLo
lOmiXjg9PUMPmYCw0LJ9ABJpd8Fh1sDCeQSMuh6S0ZxEL+sSXmvoOUeSS1AbnXm9SCOfYzVqXj4S
ZcMLmGJuBdJDIQQkwHkOq8b/45zVAyV0tk0hdINM0+U/nvjrLTFoGhtR6Xx4aw3UmmwcTLPa1wXt
xqn1GvQTqKOsZ5cU7xdDtxY3DYfkGo4n+XuF1PTdFY25YGs8FomnRoyDUEADE85u2mnyoyYKcT+A
ch43hgZIAyLj81nbc+vRbzbJfd3Qp3XOK6JOaRrw0upZdr/CpxExoJEoDEHXcQi6xLnPWiLndobs
ZvbTeAl3ZtEEJ9+T5uHjKNpOxHGpBOrEVOesH2eCkHRYOkht+5CbAp2hLHlDHGNAJ9q1Sh7nbmpu
VhV2OiNvdmbu5VzT8kSVYwoorYLfs2rECQ0Wu6wnScTUDPkeVh2fIOeyxwbKH8n2Sd6+5ggNTyG+
wyO55fbzOlvxmXFGpI7T5HjqCLNzqafZIp2FC57ynBVlhMQM7wqbhmhkgiS/xHXAQchBYpRc4PSk
x5UJP7g2x6ZR8S0VGirapTZbsxXNrKmIgg8+tL/wtcpOB60R9EsPtkKH3w5QFTNvVkDgZElXGAwR
68XqGA3U2jOgwpE7YhWIpNq8UDKiAfNeNjoTONS1YmARWnZxM10T2/ip3pFE06ZJPFa3lvrjDKI1
kIKBvXIbSJ4Dion2sK5513b5IbPnmrdg9/jnEPiAkzUfmSm05lmaetsbMQf0D2PLgPYAj479jXMg
fNrE0esx1EL6poWSixyNL/JjS8s6i4KeMx9LiXgzOZwz0RFk1mIflvvGMqx71+fuKgrolNtB8fEi
szqsd1w5CvdFoSq2tlPryeSw7qx1jWzmqOC7v1ipU1UvKo7n/LMHxyvdFq7epayRJC5XuyFCTWbO
hrZ8sJLBppNQvROLF55l0+iHQWvqh3OkYYIrpFktGvgLJIg7WNSisTZTklQW5/g5mU9sPw55VlY8
UEIgZsERDKJ5Ca9KWnew6oOIrhTxy2HxsGTwn8y0CID/9kb8suKoq55D28WtTK0s0v1w5vHYxhO2
GHqfyobP5bTSf6+r8gWyq7zARRlMtZmFwmXkO/KZ0vdch/pB1GkzEoru5opnjLiH4WRG3LvYlmTr
0MaB0X3LZKi+6oYi3o7a6JQGLR1a7EtfW/LIDBsOfKeNUbIPtgSccA9shg/hWY8GrUuGBhhjiP3x
3tQitTDsP1fgwfBdYLbxg/C+ccdNhrotWnVuM90fg+dEXcKMsixSuIWTcYe7PuRGOs72rmGiuLN9
e6m2AaMboPetm22b2i5PFunPMNndRmwNN0eiWtljuAnS5WAOBGV4WZLnW8BPUEbtigbuYfbnIjiF
LEu5jbsBFJYdJOFV77jLnZj64NLBrX4I0gmE22TghCqV9cm1xvrGMP3qLl1ycQnsiNVrceL1E1Hv
Y5E1OoJtYrySB8OVnEYQVhx5nU1neNNb4dbZpzkoP7lZ0BbX2GzchzZPKnwAncJDAseGo7wzfu+Y
GvyaiB6npwo5z7DI9q0XpDshZ+SrRgaCbUTpOU89oXWimZKt64J7A4mT3QiZZPMNn5f/nvWiOiwD
qLu5SE1iOtSnMMyaQ54G8hhE6iuTES3pCn6N22lGmTvTPy6AVTk56n679+RDh96d8qfy995UTr9l
g/1MVgsGNtV1NyJNlodyIcO2DobyUM+Ge4zCEZtSmLr7uO2e23DAUSB9KiOSEdv6pl8itqgcKKsH
pH4fUzdcBojRF4aaxskL6+6ch4N7XTuLCZJrqhDptR5NCfzVU9uKvRGi8cjYscBUlPk9DEIs/OJi
LLl1x0OAvHZ3rA4xc7NzIZ35Ia6drVM51clGw3EU+gnhzM24m8irO3k5XxhBCMZrBwtjh+U0vFky
7Rkp7R0hw+ZjLrUSGW3tJ3uyjeu5bIqWMUPAzyEg9X/txwJXeARc5kI7vj2iV6+/ZJTvutFZkhaf
lXTAiVYTp0A5xq3pt+aWJ2+wy4V7GAJP91ry8qwQ370ZeUkfSXfyrKCg7yllh3qbZYMyXpmbeemH
oxmRCeExI9yy+ce7BVrDMYqT/jxW3nuTxO7e7i3dFjcLvVtZ5zmTzlskzabdgSyavhCUtae6llSC
qVnBqzfzfd+6/jO8Y0j8cSTLPcgARiipHZxo1jjHkliEXWfjYPawRalrKI848xtnyMKBjYSjdrvr
PfNxVHlh7WOvkGSQBmQhZ49pZEF5s7LSLU7B0o3xO5t/fEBx3+4Ypja7yBgrZOgJNGJoyE50JMbQ
YGOSqX8S+aBeDFy+5Dj4RDBs0sFKdrLpOYEk7R6ZUX1DsmS6S51evTRwps6Lz6QnZHx3WJZ+2Q+J
ni9kQXrwQTF9UvEkWOJOWbvGJYVnMdpspGUa/oYCJNbJArd4LrrPRhIOxPWIGz/HLsHDK3oqcYp9
CVXnEzXL2QX4Y0uD8XPnN4MJtdYP+4vRWos9nNi1wgPisKFVzEYJ+tzEHNwgHvWhoprVHjywB7V4
jdoCcWmUZYoICEPNJhMgz2KqcQxwoy3e1i5cw9zEnWGqePu/7J3HctxY2m1f5cadQwFz4AZ38COR
jibpRUkTBCVK8N6e8/R3IVX6S2J1l5lXRVeroyWKyUzg4DN7rw3XcLQ+eknJU9ccQSlvvNSzQDgR
MVhetoxL2x2mf6azul2y/Jw6kzG/PVKDJl1CvVbNPYWIMwmeTaulS17oa/LU2cDIPLfYlO0KNIdL
0AQ/dfz/QYjydjpE62zT2Js00OaaMvNGmwFKg5nbkGYkMviMzsu6tpZnJdTYfxDks6DAJzmDeHEW
gOSqzOig93/+AlZT8S/zN14B8jnBL8Qz8yrezKfmxDFqZQ7xwSa4hA1l1TNzHX0jMk8GyrSYYjNq
9vjzElwsTaQq9Gd9dIorxtpwy6HTs4ud/vnbgkoGJRBlO8SYVXP080ShssaoTjIRH74Hgi08/dlU
1tSkZyTzkJpUPmOpKI40Ek3/QvL6JucJuizvB1Kn9V9KcAhzb749cTljRVQP0l4SLw6Z0Urc+X3r
lRkfSCJtjSqavLTH3I20o7FugipR4EmYWD6YN8KRU64CPR/i5DCsHXTTIiv8dl7nz9XK4/7HHyJy
D4MxKrM+Ns1v36/JjwnXAm5xqKKpxDQgl7FfRSYrEhttQbtB1kcu/NK3L6Df5H07MKtoE3r5FN3w
fQkt7S9e0VuvOKpMaiCBV1y4lsFj+Ne3ULNbTYFJT5ANE9IUnFUI55yHnhEPSbnnZRPmj/4VwQro
6Yn+opqRSeyNjkcyQPhm7cF4Z//8hVn/6YU5rCIcx2Pe/IeJqMviHqBQmxwaJ6ZChYxQF2PgY8Vz
F6oiq68emqTwxJGEFk6MBalnfjEJc7ofxeSTNLNKHHRd0i3DMqIuNgba2LOePhaK8j1dtRZFtIb1
deusB6UBd7ZGMBSlKRuv8VoyGHz93pTC9ljuR3y5HEKyIecgWt2RU6aW27WOe0nXKLYKt0qeB/i5
6ID+/O0w347F+Zxc0xWOwdxAOP5bcVhiaIi52cXvrcTmDDRrhQTBG9dW5xygcNZqoEaatIfKXPfU
S5nwsmQ6qocF22z1EFvEFW1shesCbzn/kzeL/8bJLOPteTxkmasye+4ypjTjzJr+UMdMwIhkIV1h
G08E0ii5SsNsE3MO0FrJusKjIXg9/7D/TqL/ahIt8Of/dF2EL8PL//l6Vp2eXsqv/+//3nRfaal+
mUB//5Ifwm3DecfFQXCS6a/4h/Ux9dsEGkHZu1VMubogfI9FAxuIH8pR5x0dB/leaLMBZCPs/l05
arzzfZ+DnRMWqgXZi/9EuI0H4teHGCqNdYGEEUYncYEx1psDO+9Hlc+jn95mOYlzPq5wfWmDjiyy
Gz9qhLgTTotNBHpU1YFQIjzVDuYpdTZ5NNXzcmrROzM9IwlylT7kg3WfeAwZl2ebCz/XNw6jg3Uc
nR9iVenz7UDSw2upNzMtpNtXKRwMIyF1wsTMRVdQkwzuTfvaF/G2TNrsoswq45uFHgAUEo+Rz9qq
Z1pg1164uWiJC4q5sQaAYDb5K/uYuNjQIqaaCOoUc3RlOeMYkNtR5oEqms7m6SO0J1fXPntgP1m7
00lUDOhPTjKlxxTNOLMVkR5d1CufZjqTrdAZ6uF+dJL7zvXyBKDaIm+BkkV+2Jhz2W2thp+YNAFF
TkQP8ThEf5JctlG+i6cUk3A8O59TxOZPPUSa7GTjhQ6ZpLs3aaezFpbpkjAjIIlnM6AlQVPkLz6O
dZ15FvzuAf0Nn4T8EMm6gt/tQx2VSxQ/uMKK/KCvJftmycs/YmhNLtW8UI6nqWHvHbGQZV9Z09ZH
M1+B9M5KY+dSC9MQp1bzLLuFPjVuWdl77lReaH3FsoEks2bclJHybrx8dsfAKgSXRKZSE6XOkgAP
zOweP5xTuPLjMMoWvlbHlbUx86lcQr9IljClrtz2Okd9qWXJN7cr0IXEaX7oUzHu8MA6od2mBNXX
iXvXKsGMoqKeDE0S2+5yp+wuZC0wQpatcafZ/rytphLtg3ClFnSd7bzOpFKEC3LrE9tRRe7N99i4
WPpkyLWV1lyJc7Kc/j1mDtzQTOicj//e87Zr69BAkkhARIt8pSioKiUiT7cYXlRBgjeYirzs0XBE
Ob7VgHGL58EsNYQlCOvg3bsb+5jPShmT+4CQImVWTH5d8x6JiQu4ribuTyZr8l93TgG0lsXtQ8eM
exDl2HKQpTRx8lq2rmw4/F08foUnS+1qApPdr56v+tRrXno1rQGFTlTNL+b36MI1xVCi3JDH5Rxx
2Ndm1SEBcvSEaPbCrJk/iMIIBkMOxmY+pybqXenuqjhNb2F6GcTxtFMCbQtMNnd25NF6oxRNSb7K
VopYQyLHdKWg5rehqQnwYwmfZthM5WRs9HPQQ3YOfUCZRwBER0/qXi+qnE9FT1ZEx5giTGK811xx
QiMV3EVQXGhuetJIg5wAtK4JFCybyZAo12AKE579fvCXNr4Qeo8EDOLGHU3+F+2cd9Gfsy88m3Tx
01BbvdoNLYFCu3iU9YeFjD0ReHTpj0p5Zr0XUdNVe/5PBuo4T4bhwEkkH8AQLvXxt3C3ojCdPW55
kqbOw3qrbrpvMyK3M/TESu1ePUy5OTWHOU+MGlWsJFCw0YxLq+/1axVl5p2g5qpWH2pWbrOY08we
URbkss32arG8iwx0SR56s4YDbzFWnAUFkgr5TkCxvajfFkYcoajjs6oJ5cEUb0IiuNOAh0M5HJMi
dPzMvKwdoossj/yRrZauI3aRYM0C6p6y5ClMPudcxNnnrnWzl0wftCdiz6aPvb5M3barheBeE8sU
InWwmEo72nDs4pilC312v3WAxXeX/AGs/Ia2Dh/ZpjaSGZhHg3AhmDBhXCGx0G70IJOFYMQxOsnG
7B3IcrbTxegwp2Y6aG230njA9UP/YlnDnqWumtHD5RoVjwbpRO9ZAj3TAThAQc+Tfh9ewsEhr/DO
sVPoMgMznMFM4DL6jA3ZiDAOhIsXxRuQZ8t9FfXiVJQmWu+ywwtwDWCjvqYdd7K919bWh3ZYPrDZ
YEA3OCnlp5FGBRXVpA/ooKaM4hGi8pp2avT3qEayjnS6eYnvjAUxFMM1UUglD6XlDi4jTwG2L7pg
mDZ7J3A4xu7feupveXHo1qkw/vtm/yZJf7XBff+C36opT39n02DqPExce92+U5v9vs/3IJXTyeGw
ogv9meVLyUSFQ1NquA6/sLT/332+926NIKGEpzLiy7Gz/AMfjvF2nQ/4yvCAw7qIByjv3voa4LXE
PFNsQACL3kShman8PoEeeGELMW0saffPFFlq13TMkI15iS68AiWsz+36ZFcs2oWT9c86otvnGDHP
X9g83k5MeHWmzo/PCzQBnr1tLP3R6yIIeuKYTaJ+sRNBegiJjleVvVKNWjDWe7/Rp03f1Ln4iz6b
ecivhSajEupLGiXiZ0AQn/UWPw8mYGUjNRjT9siN9aEkSZC9ypj617nf1U7oNLZ7hZu1cnibHPdy
EX76ZLBv/7SoSr26Y89ouiH97iIuwL/nzljsh6Ib8y1CQOfORRcrNwujzyNRWMOV0VjNjspNYIWA
oIFRHwoiqubyJjEl+nMXzSr2PaZtsKWQto+jInbBQ5fYBhY+CvpIx/wI7hHUJCvMgDaSAxzZLWdq
Md4nVV8xmRYVS8rB8ij0kL8mG5RSLEtSsdIrOg3Phfs4LqojolK1tHGu01SnjlIH1d86wetqazpI
2ttNTgAIBRa1FD7keWohW3HKknJOUq+5yA9VtuqjNUDDV/acRXg65PBMvbsmw+igXAIYl8tEvpjH
fNPK5Q4EjbNffDNlcWHCsgSL3d6vY/M7ZNKctlnc6h+LmviqmsO2Cz3WT9t5JNFkN2GmIoGCW+l+
gTG6AENsHSwlbK4eDcq1bTW483gkrLyIQ8Qow/2Sjl6yMay5jyCwGvqONWDkBcBekDXwlGCfthWx
si6B1/KcjOPUnAkvZczLapNHSkNy7cGeTFMLCkHhNdv2BzeT3jaxneo2r7plhyLGpCKD8h+IboBW
TFajsYOLS/7vMNvoP0xtz1oZCXxiTrtcT+GPTFPIneofse6V9worBi6DeswuVObBC7MHl5BQVG2q
1NXWL5qBfMSuprhgpKdAVZlMQ1kILsNmaiuM8kNmXEaat1xQYSKMz9ap7JzMTVC4dvJVzPpEUDTw
WULgQc4wOcA7gMyXMGg7rcqVOdumAa5W2woct3OykHvvAVE9bgGSvEeEtJBInPnB6Mp0gRLmVjQw
ERKTeJMtEVxkjySb1ypj0EEwTpfB4qrnV9bLMK8mskgnIhexmurXfet36QswX3hBfsVM4YZqPbpQ
o7KOhW5l04fVz+NfSdusXxRCy3ET+SOtgGu02vClisYMCJ9PkbVxhlqk22HsKm1LoSiv8acQl9fr
7mBsx0lT6YO0aikPQEJQ7GrRyk2rq4483m7EsfIJQQWWXJi3dsVszSZyMp5z/aBYrPEoGKqrLgHX
F7YsBV8IQCOjjhkWl/pCyCA6hvzecDk0Y3KBDGIY0uomU6N7MkeCZYm78flu3fqzySSyH7pIGTM7
rT5aZ02ifx5SJyNqJp149UsMY528M3VI6xnmAyGqH+eJRKLAt6lgwmTmRqZjGVc0jb6Mn/WsG/Vr
GAm2fvIj9BO4aJr6hSW5b4eUSgrbB0e5z0/OpmztFOHLcI4Ckpiwc5nqfQGsgxzJfLZU3gMWNCMC
PnkSGPLFJnpOby68KdX5JccvI7iOpBELynJDzdOHKl6KFDAbZOCXUQ4ll06ngMB0yjm1vcErZuZf
a7t5ZAYekFTT7FvPLG7Q1OCHIV/TxARlZAtrp5i5al1zY6WRV9yQVtmWG/Ra4IzIR5yOYE0HE2XO
kJRXJaayjCNRzVy7ZYPaDAvodBItOT+0znY0hlXfuZ/Yr8ySNKMu9zcFjb0Br9uROjG10uuCpHXn
j7Wh1afEkT5x1g6YsYgRyDFm4bXN577+3BvDk7XMznFie2jv8YLMd6NTADbSchFNe49VOqxhAgJZ
rtaE3wg7i3bGqOfXiTWBNCGDu7pKipn9M2trBynQaH+x8UsxBLSMZFfP+TYza9JrCsTZVwJX1iWB
Y8nV6CpSrYaWxc7Seo0NPbujsNeK4eizciN2qI+0x5znDNg/y5eh8FsEwUjIXRO3Ww/IGKEbvbAc
3Eruq9mSnH6TQyo55zhRFLEtdkvEgd+XVv/8b+H4dwpHVgnGnxaOD/X4XyShv33pD0mo987mr3IR
FSNoBhj7ewVpvWMUZiNbEitFYf2dHxwF8LLMu8l6IKlBmJSYvxeQ5jtdeLrt4po1KKuwhv6DApIU
gTdVEoWqbusM9gAmA47Q34zjxtTkeZelNfEJLoeZD1d/3lRVilUC9MDOqUwBTDDOvDsfvii3BuDc
0+wsdTgRN+eFHd4LVIap9ez0ibyFhlk9TL0TfcLMjaeF3UvDzljZh6ZblynEDdiXZJ3XoZtXBEzO
C7OXcCAEhSMUsIR1xWgrOeVGTXQ9LiOLuKu2IDjST7k7OimJe8zpCJdQTVn1rS/XOGbXl2KXa724
IWQdA3MSiY1WL5O21VvNuqCZ5nHIR1CRk2MlJvC9pYdEUkvnGiYt8ViDiYBuJKn8Yib1+ugv7JS3
S9FOH3X6Mz/EzDF85bsY1FCiorKLRnK3eT62kL9cp5Df9X48NB1QfzzDyJfRZvuQQktxt4gAym8p
H/gBDxJ22MpGYGaoNHpVEMkIGkSG8NwottEbkmf6Z0He3XM16/m9n+s4RbHq3swjjNuGovBm6LtJ
Xi7tEtuhYJ3L+C5xPeQ6ZWFEDEDaWod323h3S87rap2GNzIzoqhch03REohsce9AkjafjNjzbqOC
rUpA0agbYeSj82OcNtc71ytBdSr3uECqvcmN1r+1yURJrjLyHg89799u4pF4VThpu1dJsq7TffLB
zlan1K7qB7Qs3p2GqOeUUSvgmfNskjjQ5ZVRh3yMiv+IZMG60Aq0eBTS9U3etawulIDU6LiZwTRg
nom2xTYWpvQY/YF4oYGf2bB2kCnbzyTjtB87jsbnRodUtvFVazvradi/GlpJzhqwJaw9s/TvFmZf
gZTCfzC7NL5bUDDHW3/pNH9jw5s3o6VnjUH3j2CCUvnFQxiDV83wr5rGcuPdKHVGRUtWpQfgkIM6
YnY15T6NRo14dG2aUTq6JQIxNvNoMUhYHI6JndsUn3Mz3lMU2vlVYi2ohTwNhqfROc5TZUhxnXzf
izPyZEnufd+YO+f1eQwNn1269ttm/bxml+eVO+6YtQ9YF/Fg6VnK5+cFPYvSdVvvuZ63i7vzFh9L
nzZcDOf1fnFe9ZtNz5Lf5p8uqFY1gBvF2oOcu55pagTYrZwu01U9kCAjiFY9QXGWFkD3WXUG5nfV
QVzqbhW6qxrBtqh9U4VgQV+1CtGqWtBX/cJg6cWxVfH8Ph3MNNT8pL6mtWm3PdKHbNVApIT18RzN
TFCqOdfQe8eJYufA7a09Ak6N9nXXIagYWS81NE/oLNJVcUFSYgyPHY/6q13xGqBJpcgzptEcQzks
y6WGp/dYj7odSr+6r5V3NWR9RBdq9Bvfq5eLOc3GrUuO0lYMzFSp0vYM47RXW3HSFBEpiREwYc/I
9jJl4iUJoDoh5nxAREzWRjyvtbn93ug6SpKReb+SY32Db+3egJUcTJ3iY+tR1AA6XEW2+Bw9Vpg7
FvabPrOrS71q+q+ZdE+6MqOPbZeD18T391Dh2bnJprrfwJOn8yj66RYgI9C9dUU5p4ncC0ed0tYD
Ui/0YZMkfbGTRo5CT+OrjFzmWGa7ukGYoz6S4G1vEIjdqKa7BqobUVGCzwOq3e3biPVK5mj6dddF
843TFx5zsvozpUe7ZzbtbdNIRjvWn9mmiux+UxuE3Ki6ZnMwTdpFhob+UhYo0UY3/rRWf2FssFbI
XeRX5J3CYh3q7pmojPmgl/HwRPjkwIUxa/u4W76NnQMxGI3Xduhm43EC0PXJym3yw84MMMroEgCB
Z+rH0aGwOlilsC8rZO47bJ8UvU2MrLPBp3XhRWwzF01z78Ym8fep4tGUlXhzB1uUXBWOck+yb4lM
ZNEPkNNr0+GezU703m8x6lp2GW2Z6ifEqnjt56oGPRyoJc0/NKiXqP+mLohS09uVqFD3tZowJ5BE
9ux3sYZZAk9EPVfqVDEJvpTtjGMIu++dxW9c9+C6b/o1iZHNrL4hUG7cxT3ldEdgwxKAZM2NC3vJ
4is/Lz3gmBXb/2JIR3eTm1a9ulBTFYqZQYGNQXIzmYZ1ssg7CZiVLozg2QLsXbqkvdu4ZFZ3MV1U
E7N+0kbt/dDo/TNXXNWG6Tg3l7rV3TtQIO8WNegnKyNkzSNJhLkGl4GYdzoU9s1iJOJgIvTC/yc0
xtBu9tXqRfkVdRvbXiSu6HqHaLZ5Djqo0l2e2JtMtuRlMlN9qklyvE/83HslvjLewrUE0RKZnzR/
/JamVfyBaRnREZKUtl7YT5WwNbR0fb4xrRz/toGCSMk2eoo7sV/AuwKZ/uKZrb1XtYDiHilmWqn8
ICfph0NRm6Hrdi9tST7HZOnHPFmYzhhm8zWO3AnhvIaJEB3TYcL0V29MJeH0OpFxCwmj2+b9nN9V
hnMi1b26KhnbbMvBxO1vskQbNnPSzc22N0p1iuUQbWEtvY5Z8ijrkFKK+iJVZDTM1oQiDP13iLmT
pCt/PVxzu12LmdbbDILCf+Ept02qKH0x8/xRM516NV3rn4A6sV1PPfcrvu97cFHfiM0hJz1FFKe5
Hyv0t2Fr4wFect298CXwxgaoX+BapM/Eqtkpf7wgAzbi7GyaLaQopv/xZB2yRZZHa2qOtsRFkDnG
UzrL/Krgmgco7Bg7o+v9vZkNTHz0bA+4uLmoh+VBqKTfGbDygwLsAJgG9YqQVGwGa6wfWBDhIO0V
73VUWjIkgm7aYo4fkNL25W4ZMfB2mvclis0PqFijj3prWzfMQlFkefZdawxcV/aX0iwNtp4jTNYk
bS4bGK+rr/GrW84b6gIsN2zHwpGXhNumnw9eE2VBL+DHpriRg8lzkj0Vi3uPkTYO6cZACFM93piV
G912UX3R8aHXRYfkWz8lsgeU6zZcooYXsx5bzJDsZuNkNdkTDAvnPlqScd/MwC8xy1agRBOQCVmP
HXRCKwoMNhA80q+0tndCOMLvByTua7HZGtUNXSyJCbN/SZf+jSXaoTVL0A+afhPN/Y0qVoz9wLaq
d4OsKT91BRG4ql8e5368bYzhZtCqa6o19DOOktz3qFglLFJqwDHekGrFxgqsKiMl1kOw4V1hXzGW
866csiUGle7alIwqAuSW6tYEFXD5b+P3txo/S187sf++MXj8WlVf+/7r159FGNb3r/qxNjDe4f9D
JMiY3/294fN1MtFti50AmwNrjQ35veNz3iFyIo1PmDrdIo3i7x2feOevKwYfrN6KLmXI/w86PiRd
bzo+zwSCZPgCLxpiDkhT/P7PFkDZ4Wye7eqokbNtNPuJCjCb4ELPs0n+NXVWsAqR5qth1cqWfStD
Y9XPupyqh7YUaRDZUV9uaVsJh2jR3HJA5Vtn1eHGsUPq2Nyx+oud5UOJAbwNpWVbL/6q4jVXPe/o
25T1q8bXjdzXsWpQ/VoYURhaxiF0ihZONepglK8jliNdp72zEA8rf+l3NlXppqg8xMUZu1iB0QJX
YF8exyVGJJ86u7Fnuq4Pk76ZsjS+MVbNciXT4tFkioN5oxeImtnN1B8SY2z3JiPFCxKe1mLNdJzP
7KYRRS9ngXTJ4hLktByecjToZL0r/X6cOzOsCvduGg3/Ws+sNvRKooPwXSPR5Sl2UO4IvTjlrI0y
vdtjQqoOcwr5YtVx103tHjuG2DtHI5pKcerfVK5/EVd5aNdLfkvaFocPVrPAkLO3ZfVQB2OOdrxj
SbOdW6FvdCXElZ8t/XHslXaINEWrlCfaRdFXzTY3W9btbF9XFHh9jU8J0XrrachO5nl8NKBVbMnN
cK/iqLT3Atvbzmwtm7+1V3fNZPbXbqrxSBnNR2fVyku67W0/s5KI3Ly/UznnMVHOxc4BpRVqDYp7
sWrvR44vjGqf9DLt92xDssNIOsAem1f0fvLSekd8tvOKziGX1/RO2XVsI5EpzrL/ZcEB4AHUDlNG
Cgeezt0OAgdxd4gVSRux0f6tPgJ8A/5nr6vmbyTY+TtFtLxHqY5ckvsG4ZCc++JKZs1TMhrZE4oG
+aKxHmBlrGz9WquJq/M0Hok1ciBsFj7S/YacsMAxcUCQ5+tdRKsrwlr9EVixn5KzZUKzRAsivc7v
lrol6xZ9y40Jy/dStCnVDAGyrHZTOk73MGrAKHddv6ps0f9j1lCrb4MybpedrRxqBY8nq7/DPFs9
2tX1gXOFGlv5WEEYtujVpjDJOrRmNZnQC3CSUYWkwWKq8pbp7AGNaB4kY9Ved475Up9BzO0ZytyA
Z3bSzr3HFbpnc2Box/47x7kYKPjcYPLnyv8CnqcF+RxBf1bMG2770fTKL/4ZDy0ARVfeMD7ZzWLd
diyoqIsK9koi6rOt340o44vKv5hrYiACP+rR1DeJ0+At08oMXoOc4kMj3Lx7MkkkyJfQ1nMUJSFg
zRpKUG97vYYKKjP1Gw5K3vdyatQucjJGJ1tSDPWPCkTQsNFx0ZxafCbus86crMXga0vjrlr8MXrN
orbH8qH8gBMuSBB9gP2kSOHKtQGa++U4Bz6ArRzi1wpK0Ac/+wxfX2oHr5qY9Nt1MWsBkY9jHn5H
U62VgLieiYIEEQQ1LWd5y5VCCmF8NJJBn4KqRVjOLkq8MmwY8j1DA/QarmRvEk5aCkl9YMzibys7
51sqkDRokRZUpRYiMTzJfYFcVJ8xNXL2MawdcmQpAQsBNBbEjmVWMKV+Vd8AlTFrByIdyO3hEj+S
rYc1gaow6BYXs2hSOTfLmhxhr0ZOneACvCk27/HGwWL3CIHRJKQJn0iQ1x0+DVX68x4+qHNd+aI9
5qnPfb/YUWjnhRg25kiOMu7sZE+Wnbevky6/rcziSsVoDIPOsOurJVkzHaHhMeMeBGkS5L+uOowU
N8ZYjUhCWF5eeNhxbK0ig4numPMrdtJth3FF24EW1R+Inci2jtkrg/ANVNmOVlUnZuj1vUeMwmlw
mLYxcTcpwC3/UiI5D4q2M0I8uPF+6GgTAqXGQg/KXskvrWw/84zqTitjED7DKmxht+EFpt7qD6QH
RTuwbt6TDT3rTiCu4OFQFaSruf1NPXiwTDSpX0xwTL4obPy3MjLC3nXiI0dndMDyon/IXfIDACt5
HyfSgGrYWGZzyOx2uXSVq67hAHgBjqM8bGaZUc1bNHPko5zgou2o7USwDLrKqJ4T9IrZZIltRg1/
i8gmA2/m7/uiap6gQA9H6UwjWupK7QnmtlG+GQy+VI+SaS7q5AaTMEnb3WJ6lzj9GhyiFguhDn/k
zPdH2ivswDSYRMZmlNyippk3k0ryrcj8eO/wA+waTK3YcWaRcDQq8cHCYMez0PabF0ixw7XhKuMr
85N6Zw/IdnKCPw9O31rP2sL3M/06Dhu8ojvAbQ1UqqE45frcvh+5D69p67tb/JH+FbidakP7kF3R
iWHOBtV/IsMCk5RZOIdCTZ+IpUqvpEiS54jxzCkiM4a/pHeoBEq1BpGRV1mXln7qF/RWm5Q7/9bO
3GUPbrp78dyKTFQnDy1a2Luux8sViNJzjiVtFxq+RF0aWV5/nlneBs1S6tuciMxjosfPEXJKGgq6
cMC38KuIS98y+e48FtlQb6pI34oubq7tNNXZzPTwqnj6A8ohCTQUNMVZsLA/AtmL0xMhHtNCgSHU
15id9hPJFpsWrueGEYJMgyo2CW8tPdN1MBY4RszfRn4QZl5u6m4aQgJy7RdzoZZfcESz+tUzToKO
3VbJXcXszH2wcGwBzYEzl8bJY+/IJr37t77/W/U95FyK6/9e3z8NL8kvpf33L/ihrz7Tr3VE1PqP
/csPRZBhiHc6XBwfJeFZYI2A/4e+mq0NYTsG/Jzf6/oVlq3rFoseqDprxvM/qevPUp+f4DyAcnya
EAsdkgW31nkLzanpJJNasjH38farfOPhx5I79vs80EphHfNlWU3ZMV7Z3haMyKVktEAFcyvbqjt0
LYpBOtnllokmfvIU10kipX1bcudTQtXFwjY3D6xZHwmQKkuHtKh7zZX4BSnpJ+C9Twlho2VzGEt2
lQQys6cO9CLSbvxSIPatu4y5A4WPUXvfrMbFl3CYWY8t0zF2R9Rzx8hdtAxgpddOD83Em/ygVdQZ
20ZA/9jG2dxxh7sIzNEJU27qfFsOvUZ3uE1M7nlMHRJXXSkgXgDZPoECSfatayprM1dO9FiVJqJN
FJ0Hfqg6JJpM+zwnZfroZaLD1FYmGTUems+la4+Kln6X1NH44hs6IXI9/vYgzTsApJT9G7+emKwC
51QMDi4yZka2CyQin9k3z0gz2kuY3WVlbLLKW05JnE/acZnr1dqea7F8gNU/Kj0ElZExGGblY7p7
E2H2uJ8ivR7aAxityFjPoXxq8+XeKfS0u24QINP9BGRSmeV0/PdE+DsnAhfSn256/6d46fOXn4+E
71/x40QwfeR+Jh40qh5cFWtD/V0jiAfjnaDP1n1iP/zVXvG/B4ILDh+F2nnxalusen/v921+y9ax
91iQ9AUuiX/U768KxZ9Mg+vLMejnCFcgElfoDBJ+bffR2csSwpj4muiqyb4BSIlgLNLra+0QDgOq
o/dZQfTjrpcWdt2+l7b9ZYmKproy8H/ho2400qqDnCaS0TiAz5X95hU84586HbG93HSicRS+Vqx/
kEvxfrer+LAYpbLY2IyglpG8NW6HiKrR5ifoXuAgiowAdi8UBP8yOFVsa7w9YwBYf8GSZrbfbYp5
DZ/eVVPWN+mG4KYIPMdPJ/t/8HSuK/1f3h2foAyoTOQVOJwbqBR/fXfqHkvl0Cv7a9PPk8/dFrsJ
I85OWFZ+7cdk5mkMxZFTfWsdkIWPAtsNL81Mxo6fpzLw4j79+Us6G2B+P8hx5TA0pwEXpBtg1sH0
9etLYh22lDDA41fySez8uhFpnF8oAd6WzkFzUiLGSzdl073Ofb2ROffS0NtlOirKF1CdkpWyO7Ku
uyh06OnJVkWxGkNVLHwU22FQiXqfdE6kLVtgmK1zUrjO+WOlL3qKTx2OgOv/hRrzV3KcwFK0XoMM
m3jY+Q73wq8/U5TkS6rlRfVVnzXpPNjk2tX3Jc47dfvn7x531M+fJ98I1efKbrMNjzfPeyNnkEXZ
+gow0St+R9Yl26aIcoHZR+cOXyw3EzdogWyLZbBjF9qwaYzYne5zNtbZtz9/JTzY376SVb/BKM+j
kf0DTM7AjqD7S+a8Tr3XOSe7kdkwBF2pAeW6AOyjbOefvsm2RSLAOmBEbsK78OZn14xYc+vCtb4U
I+HlMsQJy4iPmTm0gvkvvtd6Ef50kfI+oxgRBpM3Tj6m+G8+UFQgRU5mlPm6GDEOm68mD8MkOUYN
kk+oMMz+aRMlXqi/Qsf/4UrCM4ail/+YHh3W25QZzAZ952d5/2XR0RerIHMLb4K9oaW8u3/+Cb5R
V69XLXEJaIAd2+SKQgX+61Wb1bWRz5NZvvYoURjvgDqvngpz4IzCORVHcXOz+CrSy6s6pcHQt/aU
5Op91ruoBgIot9GCowiRpX+XZQ5xKZtkWlvrfIo7Tx7GWQgQg3/+ov/wwaB5trHreXw6uvGHMhCg
m4fkTa++VHLoeBVIHPLs22RIzf5QAyWprTAqp3r4S1/zHz8Yn0/FdPDJYpE33h5bkYaPD7+b9lnZ
mmECSXbtFGczcP+kY/mJdaQvDtwmufsikwKCYdh2XefjitIWc3pMSzV3qxOK3u4zs+KVPlA5prwE
FoNTNfyLd8l7e3vyAl1aMm4TwmqYvL/5bG10GfiIuvoz3itMOkHmyUHdsrLtuKgUcg857X0ij52T
ZkUpd1MPvpSHQeVIyWHpY4KRX7gAy+yb069MSR5/wGIh0xsAUr59P4CxBnG62MsYOx96NJeEwEwl
ybIE1hdDz6dTdcw9hrBi5MgnklBickRj5aeSx5m2FN5dlDTD8hE6CSVE0C4q4r0wwc1yyOsqddps
ZwrwuHMA5pSouf/P3pk018mke/6r3Og9FUACCYvenPnoaLYk29oQHpkhGRP49P1L29W3rLfLb1Sv
78oh6+gASQ7P8B9U4OXVt0ATTzsAy+N+vWf5R/6HGnry+tKtTc49OiqPKPQ51G4+oN2l8no/okK7
vqyDkNPT1LXB9Njn/I+GiZazg2zSNGh4Z24KUKHdVCLNimWbCwWgCqQl30GKADw6TQ4LBaraR/QF
rEa7CQjs+Qh2On0VUN+Y0+Fh0NI06Jd2ztmCexwCkwVKU8SlrUxHfBzYmLkagbIKbgXSZ+3HNszQ
eou9qc1uSrSil6OmLVFf0tZaxqtxHiHDbecQA6oFeevMWS4hGrYclnY8mDOzDWOqticVtkPvbhuv
VkVx+vUAPr1QHhVkemRg0nZsMaC+XTP9+jkxm1hZQeGs9m0f47m7hw29VDm8hSLv/vkdrWpxRwBi
hZ3clikH12cj0tUAvEaa1lx6VhSXroAv80xoDJhRpUSsGTlDgOQDWg9pcYVZ1wikwUmR9QGfYEmi
tkXhOgLcepEtj8dGb6ZLEw2cWqJoaiYN1fW8ekRbqZHykAv6UMFGUWZlTSGBFzFrErcreWcCpgh/
RbEmlochGYoQDJaHtvyXtoLMpGA/Tbmx5WNjdOJ3YYk9VL6jqxGW+hwH9QQdFgCuid1yZxb8DlWT
0jxEHqHpf9Pi31Ene7RZzHuX7sQusO9WMfEwjRub+duJ1uOnJBStmK6ifoKFsmvgX7IUxhweMji9
BJl94jC3GbilhafnP/WIHnUOPDal6LcNpGQJLiHZER31FROr0xRARsDpuspCE7fFEyL6t70XMv+p
g/PDNhKL5LZAsZkxbqeKEaREj1A/gqvSzLmSEBAdiWH2GJ/EDswUNaH19KRCVHmeWgcKzQBqaWBv
IHRciTI8nbHOl25ZzeaRAiH5lLeiM0vai8yXwrulvgfQl7ix3gzKEdOTzAqXUcDQXvWoas12n1c3
U4kHjti3gMy5v5VYzMxqkWXdgK9EtDr+aQ5LfLl3uf0UoQMQTTvIRtLsTGlJMekQ2NbBRxlOicNQ
oN9pg2gzitsJagrrvb8sM9M/7EPkPPZRhaFfTaCgm+A28DGZBEttG8b0FqiIyO4aID2A24nVzRuu
s4mOzAH9055sNuttY2RFroxt/HYu+97SlyLuEb+gKdXzblqPxo//qe6dmoep43xJmncRVByvvm36
JjJyXijx6XLPRsx2sx+wG1zabaLGJoo2I3E7JBMkc4b0FIt89JME5Uq22eDLSgmZSjSb7WIw8Tm1
DQqgXYpQWXJdgENxJGk8dUEmT5abLUUOegHQWiyxmZfA7nvmUCwyiDKXBhY3v2tdegEw9nzBVglk
iFHaVQXvo97MtuWM7W2vA5ctN69bUIj7GpUYzoJmqTTfFbW22QVHBp+Za2cqHibACUrzSVKYlt8N
8KHYlwob2vJDhEspEynF65btSXlzwPiBPmR3mBhF1oLjDj0TaoLruDQoSq3t4l/CJWGmh2WPkP2F
DtXIpT0HDUt1YLvkOJoWJTnlq9hXrLzQK80hOwxjy3Scgek0Fodyt7A/LGFqeXczAhmIj7BFofin
2gGXlX3YdE0HzMg1IZZt6WL5UoUo3t38ykPY9c3g6KZFFfRYdOyq0T5Jc8ShzmO+rh2IN2R9dm2s
6xhG+xi374wy03LJGg7/ZT8tGieyg8w17IVDU6WShZ1TEWHyhBheMoK/pnWVafO7xYOI627XbDaB
c9AY7vO2R0dlNZrq9Lr3QnYRBqNEoonN+rTQWRm2XhjTpt5oDA7UrZux7e56VHoGmqyrswSvVq3x
zraruXwCix/R5uzQf2+vAogtxSFoplF9oS7UWpcOyw/vJuZO4SfXKmtfM/bc9VBAmym/enm5dvTd
IJJ/0qtT6rs1smhWYKg+NBclfK1q4J115Ktt6wmvh5Ou4QnfIm8S01wIKrtyrkXJsbqPwwGyWMs7
AoeF+UG75pzCE0QupOiLyYT0a6cX1LDxCXCjjeqsZfiILePovQvKYfHg77S03izU/NwFyXWMHzCw
Zp7GyXAeUk6ycisRm17XXZThS4HOggsB4zKzOMYN5ik32rYdEL6RTPCNJ0Bbn5LcTRsOPgwkr3pw
KiGSdoPrbBfok81CuW/oo53VuBKXOkSCoN2g6XWSrhh2IJL1eonh39pHR6Pke8AB3KnRfpflmm3T
WPjWvSqaynuGdQcl/GhTHVTtPmrseX6ah1kMNxZa+9Yjjb4eFE7NrN74YGg7GihTgm16OUBxUsdw
9pN1hlsiVbCjNlcWxzgbUEQFQBZWKDoUjXDTrYTZgrSDU+Vh/TWl6jnNO2DbS/sNaogYx+0oadTT
iOr9wT4Ocd36lP0L24fkFldWEdzSG7OK4jgFirA2/ZbSFR7AhTeIfbnNDsPfZQ32gRgEXczO5WFy
xIB/RN/2ghe080insUFcRzeZOVAVqEHlP+vFV8rbqVh3MSqwWKwRoyD54hONxXRc1KEDFMz8hxOP
NvKxE7CuOVaAG5vF3YYmfOw4wFkOqReYHa6Cf8BWkmFOQ08sX0qd0HQUvdLhBVKURUgKqGLi6PHT
KueUGWo/cdfjgmrtEB9GvzFxStAXJnMAlW0MkxbKuWV0RE8yCz4gcFBzK46yJE2txBqoNaix9dkm
oa4Q2YeFxSgdoTkQBWNZYaLoaKE67V/yEP1MDclNx5ozvILNv5+cOljFKfJwpupOtUvGb51h/Ns8
KHFJSL3J96vObIhV6XJGI+7kEZqACBgYIFVLc3KGNGu50y5JJdeGgSMbGPYeUkfltkHvgi+zkUVg
LfU43nP/fZSbfbLwJGIiWzd3Iu6ojlXvdJ+iLjLxahTjqvTiQk4LPmvd1g1ybLmsr5MmnzgWB6VM
LFUraUIWbLDNGA1NHQzO9xG3ySLaoTs3jahTOTV1g41U8czYRnbnM/zs4VAz99DfKPcEVJs5pX6d
YBhMMY7IopmKRRBpc/eOiC0GUkHgihpgyridfC9HLJ21QZGbOxh7C7nI0z9HYm1ZQviEiJWIVNaw
Fp+aCvcFb1fAsAvpvlmlmYo03ZhufjXH/oeyc7iZn6+RA9NxXkj/xuEpbGMa2weBVArvaOyhjnTg
KFHOTe9Xndtx9HEqYLUXJ/DpSaXPHuHo9ESp3ESxqGeY4lPX4XKQnvEMMkGFDbSOEFy7yEIMmzBo
mSwV9TpnxhnD7iTA/4K2OJrZsYnmJ2QNOv9kI6s8hffrkLpNdh3E0uZ+lhV2XL8XAjG5FtQvQeYT
PjFmibQV3NLbtc5bPhDDSiZQQzmX8LB1zAQTMYRh99i6EhlZYw5jTtd0mhIOzbHRBKpbIRRRYCA6
E28OgZmPcZnnRNY2I5B/j1dZ8wP/bz5NVNKt9+hxS45LJ+W+XEDb0oSGUIoTE8wDRuRmfi6PYvB5
L+WoG15qB+pqqK7FLKbkdQp1khl9b5Q7WNUtc6EEbUFMgM5Z55m5W9ZuVN+g8JnQY0zKPnRwIh+q
ShDU6mbh3WL4U3Gteu14BFtNmSlWABPLd9HUkPIlEse/T1M3ZqLa9MWoBjaXRXvi2tPOUKA+4bvM
s8p2TRKYK5+MzXZm80J6LyK8JPHkPQ+Lvy4XgWTYckEhdZmn4+yKtvg0pQ6uLtv4Z+TTJ/ZErNE3
IU4xx2yOCgKDXxlxuNbwaQ9zktDl2ddJK/gpIWfp9otlWfMXENbtem9bAMS2IlUp6ciUdkkPwiNQ
YnwKVhQnLJyO4VLco4Rokm4MNU0U1s2OSfJl1JlAPlGwop/iPk54a0ZPgnB9DhECAUg/+TUxSuQ3
6wujbnbc1WnJec+tVAgRmvyB6RT4XJ7SHvBkvlaxJwcnhS7yAHVZzkz9kxM6KalKERJH/Vx69VSa
0Kq0qghukrHh6VGfnKbeTIxam/qRFYvFTElph7q+s72ZThsDAn8WZGhkDQwkVHKzxMmW6V0HQeEZ
uQmdo6WZ1vP4EMxy7c8hGrvlKexdcgoONssjPhDzMLF1BmXR8DWRN4BOPeZtbSJRt3bZxemY/cga
0cguWKUt5Ak2KQL+ERMxKlduuY+SyWSBPxOLMl7NTTfrrJcEIftgAQQzhMiMX3lTmDPRSZJsZr9O
65pXmjmjufWxnjkJ9/S94mHYAzfwihupKI7wwXVhRi1ISTPXBl6jlW7nAjZ5DXYEJDKdgVTUxSfR
zCZDh49jdg5QgibQhRFuZuWfq0b/j5oRBg2IaNLQQQ7ibYEVQBkUeOhRn+d4MHnmlFqIiu8s8FQl
wkggIXilf77k26oaZSpcQXysyz1jB/u2zoruTh3aQzB89gNtujc/p0YJno+j6z+9FP1pYlyjJEHx
3H6DC3VhT68T1YnPmReb/akJPAE6e2azZu/687XeyDZ66GbgQesIupoAj/7aleptpy91WYjPs6jQ
6b+MaeUyE+E5pCzDtKvA0wHWb9g0RmgCPUWUqWzDcqvg/YDZB7pqqnCkvGbv+bkz/+p91B3myYRI
gKM5E2TQan768+3/5a1A40FKiMavIB0Hsft7YXhGxwiRLel/wntt5j44oExayOFKCvXnS/1lzgkK
wwB/AzpBCHy8rXcTRmVuTQD1KUpDMS6neAlz/eKs0iwR6FLgSv7m4d62UBxeDBBlRDvoJuBG8mYe
dG0vwoT6/Sfa7maPGmYW2/2YsbM/Jm5kzqw4It4nmFj4+VuJlW53x25X+T8b0v/WtvXtMNM1BThE
kZY2qe/gBfT7MGs0z1FwTMQrNQlSxyVNqVKF4GXZAf+zUXZhqfG0AvE7SQfpbfG6IDAMBcyAV4gi
srgZVGlS8wzUHId86pqo8c8X/F3LkaYJqpaUnWnyYslM0PRmBsHcX9lMlu61w7eVGdRh9MY2x6a4
8F7jri1nZ5NmCG5FW1n4KSfjn2/gh4Xsv3ZwCLUA39oCnDqMQF+4vw8uWWJaOkrWr22KgXm9p5e1
FnuqHmmEoNSPsGXqUhMaB8hy89J/FcUtIGKkF1WAlmZ61j8Hp4LVxhhR+l9YxQ1QFbKFtQxrjoS+
0E3Y70IxWCFueU4xsFtL7ZvDEtV2RAV2aWwbXCHeOKb+OsiR4pGju1kDUiso0cGYLzJ3OGe0lkMk
rQrLxFb91Juwy+qQnKeMnLXmOA9URmwje2GOeIVbErclfxboe0J7ds2icE3QlIfDj4jPRQlAbeMc
9CpVmz7RjD/mux2VSXeaJ1NkqQvKsn8e/rfLmn3PBaoD7ge03l+n9khmAVNkXT42aYsH5ClRsKqa
XbQOJgL4VbL+8yXNavnthbPVRj96NCFYAGkQB/+K+6dRtgxtH+qPUYKlkdijhRMUN34o3QJF797m
DmAcRiNJ1OzEJii08J/mP/98G2+fXMBot9k50UwyfIe3+o910Naad5l+LBrKn1dI/w/Vs1tot7t2
++H2zxd7u4NAzkZpl0pRIEL6lf6bSR4AoslS1fevU6vy9QUsoZkWea5MZPXnS72RZzXfHkqMnfBe
p/MGFOtNRynRs12W9eQ+Y4OAs2RM+XJIDgllVDLdLNecDpjKrhX/SAo2zMvZx8ecZM0Hh6go61KC
IeUx/XulAXRTRwDqT4SdJWQo4PhZFWmTp6asNVumDBAO6G5AZw8DUyYuKrojTxP8Yh7OKnzOoiSx
TKfImWBgklU5Y4Ejn2Wxj5aHurET7+bPg/BmvBkDkJhQYVw6kFBW3o6B7ydDVAXj/IwVojmZ8Ss0
Sw6YJJnzny9l/LL+dT6bd8rmBRMFz3Lq+m/ns24UNVXHi59Cr/lxLRRtgluDljJHE1s9W9DP3nsJ
SIdRqOfaVEl//dRNo6kQYNjH4PoeFHrT0CgVO51b9TEVBavIR2u97lmqAR0sVRX6uIiRhGlf1DHp
cYZYAGnJr8Yf3SLTRLLK3GXtrCF0aKQHm8q88NXPuYr1ozsuf5YmJocK6LCz/NS8ydwhakGgdGLj
b3YDztsmM/rZQmNFMndzeh6ce3FMlUNsFqfSlED+PKTh769PSpDE0rVdAEs+Z6H/9vW1PMEUIiT2
pZyE/JB3te8eXNqjp6AIlUeNP0UE0ZujyxJmZbxTHtwWnAHKlynJDEI+HGuapmj0RdZieBXp0D7H
5K/9fTn3U7pNw8k9ZThSVLTavkzKQ4Yh6PBZ3NLLCe4mHzf4FInHG06kdCVbT6diZ/W5eL/SR56u
4k7nPowLBCd3VA2LF2u1BpKDEs+mbR919x6nUnHwSkvcyKWbdoNa2j098fIForR3hQwjXYLcWMly
iGhaeINTvoKa8C/LnEArRmwCHQShOvnkcj5/UljC+psY6wdKGKB+YU3WNU6jYnzJhIA6HtpIHOws
6nYfMQPDittS3bvAgz5GbWqEijnmB9oEi9rW9Ivm7ayjDL0fr5quyrrZDzjaULBJ8/z9GAYBVXNc
q/Dx7JqnNR8piXmOlVLts7wtyNMHb1jszyiW9q8gtsFbjj4+4HNQXQrZZ3sPqeefJMB/G4H9vlkz
IWgrs5n5hAqeS6DwZk9rKP/I1jd2MdKe7zH2rSF6lc0AvrOzg+e/mX6/LeifF5MA5cwxTwz3NiKJ
V4/Qrovqr4EtKzBCs/3k1NRXN1VV3EweEpXbOWmqB1qEsvibeOwvM//HY4LVoWXDJv4WBzb6fYQi
RVd9hShO4ipKhTx4JRyAb39+yB/f9N/H8I+n9FwX4AHSfRzIb5PI2cVkfAIr8xWJTtaMcDkuUEat
IBvMaSkfa7eKHzMUgaCtlH6kdmJSWXkEXxrs5nIA9gVYL7jrgi66qq1WPnPe9sRJYzkA9CV4cYe6
Uht3cLwHe0IjpRpFeF1Tnn2Y3MV9HxkiPrYjDqp0+JrdiSpiHluyCqjeFPTiHI3Ch91Fy9e8SQZa
CWN3cBLf/mTPg9iuvL+/iYXegPAYEhMGEAYxLoIz+m1I4Fiyn71wWb96oxn8NBPpUTR5eZrX+VPt
ROVHYUXzbsRMrNy0GK2evBppr92f34xvJvNvb0YasKbBgzgAxwL5JkBCQ66ifZDKr8lI44ByWlds
5tBH/wU+wDrsJq+aT7Ia0JrILFXR7WkqCNxzdDOpYBqQZUusuxVJrZNYFwpnXRy9VkiO4S1UWDfZ
UsvrRaDfJCrxRA20vMMdsCRipTG2bNdhpu2SN9jpShXJR8LGqTloL/u+BHl2KyS8oYJK8SlLGnVX
+UNpeAT9+Hkp0/HZRo79wapDDohgdvRBuINGRxmtkycNtzFHgNfmAVByjTYTNgcl/es2pxHCmfgO
Fn54jbaE996hqh1vaDpgJPTnwf0dlsQrZmzxziDsDchmpWvW37+QTkdKwrx3GX9tM8+/tVqRv6hM
LKCh29q+dTS5xN9c0fkd+PrjksQGpDiOC1kIuNrvl3Rst+wqjs5vucq9K8pmiEvE42JdKFTmBxoR
Azu9n3RfFUIlL1kyD9dZFtkP1hSJw988/V+nFqEm26cL6QMk7ltn2U5XPkIQ8IpxtYYRH8RN/Iqy
Guzutlp8TOjcggpHZRzBB59a4S5PA/+EWG62o04SRRhsWdDEuiaQH7KhnEzplxJ6bfXpTRFk/akV
Yr4NUMA7J+DQvU0jIzQP+wVel0HII4TROWGDwfHqq6PFsBzyYrBuIAobCL2W1vUP+aZl1hxnuY/O
RqI5vVH9yIrrijYvEaWopgROVmmkNDTKHRNNzxd/IjUlFunfDe5cn9OqFN2mg7ZnMxNpF23hBff3
IspqWq4g6mY6mvSVBvwuky0CfOpGqwg6TZMptJMYv8Y5A07R3dHGRfz90DXZh7HWw3cPIxFKPVMe
/13h66/7j/TIE0BcA5jj/bzdkoVLJ7SYdfENB2BbYjABWxCUx0LXkFdGTiW/rv0Yn4Pa+rxMua5B
j06q+v+YsMbWBdlYkKsetYHfJyxIqR5umyy/ocq4jLsfLyRYEWa+zsoA7ZR1ip7arh4PiK8jSIEt
2sc07OAgopDuPP15xr4p0P1YPYa8boO2dA2nxf39ZlYolBOE5PxbIu3gXRs4/aNbWtZOUti9cC6O
t2PZDlfKq6szXqjOzVBLDjJpHOYz1FEBJNd6usbgXHwHOd/62Mxlxbu/ucvfcwBzl5BwBMa4Lphp
kso3QzZV8VJFrTd+o+rdJs9EFijVUElcNmNvT7duMBX0lPo1CHEd85vv6WpL5F1g8umjkE3/4iMq
em1LXTy7nTfSIeEUOEBUKRnuJJdbr6Xd+/NF/4+3xdOicKj49LXK6l3Wk6R8Gf6VNcHUNvv+v2de
3aImlP7X7lPRDL/RLX794S++RRTgYgH+1wfdCkyew/qffAsgpjCwoDxESDhQ1Ir+VZM5MmwrUlKP
2Uxq8y+Sep7/D5SaQTTzZyxAGwrFfySw8KaAiqQbCyfAJArMO2X7t3EsAYYi1Jfu9WpDP12PGVio
Id41LtzVpb+hc4ONasVK2UxozCP54on1I86wgbN1M+fUT8q6jpEk2i+tVR0SmkNbutf9TZPUp7QT
4xUtXbmjVBNcmrG23iEWC2qvTqzLkCHeoLwqeDdBrH/OQxCCaEfm1tFRbQNzNm+3AQwP7AlXcFzY
DSOSOsWC1g+Cl9z3vEn95ETD5yagKnVFmk841sYPem3voB7tqLXYcC6Vc2p7slDy8mIry+CKNJyC
Bx3uNGm/jr6jwfEpVuLU5VuIqstNjJbCXg/2DjfBL4bFsGnL3tpjG+YccFiF+doglQVz8miUW98j
cpqjE1ZkFBG9fTl3d12Beg9ORMOnzh3w+ZUVNpu+6k6iCrh+5fQbRsoDvhBGp6Ufs0eZpM2ucpwV
g2A32tIBxTxYoR2fDPldt0Q2ZNJi3VctSNmRIgNSLwrYhO0LvIstTEeqEVlmGnNXOA3epA5abHiu
PUZ2pfdDLI+wzGG6myJH6XIiRE239bBJ3LmxjcdQ7oCrWF78YVpQTDIPoQrAFaOIkc5B4AWkdLAv
w/FzBW4Gs4bqSuH7cEGoG4imO++bVR4sBNIOaJLVYE+wCoRhJjetH5yiOLoaoLZuw8JVm2yNrZdF
YJ6JXaJPO1WBzRnn+eB6SbSh47ucXRy6nmSu1nPvhBOqSbo99LPjH9zeAtk8k06DTArAoSbHeQy8
TUtSsY+c/FXNyru0VnjGMLPaUkaH8d13mgQpOaZi5LAE97orS2tf5O0TdJoXANzXuavlJpkC72DV
WDY69poepao+UQZ5zdvBOxpHiq3mJN3bUW5dtbQRPFqFdEDRumVO0K9HU1YzJcIueYiavDmMpj+L
sV+5LchKppDQwutBWDmDf27Ba7wuHtTyousvs1V8XhdvpqsYqn2e5cvJrxEeXNc6pDzDXMgAAKDj
prxTCqBt76ULbMKS/yuc7gMwiWpXyBnV67pHnLxZ2iPRgLdvyOYOoGyBS4n8uXOD5AasXHUQ4ecE
RfUrFH/bLTUo6wkQZ9Vv0bHzdrLMssdqQk6w7gM8DQo03FQWdU9GvGLnyKh4pLbh7fp+vWFLLQ9h
Xug9RO7gsGLqtwOGK/c1LIvN4Fr2PT4h695ei2rv9GhgAzZ0dyniDgR8eXB2UO7aZkk4obWUnAd/
ci/IC447C8PpZ2T0GMUwFjsX685tkER652skp2zfiBD5uf28xHBlBssBYDC1CFOnCobjuOICvhb1
u8ISyz0MD/vKwerT3+DbheCbtop0H6hQ71DxCLZjSYlALH1x4FbHa2nVVIMC67puSGIbkFMYm37O
8KUxxMjyPLWwJsdwIrBYGU+19v4JBhZMS2F/Rwou3EGa9K/UtBolq+GdHWZn/N6Cq3CV+B13vtE0
a2nA4QaRYuixWXUZ7DxEtDduG30Zh/Ixw64d5+v7cgRyZueZA1rG+lZ563IoIZR2g7zONJ/vZX3U
oPvx3qzrA7lct626Xu2WeELOCz2fjeNln9omQdQxxCG5cckG6Q9skMewNjocwQnb4bJ3M4TJurpl
SiVBd7O48gAj9lMEcGATIvMABaD338X0W7eVjPZkJBvq5flx9tpvE9E+yMQlvvW7XBzt0nGu0FAu
DvisTNDZVY8IcKF2OqrCUyrsu6Z0X4Ogv87BAZ1hxL+EGr0pmQXDtlxEcB6RPXiKouk9qoZ6p5T8
FqSIC0yg4rYgwZ4ADV4k7f9bFbpXGWWIjY9lCp7lNFDt7r6Ec0elLQ23iLJ/B7Fj77LIw+BxHTE+
IWDaxf6S71s9ILyCNPLRgz+x8fEJOpWIpvcifUX4M3pavOXUlLVzWYN8PFCHaA9DiN7LHHLFel2f
2snL7gGZXecOh9BsIVRaaAB1hZOUh270fZx5/HfG6X0XDG2G1F5/TroWFddJoIwxjK5R27J3KYCM
j2Uxf9DxOCLOIb82o4t1fFKmh5Gk+EgN2DpgiY5xaDVFd+RS9zacv01L+sqN6xsFxn87+C7ElPgR
tkSz10F2mNsMakfglYiBWO+ptueb1pq/iky57IXjeA7BZLLXZOBT4hgNy3nOrtAE1yDi2OV0iGf9
2IUVxElXIFIofNAsWhzwKBDb2VPOMZH5e02V57xa4RMlvktftN0GFZTvwlKSamEZGxtVOAMKCTdg
/rgKeZV9FSqjaONxkq/sqgfqQs1OU0wR9ecSz7fh2cuggRTMWauN6tOsrQwrohk56ka/DHgQSpZi
G/Q5pRVmXxXexX4XoTIvccYyi6zJSV4F6mZAFR2KE6jlPItR43RVIKnakdfu6bSze8OxWNFSgyPq
xv6j8CoZdB+BVtZrfUU7rZfRNm9COlObOi8zKy03terWrvvZg/if8Ppvwmuia5P//Pvw+v23fviv
l6xLkGj+Lb7+9Ze/4msp/wEOLyANxdyEgpxpvPzkM6O3ia6ZiwIZ+mGkyQGSBf9X4cD+B40fU+SQ
iA+QKJMwEqMO6f/+X0L+g4JagNulCb+JpP4jBzna8qSe/12nAwsDJIKWHtGOQ7XuL836ZIExUOdJ
eu4r/KmbsMbgoHZVfxG43O/QtAFXW4zCeewda7NUFLvQh812pe3oU5F2Vr6P41Hi4xB177BWACYt
yuglQ2HqiG8s6mDgz5tLM/vtYQyqARGhIvXPPcC+7jDmY4ygieXpYANqA+cAr6AwO0VYL/mK+iDk
hisY+iNK0UsC47kKk2eUDAkeJwqCW/rb+O8C4OhBAW8QVVqeaRMRymjKDdlkwdYAvPiQ6Ma5AjtK
VWxGBpF4E3DmdrXi9tFHvOmaP0ENt7PldFSN9ZDFKu936ZzrE9waXIo09ce5F/Z7ltd0yYW9POHo
Jg4s1/QeyaEAqcrVPDmndb93qwD3YSdH1EsiaL9J9VK9S1Kf+FDMuIX1/FrarXOJnOwZgVTfSPxM
N6G3HEKIbFsL5gMwsIbyEFzQ4V2hcnkfN454iD0kkUESocWEfcnIEwNdAnU+YiQHMx0pMnQeNgH4
qR33jLJLP3hbr0EHxbUIduNZvB+LQp1Qt7mW3uIeAUjccfoCcMRWxSt3EnTG1vO1t6mRz/euB6ub
sIUHdEtysg5oVQ4nRK/YBfslzzcqW529NQFP9/IFjGPX1z7vwx+vsfI6Dbn9EYVhfzfyLPsiHl5i
sKlXOEo8L6QfoJbt+pUW1HLlEBmRzIUpIkrLPiEG3ZV5kjz2Hibduwka7g0m3e1tWXMgMcqwBjYK
dsBdMvbBfSGseGelcvoYd7H7QIKX7wFHz9fLqr4NLsxhHEbBj8dtlhg8bX81Q03v8gAT8NCZEd1G
9LN0ghj1JSt+cMTwAZ24GvSULM4oQ8bJhVSrnB5m0DrtJ1Kv/hX0OBqsoPgeApDmF/xYxLsCsiAN
yHq8BuLbBtthqhgyraruZnTtVz17462lXGvvavsbhZ5XqTVUn8qv2/OUY+FVEqXdwfx1+h2I7PBj
mKTj02oZDc0pLvdBG5cj+lPjWJ1sb/RzdL6auqSyrvVriiqWvXMWBNz3PQKbHPh552D7srh7XyII
lxF92w9TsxLx26l9rdoI6gUckvhhUu699p2Pax99tDtqm6D29h3gX/xHgkxFW0+mbXecemaMnbjB
ez8On/BG/ma7Y4xmM1pU+45y4MlHyzi8S0vS3DoKYY6lgXtK2HMe+QYMdESfInGYXRB/0Gc4C4ii
A4tL5+2Y9Nq96aN+TY5hPHcJp7v6WNEXGB+7YUE4y+4PuTXGGDdCT+jaQt0sKCPseqPcNdrRERGx
9FygFNc+uCsCbKcxdqpoG45LfimEnSMh36u6hHnU+Dc9IdVeiialwBo7+1YNGk8XynGOCsL39K0o
Ig/rpbalRXrbp8ciLDGIDly4YDEazZG96EPt5dkGl4/iA8CDZVflrb6EmTx49YBjZowgySbsPQAy
Xe4/pPjS71WALG+ARMo2nAqPMKFqr/JCgMAZR4Qj6TttJ6dKbvSEpP3WEH+eWkQLzv4Qdjczwqwv
GpHWsbzgopFgvddjzUz/Ityjq1QdcnUJlvkDOmq4AnW9e4bduu59PnUpfbQLnVJgYON7FlrHLUIU
9s4nh5HnIphCdqqufRBRJ54QzUT6jAxkl1I611tQowvqd3FD7lIWxcc1x/jHm6W+oJKBqHQ3vZZF
CKVmGtMZp96oO0AARkF7nW7LNVm+jynyfekEj5JiCEQTmakRN5X+ixcHqI9LwMSbNDAWJK49nuNq
gVJAPkuVdnzlYEGOjKjyVK+tZpXGGIJA+NOanIpm0Be35rTZU5Dur1HViA5T4rxLaJCdaE/Yl8yW
atvVYX4sJe2KdO1OvcKsFDhlCJi4WRCxssjuuto+24sxDIiK9Bxokt2A9sMlGPBmQpMoPPSEhTiP
ONFlrmW2n93yEbYSjfY+kUdTcg9pa2ffRwC9zWYhA91Uir1XO1O5o0PbntsI7eNNnhTtzjZSgE5j
PBVc2Bcs0ZtUJdlthjbutiiVtV1Waj8+1asrMEbxQY/tZa6qlkx17r9CsIC5VCmM5HEIuh6EQChn
9NJztyLnCE+CnkX3tY2ScT8W+jNqRePedhb8fkaOG6dLz2HXJ9DlS8NqC28nJ34c+hot7IrCSzhO
/gN9surQWT1azfnjaPfWg07z+5lxvYpn32U1lreJrNbDHBQRR2NGP3MTTP+HvXNrThvZovBfcc07
lO6Xh5mqYwy+xc59kswLpdgEBAKBLoD49edrtXAk2fEkaT+oTh3VvEzALanp3nv33muvlTqkVxAW
teiXpGC35QhHl1Xx0VpwDATKvrPebZCzcVBwygrEoFNtGg8NPCfku+Ge81ymmSAVTi2SS9rQWXkH
bTgbU196vww1v/cZLNmebmQK6wckDKjNatvFyj2c7hd6RELBzXS9uFjb4Xu71Gc6lFpNKbR8t1sy
ESwrWzdP6fZGzUZDpWlSlHJPGiiF1wboqRlKVsnhk7nO95+W9EpduUIyKicfeL4pepAoEtzv4T0r
FtsrzVnsMP3RijnYzrKLQohQ6YBTLkR/TlAIiSriufnVFl4FmnkNJKy8Qx5e0ZiWnoHEGUJbshsV
peSVkffOUyGDldJ+SwPOhl6QUiVrucK80nDBBEFFvx/BvTb92yrGa1qHlkDk1wu4lf0lqMqwVOLS
DjAv7+Jc33G6NwHAxNbavE7ohp4NMyNZk9UzityHmp4WG/qJ8G1Ib87gy0zdPIRuKZpdFbTTTMHb
pNv8UpsV+XU0W/Que0DQCfzGWg6qz7T81zoJt2wQZ4dNOIKh2x/Gnn9IzkhiOWeL6Ub7QgZkhsLr
XJu/9WbJ5t3cn+8Qa6LeQRUMzsQUOocRMuHOxaEUP6PveIsQWpG46akLS+ynCB3ls7HQTKOvDPm0
iB//8wF5thGkuOdmNs43JOsyNNc8NHxON4twTHYJSTbSjTsEHcgTD01oNG8tSr5wgfbcDeTZwEgv
LSHxBvH7nNZY2HcGU0r6i9G61INLF5lGq0KWfcZ4H4Ymk3Qd+/pXODg5n7m2hvAH8daGNIVW7E/9
hHTNLsvnxSnHamOQZc5hPbCc2fL1CnSgjn7yLB9m9uxmbe9g2xfidrvctS8dkmkF+sae/TYtdfBS
exWdW4K2kyyxeeXlKYp50coq7pFx49xPzP3RENJ6YwtGAAqWW/dVqhGanY2n+tS/WZJpHRiF+zlb
muknRIVRAZ2iZBQJTSNjb2uXiVEcEhQT5s4X0XQDxMcj4RtCoIIvMfybaF4UEwPhzAEpAT3AnoZX
4a6nkzi3nM80SqYFCcGly8EZoRbvDD5GmGQzEnjFKjPfIQBtDsHVr07jwl0MUWH2z/39Mh/a++32
msbCHcIB0927FDZTUc3aD+ak207jxXoWQPVPssmIY2ukhzEyI2t9nQxpIM4Gy3gf0kiUbYY9hyye
saV8aKyM/at1Gh5u6eZcv6cnGGUG7Pn8W5zp6QdaI6PPU11D4I50in8VF2iBhm6kXQHG2owAAG+u
NTqi3pqHDKkRbY2w7EHjBgBuT3XXWg8BF+jE/hqs5WhmDeAmny0wzcvVaIfS4fk86q0u9xqx+Jr+
hQ9xEpmjnpYMMxoTX4fTBFDUfLm9ndOAcI2R2J6xAdksLgy0KRjdG1PwnqFVCL/wcu4MC/Kb6Ixt
iw1cuoJoFAqHa+r542G01DYEUFl0N1s49uHCBaAPdXvufNtmiMc5S3KyAwBc+xvk9/bmaJdYsSy2
///8/6/nf7pSnj3/o0gNh3a9JEexWfzNkclMlM9AgrsOR3vBV8gZvjr567rORzCQm8A3KG/VDv42
1Iagd7xKHV6kC6qDv6UJ6XgXchXaScgMIAD6K4W15rFfVKJB55iwKxoWDE+mSAvUICTjfKdDhL/Z
3ebL+2kaQf7/tTYbb2QG4WSVL9/EIWC7P/9oYvLtRzdo4X+SPfxn6z038OYORDTL09wPwu1t6A9m
y/vnb1UCj2s5DKgzPDD3IFNwPbZlt5GWhZ7qkU2Z4GZuR4U2X58uewa7tyCpABTE/gc2hKkH2pde
cI12aOo0h0Ec2UW4utJMTMHyHsJHz51yoLRmmu+eU2DTzgtvlU9CjyT58lWeWGnPutYcqj4R3a3j
BJpDjYY8qxePPxSbbDQ3QvsqJWR4M+cEit4fdK4rCIHp/zr1zMQmhb6Fk4Am5a3pZ2c23FqzxfuN
j0BGMnDQInXh8Ik9/HroFMD0kBO6SvR1+BHiGrzweIOQCR1F0W4En25kLq/dDB5be4+Cjacv7N0/
vRjqRtgQYbf28PYDNHjhdrRgPDlc08I6670HnBtaqyENkGO/B4sBROz78bkbJZCMl7/I/4zVqF7k
LMgCBE/DrHibT5Li3SQFIpYed5X4tFzdH+Lf+9LzA51ManSKd9SWM/EE0zBe1W0Ku7O2GR4eqXze
50aI6JbK8nsQBKbft0VjCnaGmj2X+cdJRAG7+rjnU8unQw0kGZRy4pI3rE3Rjybh+feTs/n8dxpv
8EOoA+QWwNEaqdjykR5PQmuIxiRgN2nEEkjR8mpOgmv3QTo4lql78mPsITfs0CRg9/nh1CbB6COc
CC5UeKn6EvCcvmfRZQFu9GF2uvX2IEBwIGpv7+E/kTcgaS73AWuqPgm6ZqMt6Yqd0LnfHtJx1be3
+mCJ6T8kyV9erSUgQhLWBo10gIHEJXdclzYAsYr6JLC96TqG1K+8iK7qS8CHYRaWQtuGFrG8umcF
WLs/6RB+bAupO4Ee9kTHbXm1NoJn9gkJwfgSw5VX5/aDzc+nuhTcvmFb1OV0+qrE1ZoEcoB9h5gd
AKsu10rXjAIZonaB8le9oqX3bdGUQsLpyUmAcVkqK4nSZLccAihGgVFX8wgYfJPOebqz5E/csomu
39c5V9AqJE2iAEB2axZgVAUcrzYJuEU6wj0dZuyGMaRyLRDcov4sZ6dzcSEtrwIOqvT6BoLS9Odx
FJY7oG0HKNIL/RULLKv8QueMIeUUQzUyJLfgATDDNT49C6wFCKDB4sLZWV7S8nQpOoAFQ3kWrD5r
XaOfpjL5rfAAgASIDQwGyZOuWQIaHB7hVX7ZHWh9skHiLFjFiDjZenjkYQ8hzTDhUperQDrhTq0C
z1O1CJyXCQroXzkGgSyrxiw4faJoF+Ka6hzRwbVAU5iiXbTQWKG9jLSB9WD36rPgm2QVaAGgSUB+
3jnfSGeYoRwheFh/+EWE4SuvVpToe1gMsifkV+SOkNPepR1BqK8cIrh9KpSGJ9BqR+tfXwuezY6g
e8gkGimv7u0IH/+tuCNM8u+C2twBrievpl3wdXyo4HzyKh/ZuXgJGo0qkJct689kE398eLRJFbEM
0GySvzXmtrEWHKRYUPzk6CQ/l1uwSzuCkovqjqDJCYII0iW1fV+fBcfvG9gfCxMql0r31oJoplLc
EZbbF/zZ0O7gDcXVOj/B5dWH9woDBIeLuDq3FiAbU/aUJgcozCMrobkTXKfv0krpP+TVpQHq0E6g
c89StYrECWx1kkVuZftbHhJpJpoLyS1X89yl1xfJcNUtwOvRRu3b1RlZpGTqhoDXRzsHGAuZ1fLq
3iIg06WaWresvie6vskiyLdszQIBAssDGhIRWIurc8GiQZpP9eBgCddX0pBUrrG1FXxLIPdNchby
Tl3aCrqtqb6+SbKQngnY7+RvLFK09a3A6ZHaAhYXaory6uAiAA2haBDwBjRUcHSsXJ6Y1vosiBID
kTJyx9VW6FysDD+RslmkSYWp9HymQi6GlkFwvb5INtkkW+TnHTSLdLwrrgXiIxwfGm2UUsqLt6yv
BZjBqMQwUYiMlrfqkkXguKf8/jg/CigmvBLy/dt7we9zoOJ0fcw7dm8v4BZUzwqmSYKdINAgXf3U
KvBE7pVaGxVYuRe6ZxfxWfKnUTg3+uhwwm36UGtpWQSomXEPFFvQWitnqXtnBRHBqFoEs08HHgmE
Y8GtZRFEuMhugWapqkpKd9Qlu0Afo/IskGc2eUUge0/aBZc0O2EEoMkqkuiedbTAD6quBY3TM5Un
v1ZTqXsHKk98Avza+o7b6lb1EZI55fqbafWxjMRDMMk8ZR1hte3T6M9y8TpnEUgBPRI//9WaC9UG
WKrEnq9K8C0fWeJyXLKKNBF3LkagW1j+KL/vF8gfkCExUACuTgVti2hzwNYgbT3ilro3C6RDZfj6
+7NggkRAWId6i9wE7Sq0TzwtYd9VvCxDsy75BYufSNUiEimBtqDC6FSGvxUvl/lEQkZgel3bC/Bt
6oQ0SlgE0ijoN+iiF1++fzufqml9/A45huqA1qHf33QcQYCs+v6gkAkLnKqC8jiD4MKyD/qrq1gM
xA7UkZo6UGRBsH48L7Ct6nEBeG1EFURJ8ns17mfjgp9YMA/w98EsjO5L4Hs4SZ/Cx//oC0fI9+PP
K7j35f2ffwhce+OLoh9H3vs7Lv6vRhmqRGPXPjyis8v7VH9eveDjWzfudXyr4z9ehJMkSO5mCCKJ
ZoDqMW+DJfD5/0TB12AZ1DH5RK0Y/O9P8oil72EX/MvAyKQfxxFzImrpx/9/sj3p58ZNQpg0mwOX
+GHlB04WwSoN0uMjlo9cgnJVRx4EUfgtTlpEKhLlqTx2HMVJcB/Xn1qiydVHhq/0LgvhvWoMXuIy
VQc/m0TBLkgm9ZFlH4TyyBWZ5En87YQup3z5tclfIzGFqncZMevhfXMVSrie6sjnkxjSnebIRIg4
H9WRL5jxMDyOUy5vk5T18R9+f0te3gezxgLUJVpN9YEvoyiE6q25IyUQTHno1X0YtKwIulmcTpRH
jnfNHw8KTwId1WGvH9smCQBSHpgB8rtFcXzEcl1IVI3q0K/iPEwfTbPEqqiOfROEq4b1oPb0Eu7l
JkiKKFjd16ejKqOrP3KaBnezPJ1kWWNNV4Vq5fHDO0SegmZ/nSx/qg+NL0jbTLuyqKg+dpqG/Lde
N2wTfLiiuPQSo8d50h5aFMKUh45XWcuGGHpZVlEd+XbyNQla0RPAK1GxUB96GzT9Fkcukf5WH3h3
chEs1+ksbLp1xheJ5ZcY/2qSpJOGpRJ6WC80+M1kH9413FiVAHyJJ/8SJ4vjHAgLy9Ain6A8dEmC
PQiSGE/ZcDtVA8nL3ODHLNu1Ht/GYaZ2VH7ukPB6FjZnXCaeVZ/69SIiImmeatCkEXks5aGTybTd
wlymhlQHfjNZrdIi2gatY0LV/6A6/LtZfD85uUwf+TaJElId/r1gbzx5aiGKzNELHPvkDR4vxCox
pfr8H5j9CUJLjZCiApSqj71vniqrNIrquB+zYHZc0MKmVPl61WH/niRLPFtjZFzxCzjMJ+lEJRxD
9aE/Bfid1RSWy+ZzlyhQ5cH/jQtV0Qp+CtO7GN375rPLjKPys/+Yx+XZp34q0/RAGPA4/3RkQ3jq
z5rJNfGNu2gSJH/9FwAA//8=</cx:binary>
              </cx:geoCache>
            </cx:geography>
          </cx:layoutPr>
        </cx:series>
      </cx:plotAreaRegion>
    </cx:plotArea>
    <cx:legend pos="r" align="min" overlay="0">
      <cx:spPr>
        <a:noFill/>
      </cx:spPr>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series layoutId="funnel" uniqueId="{D4237395-07A3-4BAC-AF2A-F9AEF04C463F}">
          <cx:dataLabels>
            <cx:visibility seriesName="0" categoryName="0" value="1"/>
          </cx:dataLabels>
          <cx:dataId val="0"/>
        </cx:series>
      </cx:plotAreaRegion>
      <cx:axis id="0">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series layoutId="regionMap" uniqueId="{E2DDE59B-49D0-49B4-A0B4-AD529D2EF69F}">
          <cx:dataId val="0"/>
          <cx:layoutPr>
            <cx:geography cultureLanguage="en-US" cultureRegion="IN" attribution="Powered by Bing">
              <cx:geoCache provider="{E9337A44-BEBE-4D9F-B70C-5C5E7DAFC167}">
                <cx:binary>7H1pbxu5tu1fCfL5lZtkcSge3L5AV0myLQ9xbGf8UlBsp+Z5rl9/V9mKY1eU2OcePzwYeEIDnUSi
yOLi5l577U3qv676f13FN5vyTZ/EafWvq/7vt35d5//666/qyr9JNtVeElyVWZV9r/eusuSv7Pv3
4Ormr+ty0wWp9xcjlP915W/K+qZ/+9//hW/zbrLj7GpTB1n6vrkph/Obqonr6g/v7XzrzeY6CdJF
UNVlcFXTv9++i+KNnyWbt29u0jqoh8shv/n77aNPvX3z1/y7fun3TYyh1c012ppiT1gm51KQuxd9
+ybOUm/7tqHVniCWSYhS+u71o+/TTYL2zxnR7Xg219flTVXhkW7//7Dlo/HjjaO3b66yJq2nefMw
hX+//ZAG9c31m4t6U99Ub98EVebcfcDJpof4cHH71H89nvn//q/ZP2AeZv/yAJz5pD311i/Y/BNv
vm1eFBq2p6TkjDH1GBNL7lmcmCYjbCcmzxjJbkjuG84Q+ef4VSLibOLge1amwUvai9pjgkupqd5p
L5TqPUkVU5TTXfbyvDHthudh2xlCzj+vEqF/ymDM0peEh+8xbTJmUX43+zPToZTuwaaElkLe4oft
7m4rvdvOnjGg3djcN5wB88/XVwnMYXodbF4UGL0Hk9HcEtad3Zi/7GkADT4Gu9rtSzwG5hkD2g3M
fcMZMIenrxKYf8pok1YbOMEXYwB8z9LaIiYVdyZjPUZGsz1uairED+RmyDxnRLuh+dlyhs0/568S
GydL05urOrhq6peDh9M9oQQVprllaNixHhI0BZZgWrAdNsPlmaPZDc2jxjN0nMtXik6clZvr7OWg
Ma09GI4QhG/3rBk0lIBcc2WZEpvdQy/jZE8P5Xe4/Gg5B+XdqwRlcRNvuk1582N+XiCg0XuEWEoy
c7ud6Zm9iD0uLclNil1ves3M5jkj2o3Nz5YzbBbL14nNNu58k31/gxXbJN9elEjDeAiMg5p8BpDa
I1QyLc0tQHj/ofH8CIefO6zfgLXz4ebAOa8SuBX2iOD6BVk1s/aEFoJy6AC3r9lGZ4EiWMrkbBIK
ptdsv3vGgHajdN9wBszqdQak+zdZ6b2oEbE9yeH8uaZ3Ez8HxtzjnJuKk5+s+6EtPWNAu4G5bzgD
Zv+fV2kx5z50pDeHVbxJr3/sNv+5KwJ1k8xiWmw3Mj1j1grUjloWmeLR29fMbJ47qt0QPW49w+n8
8FXidHgN+fMFAeJ7cDJEsR9azQwgSvmeFNpUFpmxhCcHshuTbbMZGIeL1wlGHAdpFlQviAfZo8AC
hHmr3sy4m6X3KLekKayf3O7hdnb4jBH9Bpj7lnNsXqenOcy6F/T/nO0RhRSB4vzOzWCjehiDahNJ
AkIkJdv35Y81caeqPTWa32By+wxzPF6ngzm96d6c3PTB1QvuXibf44yaUJrvpMyJdT1EhRK5R5G7
0cQCLXhoJ88bzW5UHradYXN68ir3saOXFtQssGGumFZqJynTFrwOoVDctrsYNOqH6Dw9nt3I/Gg3
Q+Xo4nWigilprqLhx9z853TMRCqTKWZJsU2bzby9JfaYpZQy6TaKmfn8o2eM6DfI3LecY/PlVWLz
MUAY89JpNUGZpU25TTPPsFHWnoRGLUDWdlLl54xoNzY/W86w+fg6Pc1x1gTVC+duyJ62EGBKuU1p
zmiZpsggUAtZN3IHzkyxedaQdqPzoOkMnuPXCc/JJkhvXm5P42LPRDaaiwe+5CEHkHqPUUk56NtO
aJ4czm5Yts1mkJy8Tp3zImtq/42zKTPEM5uXw8Y0oXCaGhxtK87M+JlFYDZQZpCTvsNmxpqfP67d
IM3bz9C6cF6l7znZlMPLyjRTGgfEABb0mD8ruacIRTmB3toO8HvI054zkt3I/Gw5w+TkdSoBJ5uq
2lz5TXVT19WPSfrPCRvCTlTSQL1UW0KGMObh5gb9TBKBQihrxqCfPZ7fwfPoceYYvVLHE1z5gbdJ
XxAeFA4AG40czt3+NeNs4NMAToOw7d7fTp4xot8AdN9yjs3hq9zT3pU3XvaSyMDzmBaynKa8Q2a2
s1FG9lDOgfw0n1nO0yPZjciPdjM83r3OQo5J41jflNXN8ILWAm0TUowW5pYNsNlmBqlZWQK1xFvI
ZiT6eWPajc7DtjOETtev0mJOApTaVFn9gnSNS1BpjRwn4szb18zbaL5HNRKcqC78sSru1M1njWU3
MA+aznA5eR3laVd/rNO+Y0t3RODRJ//dInUNfdmE/GxuFbUZk9ao+ZiyBvdMbWY7s/Lx3w9rN0qz
5o+e5HXUpp8EVTX9l+fBj7X7n9MzE5VnDKU298mYmZdBtgZVtgzVUdvyqFl888xB7cbkUeO57Vy8
yj3tU1BdZWkVvCQRgFMxUeJkyq0y8ytEykSCGjnOuz1vFuI8a0i7AXrQdAbPp8NXCc+04rKmfEkD
QiJAKpTV8t2UYKq8hRytKNtygpkg/ZwR7QbnZ8sZNievs4zw06bycRKrflESrfY4pfA61lZynh8l
uCXRKL/5AR/4wkN54Hlj2o3Pw7YzhD690vAzS+sXPVDAUSaImmiqUdx0+5pxAkrgfjiSCnIqMHwI
zMnTQ9mNyn3DGSQnl69yQ5uigoNNksN0XrIAl5t70hJIFfwoWJ8BM1U9KdTnIha6A25Gp589rN0g
zZrPoDo9eKVQfSs3VfSS0Q5QwCE1E0jco/BQWwOlhj6AJPaPaGjme05vnh7R7wD60XKOzetMH1ze
TKFodXPzY5d5AWYtcMATU09QHHj7mmkFOABqcpNN5wzv3p+5nmcNaTc6D5rO4Ll8HRHpo1HjyPTp
Tbt5yVpoU++ZQnJk3LaUeqZ6UioR9gho0lvwZtg8PZ7dwPxo9+j58HgfX+mG1r35kpXRy9kMkgXI
1DA+HYu+fc3djkAxLiFwTNtsziwanfzGUyP6HTI/Ws6x+fI6scnK/zv5UJyGMlFMe285M0KtUN1p
wXCk3LqkOULPHtdvcJq1n6PlvEq03vnBC9YUcoKgByc9tNq9u+GkB94xcdbjpxL3kFs/NZrdyNy1
muHx7nVStTPQgWqI282L1kcBF0vj1oEtHyAEXuUhXVNqzzItayo5vM/FPcTluaPajc/j1jOczv55
lXZzcVv1sdhEL5tEQE2uCReDCOcOh9keB6Fnj5kEeQY5i0qfO57dCD1uPUPoYvEqEbq86V/0nDvF
wU/T4qi3uSfND00IEY8J8gAT+lke+tCEnhzObmS2zWaQXH5+lZB8qDf+y1G2iUqjvANawPZo+yzM
ub2sQ6GukMkZFXhqHLuhuGs1Q+LD/yPx5vc3Ed1f17TY1Jvl7T1PDy4j+vO7tw+O26dmTd/cLeSd
kendW4fXf7+FXYA0318fNX3HtuH2cpTHNxz9bHKzqeq/3xrWdJOExXEegVILGxwBat3N3VuoiYeO
DS3bmsJWnHp7+yad+NjtDVS4XUoo+LaplBH1JG/fQGi/fQubJRg9EhjghMgAanp/vdZZFg+ombif
je3f36RNcpYFaV39/RYbbH73qWmkguNbcNMVRkEYYgR4S7x/tTmHbowP0/8T0pzxyuTGgTYMHtpB
OIwHjeYVFsj9nOzoBsLIL90oUCSN3shUFPu4m5FW5dCOrXFQjZxeRlkyLMyGWO+SrjUS+899YULn
fWlo1Dh5a2o1VYE+7gtYhJVuTfdgoJl+R2TZnkhBzTUfSX+WyyTwn+gQl4L80qUytaQCd57h7DYK
5B532UeVKKgq3YNgKF3PdousPs7KxsvszEgy4Vi60x8JSlPYijReay5EHIfDvsw6lu4Xwmsc0ba8
s5s+DfbzMCgPdNYbgT3oknxL+6A8LnSl9wvX0/vdWAb7iRyYk7p9uh5KmryPo1jvx0ZZf6C1TNe6
LfOV4SbBqTvUwSn3QpEuTC/194eCJIeBVw3Loq6S98zg440Og/GjH/Hyo8q9E9IMwbJTceo0eUwO
RmZGJ5wzaTl+aDbvWdUk30dzzN6NZhd+YCQI7ZS48UoUfurQIGmdJku7A5K52aIYC7ZvtSSzy2Lo
ltTvczuuzepI0To7LXOrs+s4Mjck9oyDWHbFYiyN7qAYYuXZvNeudCyDZVeVlSTHckz69zob/cYm
RWd5dmnxFalY+SWIDN1Fi94vVVXYaui8rvqC6kYxVMd+mocrlSqdOp2Lde4QPyO5Tcwk/daUKv8S
Np71KdQRO9ce0b7TkUpfh1aVhzbVpUrthA1ZZBth0K/K1iKejdNF/rfIjy3hBCmP35G4tXJHci87
Vk3XHA1N2n20hjF2IjcoF4zFWHvh6FU2D0LxLjDpud8HxHH7cDj3Cy2XFSXll0Rl7SrrSb2yWmkI
u89kcl0mib/vp/7VUIb5wjMtceRpq8ltOgo/WVaYHD9145MiTsZPUMeM92YajMdkdK3KrnoaHcq0
JcYiCkKX2EZmXHAZiEOXE37Qdmm1NIcgOiah11x7lay/RXQI4+XojTJdGnWg15iCauG78qqoY6ej
XXmaxqS1exVfE7PvbBnxI9eoezuKvA+6MgIs0jzeN3LLt0cj6Z2q71InY5w42g2krfL6KDRKbtp9
7Q2OJFa4QTLQxYfVV9NtzIWfyWHZK1mcu13MjqVfnYm+66htofAOSxvW0wvWnpgRZ8uQtjd9ooyV
KI36JGLp+K3us8EBsuJb3kfRu0CnbBGNdX1eiNpw0to6LwodLBsxfjaa0jxlo8+WbBirU0ON47LT
srtIU904HtXtakj4+7RLPinTzdhBEFldy+3aa/3hKpVBxGy3bZpsIZuoD2N7sHIW2mMVtovISyKx
lKwZImeICzkeW1089IexJt6QOL5XEGK7huGNH6Oq461n96ypOg8TkRWLZmir8JKXoeXVsU3D3mq7
SzXU/lLTSnkLMfhl5BhuFAhbFETaurbSdL9rR6k+9wb3rJUaIiYOE6uryCKIjcFaVWEVFNz2klqu
vKgbvfM2EvikmQetdyqLsvHtLCnT7syThmeZdi6Lyj/SrtFmgV25nfjCcr8pQ5ukruEvu7LX7GPY
dIZYFb0W6lr1PoDya7821tGQe015ESVumhT7VFfRF0Pk0YVuk2C/JCm24SxR4qAldfxRuYNROq7J
3MHuGmmuRd9mxO7GtmtsYfh6X9Smue6YWxzTvhcHLDGIsvtoCIZFMmp6yfzMC+2qmP5ZudK9GIam
u5IsdS07pWm+4pFpHmZxj34bng6LqIn5YV6RdB30nV7WSTOmTlK4Lozd6rKjgvOqcFSr6IrKKlvE
ZZAuRa5rJ62I1dvG4CdAwNVf+xJ/KmojvRgr4oa2SI0mX7Rtl7zvTZ7fcORLjzGQwFtFjGdH+aCT
cdFIL/aX5dBlhxaJ9btYBHITJwXGZ8YtXbmVSt4bXaQiJ7ISjM2QOd4TRp18Z1YZfzRJ3Z/FUSjH
hTUm2YWX+EFuT/l6is0jkg3sNkYUBD++5V1bR37HH66yfCgDz9/e0Hn/1/++zBL8d9vm5z9OF3z+
/BuqWO9uBv3jp3BfwsShqvmHptHcfxcGsx3dRL0e/eUXGvgbond30ehv3nweC8RxBQ2ecU95fqGB
87rdiV1tG/0ggihcQOG80riUCrwERUD3RFBDYMKRB31Lx1B/KlGRsiWC3IL+p3GnpcQxMJR7UYxi
SwSnmxQ0CKACo5mIlRL/DhGkYJQPaROuKZk4kwnGhOQ9btKcaNUDJlj0Rl8XcUWP0py3deG0XhL0
B6Vog33XJ6lM7Mwfkuw4jKjRfQj6lB/2+eDnpV3pXGxU0KaMLgYSmm1vC6zKobThHnl45LHCiG3t
ppFnF2lVVvsPZnq7Jh9y2Bnhw00fGDCulFBglkKw+citqulitxzLI9Mj/Tn1U8MRXaiPh1aR084Y
3PgpwmcBq8eThRmiVHEhcPR+YpmPJ8sIYjM3msw7gjx1nNXKCB3YLJX7IefY2e2oMIoDWpL8i+4K
XfROw1vFD7RsWnclPJ9mh64KwPDGVmFWUuk24z6rZX9mpYEyl1na9Ge+Ca4cM1qP+9xNs6Owom65
xCHEsbVp5JbSLsoiGR3RN2m08roUc23Itj+Px8JaMFCETZ3mWWWHhYWutO+23rJUbpgsOuFSZnfS
qCxHApHCSeqqabDpGMPJIAN2WVITi6AzY7EpTezYAzd0uRzrnJ6WVhYFjvKCwVt2ge68JVhnf0Z8
HpeLwvfYJaVGMNqBqvBsVRkWXwx/6OFVOgyjZ4HVL03B8i+s7aLRkRkr/He9n2BEehDm4TCCKX4o
C+GPgV0YDJt76NPqiGU4YHw6Rh38vVSDzD8zs0n9dV1WWH9eFY+OwZRoz8cyZZeGGbP+U27R3vhq
shozF1Q9xjPUWZ8dgnwmidOWERq50kDXcd7i3byJMDoWtmni9GMBqmOQMPTP3JZW0sa9qom/4J2J
5w+jVGzCznM/NoPUH9umRHPd0TJZFIF878sGX02qApMUDBwoSI6DIp/9Lm3zA8QiSbLEPJqg/oGJ
aQmMuOjAbOpivBjGDLC2TDB65I069tfjBImaJkcXQQT8cjM70oUxUPj22lDOCHdz4nvd+N6wiN/b
YQ/jNT3cK7EoioDWSwRgMMJYU4yylKpTi6xl8ZK7YBMxopfQZl0/XMqa1aeG0L1yktDllT2KJtt4
YS1OhsGTHw34w9OuzeMz04y8Det4cJAZMbecgKVqk3pR+yk3Sdiv6Igl63eIudqurafwocOMJ7Eb
DWvWS9EvRab0RwMco37PgtGQC9EqLJu2VJjeLkhk+Q4uTpirSnhGGjtJU5h0tAdu+aO5CLEi2VWX
9MAuMHPefR/Cocm/4I9J+D3vu/48SAi9DCWuuXAyD2ukYilrHD8DXRjYhHwcGYW0DbcDtiBEcbIc
VZZ/wczAuFSYwiijPOvcVUWMvPpcuaI/h94MQzBGhQkOWM7kfhST7EiAR+a221flgdeGWbQKXdaf
cVMUB40/Dv2xmTaYepU16EX2UTjaFNaml30fYl4QPCeu3YgyO0r9iJWX0TgaxkejUWNxXLPSKM+G
XmMk8WBi+x2TbtAfAk6S6Nxtw/KgT4yycNwWHGdsOTaIcUgwl2VdYy570oEZaO1hInKSlAdubMX9
imNX8dd5geNGzu1CjnoDwGWGhh3LdjKKuuT4lr4zsYemPGOXQWNQ07Go5cvPfWw17F3oamwUlkej
7EqZHT31pRV6thUn6NOIvLA/UK5Xhl9LWnZebovGq69N16qjTyV2COo7vTuK8l2WpKm07N4zXL1U
iAjLJYsovolgOa2rQgHzOi7paViPZv/JatwiuhEqZayw+VB47jIhLWPvEvifsbBZE3ry0E2ZlTA7
y5BdO/SZOZa2oGoExQs88jXox8oOAs86TZHY/izaxnWykV6o1us7hyZZ82HIBmMZ1ZW/wMKoHLPx
/EMz1u7CdN0gspOg7Wxq0kEsfJWIA6PqZHec8bAwgk+ez5tqxXMh09AG23JTbDLZYZ5b5GMlcuaY
CflqpG1g12kc2dGQ1nbgd711QCPmfYsrV930numCv5bpuzqWx02HQHoZxWX/XmbK+yrMNl0mcFIL
qELmuVW46VfK/WTFUuK5jhoTYZNalWfaQxii8qgwbTZG8UmQe/EHFlbK1qSqV+MUwRlt3ztp6Y3L
Nunyd208JseCt82ygRzwHtt6/jXUjX/R8visU6QP98ui4qtiKHqbhFm63wZZcIEwMv7QJbzyVmWd
pscaDmwRR8W4jg0drSBGBXZbIPS0Y6Ww7bVmdgmnk39ORZL7i3Cs0pUVkOyTL+U0tUmgbdxe0KSO
VE1/msvetL2gTRaeq6rvQanKRdxwfsDG0FshYGSnwqsUX/hEpIPdD6ADi6pk7VFRJdm+FUNccMLY
zA6V37OVJ+j70M3yfdL7zaLEM34OozLv4KVaeZgOLm2XQ6Ka06Lm7oXOfblvVGO0EoaWjhEao7Ua
BilPDb8ujrBhDwckTYfDzqD6cKyjbjlUZenUjDdO0QzhgZ9W8rIN2vGakDg80pYej8q01FuefneX
+w5K9AuZu62RhbI4nTTD4Y2Z3lZkiWmFce6u+zovDyJIBA7pTDghbpTWIiRtduTCyg/+TMRmYiKI
mFLTlbhMgunicPXEmh5QSO6OvvI7oddFjF004AE2hrxm4Bh/7mcmt932IxV6gYgzVTbM2FcLiaCp
tOeueTQxDEVK7Nlpn38RvYsN49/vDHldyHogyDibPJtKChtGMCz12ooRJmaZzw8rX8aOETR6+eeu
fiWyuCwA99ZNVwZS8Pk5Bfe0yo2eyLUpB3qaNqDeotOxU1l1dlSpzLqL5n67Snb0RxGHQHrW031r
FnmMF7UymG2ciPXY++7HOxeU+gQeQ6QV2EgVDJjePz/jNF0PBGdgNynAOCHBJoH2F7I+JB6vdVnz
dSlTsCtlEJAfbKjwwGnP4AORr4I/MpIWfyZGCPfx5wH8ukhRiCkwz/j1BjYlWR4/dJbygvRxJNdN
A5216wzzsKeI9/8XvSjcHo37IVBTSGarJnZZh4C/kmuv9suDAReH7Ctr6J6YzF3PgoAS1+3iTCMM
b9aLrE1WCAPPoovKWshAxQ7r8//FMhEa11xCXQR4uPft8YxFBUSJPMjEmrmQnoPSx6Joh071y8Gt
6Wmd9+34REj36/6FPR27CR4LqWN0+7jLNGjdoYslXxuZKz/TxvLWI2lBRZo408vUGgizZTViifwZ
tl93FkvjcDvSBwR1U79YhGZdQMZcsHXUwLrdDPtkLVtrMYbSwqVo9/rAs7boqXhBoRIbpo6Qnz1+
RBV3JbpK2PpWPhoSmh2NVZ1/iTkWTDRFcP20av7c6a7nk1O6l6PoSwpz1mlLgtT0kclYx5D7DtKE
m4cxsfx9BDpPWvokTcxMHVc9KIHLNqfz0L9amm+VFsF+sh7LSlt2SBPR2UKR+Dxvx/I0C2M/td0B
NLnvwOs6cK3qtC3a3l1xo+IILjKxiT1WXVO/MsE6xzT2z6xIQmD+87TsGimkD6axI+FXLNjMoaSB
6ILBcLHCE6TDncANkBjoDfjLNuRYaqEGrf9zl/RX28W9PbAquGecoMTlzI/x92LoJS583NqwDHDd
HlmF3K77vr62SgqX6efutN7DgJ4WTVx8aVsx0oUZ6P68qFgR7xdeMxYrsKRgvx5o7C/+PMBdc4Kd
cioNmIrW2czqCaTfsbVg9clogXQTEX6lnmGuqxgpBrsryFMyzi9rE6eyJmuAlIMliuvDH09IEVQT
6R/GdctdvqmQlAjtoUixTPsc0fifn25XZ9PvxeD+Ho2tZu4FrBGl+F6hh3Xv9f1ZmEb6mFQWohxB
ckRJf+7sF6jxZJYFmQ6HM+DxxMzqksigeeWSYS1dgcASvzOElQVDRJT4547YlGh85F1xh7ecyIPA
wyHZPFvIsekHvcxVBwZRInFCEMM1jmFVdfTBNbKxOsrDFkoI96BI+52f9IhIlFnaRTy5wazoz31k
02Lb6BAsORUd8y+jKssDAvH5i4bqZa5IPKkfXREhOO6YN5zVaaazp5K4v+KDm5U1TqpMB/WQCZ9Z
R5AilaKSqlqzcbAWXdpkR0nnB/seGf5t1oXsL9YAV9OlNPjZgNm6qz3C6hbJw3VJpHlosRDPX2SF
Xhqsz4542j+pH07e6wFKHG4NFRzTNRAWcsa/oJSOiUmLUvC1LHp+IyVr1yV39cdbQUSqCqpOMcbi
Q9b37Imdjs2XCG4Xx+kfKZHERsofTGiWHuexWwe8C8I1pVCSxgUJLRlV+4McG5M5Xe9a3ySNIr5o
s4pWp9rLYIEm7j47YPWQujZjSFuSJoGKOEaTXlOUagoscEpwtEeFdVQmsgr3G3z/maoHI8U3dYFA
hYEXIakaWWb2XoTV+LGclldswBnsD3VJ83VbDnllM1n1Z6LrIY1VbgTdL4Jw5NpB0XpqYXkdi04E
MaJyQWiUvO+gNpyWsjb2ex7Is2ygxrifqTSyoWKno01UwcgxZGmSOpUSjbZ9XubHdYSiCEfF+dgt
sqEYEUCPwbqzAurwNhZNbDcUudnUbopA1NC+SdtlG3MM0ww2Q0OIR01OY3rdlVYEUdwIYS+6zycx
dPAi/6wdevxZGcWYHcoMEuW+LrXrH8g2QlSUFiPeHQu1JZ9t5EJ50fHEa4octuansRi+Qy0POiei
XonAfUC6LTr0LKM/z/sx8c/MBD+pcBx5RVu/r8wKgLBcwbozmuTReTYS+IuyqWmxwq2Y/XlEmHXs
SZlF5yqn1XVfETxFZ4ZivDFl2vCTsqCTFNXFgLknARri0cVGdBjuRU5xJdAyYiE/bjGbLRSNBtpc
ENVRv5L5gO6hg0C5qkcfQriVDNJcogwD39hI36Xfxs5MD4s+bIyLPgvQdRGN8FqapBwSjh+bFXuX
dq2oz2lg+BUyqBGEV8SrWenQQXW5YxgBP2zbslLRoqlbwxnzNO8WkmELF6OHFZSmLQIJprpAHfPW
pd2h3xuxC79K2+A0K2NoWlbeVON+HyOGtVmgoTJ6DenLS5qKMt63AoEFlvqWZKdGUMI33PIAaPZY
faOHQxAHvsygm1GpzOHIhRBiFVDbsv67rkf3zBrb/uxOghNxg8GYfk8vecjEJnB9311WyPLmB3dm
JRn2FjLZTKfM0NqkIoD01omBXtKe+sEB1F5o86zm2MZLKbCKCksiMvNjgXll1aSZm2HVfBuCrGtX
fQAd/i41Qy2+cYU5EQmPg9tZmeKbhIaTEltCnrdvy0x6SqDA37o/JRuIjD60K3UsFPIRdkSCPlxl
VkSqo0R7MNMkN5BpiAeOieVuy81VqJkXvK/SAgOhBNrJKo9ZdZ6OtOi/Nr0yjRZCj4iicyvTfXMi
+pheyjBMudOUbjDcWAYyGcvQKhh/P9AcKrA/gBubsL9OJfDHSAP4me1DrsBa4cjmRLDg2lSfQMyj
2rNFWWe5acdBmxuh7bpjAm3eiEW4jssKav0QQ5RcQUEbLUgSIXfXCSE9pDYo5LUFgWxs2rC78/j/
P0/6VLUcdk04lPs46Jc86aM7wm+L5e5abJOkU3Uj4UhDggZO3IyD4Gyr5eCbUSUMt4VDYLfJzvsU
6fTjJtO5SdBGSJ1yioJ/pkjBH7ScPB1+rEGhlO9HGngbof2pVg5y1mPHTaZvmK58BGHHT9n9QhUi
6hYNbEOeCp8bh56b9sVRqoaBLQ0LGjCqliBhRGa67omW8cUY5EJ/g1R242ejuOAqMoVDM/MSokH/
KVJGcCRM1dd2zCxsUjn078TWY6WzhWGOQ31uxMzD1uh1XfGBpIVr2FCLYzM5inRQ7bdtHIanivm6
AB+PrVVQ+elh4g6mo8IGKb2Beos0ifkCpYli5QeUoWJGN+8jVDGUdkg69xh5zPy4algNAtAWa6bL
7nqk8Vee1NY11xX5EneZ2id5kH8tk4g4XCTyUJrVxixDiue1/CG0FSv9o3Hw+wOSZ3wFoIzTNDTc
fqFUu/KR+y5dp8RW0ZZQoRuatCtRxXWD/bcL3xm+zz7BXx7zxswXNOhzpwp8cj5UaXZeNwUIRE0+
oT5Cf+hFP7zr097cz5n+1PeWXLZkQOFIm7znIXKuoCHsFFVT5WFjma5DwiA4TsA/DoX0gxNtxBtk
K0SDuc5RzCGjoyKJUDqXGe23KlLu4f+w92XNdepYuH/ocgsBEvAKe/Sw7dixz4lfVJmOxCCQxCDQ
r78fcbo7cbqS6vd7qrpdsbeNxqWlb1isiJmHpiPtV9VW4DvrjHyNUaQVDMdg+1MeVV+nKbL73FXL
33iRgeuQzgNzNDoTpVFt9hJFU7OnaS0xNv1fqlJ/mQCP7oxGMiLd/IGPAd3Hcdfvk6ZKS4o8tytS
0IKAxNVMSYE7nnpM/ZKwgodSn7cV+WRwsB0ywiEB4VPbnNIImUkh03RE6+d01wVQRh3DGdDhTrcL
ZDMMecND0pDmfl0Hf8edDEvpE3MjoRMD7xEuFE+J+z3U38kxqVu7FiqIq0fHhvYGaPx6I3GG3+LW
XB9wgrt7sA/20A3D8nnMkrZDwI/HcmoC/U8+DPVUCJeQo0prd2M9r04LUMSbkWe+LxbmxBcZtUHZ
ak1PkowdmNhJp9dE5wjv1bhR9d0aFszmvi1A4CJfM2zOCwF+/zleoOYpTLxGhyZuzApKK612kZDz
YZYRLZtAIfj3KsqvZ6WWuhh1AspgNr095G65qQwalRqmrwa/Dk8Cwj5VzE0k/+kn3++zrM1PadWw
G0uDL8zTEMe2rGtQgwInOESJUbF4ocpYx/qQ1mH+VzWvzUZVXmveVfcqy+ShFTT8NDPSHqKKsM+N
4R7IqpplyWYQB85C1WfJ6P7O+yS+x7mX7sI044dp7HNRdo1br3sXJGOZZby/Qlbu9E5tQqt1ivw9
gJYeGSOEjIwt3W5c4ug8RI19aENKQWy46ZlK2r+rqk6uRc2boEhzUV0HOl4LqvJMQYaKLrEeApAi
avOhVKlD6mLndU/8XB+Xka/7ymX+aV7A6czOkIPEi3B3Ml8xJWBAbmXW2XvGzI7wzL7HVZE95PF0
sl3s79wUurJf0is6YVsXNej3c8WVO2WO9fe1ioI9cWRYkIBl62MztPpWDXP0HgRe/VKFxOwC1oAD
ddads7WS/NzhBvW41CYq8x7c26LDW2j99mHXu3ciMfZmrTWEFyjBe4F4ATJD2smyUxXyztDkkEu6
8OwN+UIcZRedmO4ckTk6q2FiRUUGMPydjsAFcnG0EZc7wD7vgxREXbFG8fjoc7l+VaHWJcSJ6wkZ
bvIuXY2qMIty3uGuL6F4pc0RxJTeVRyBPIz8eF3JaXmCTBLcmO5EyaDnvEXGEYCGRCDKhXQ73uTZ
h7gP5WnVDlzC0uZ7m+CytKsHyj7gEPQnWDaDrwRMIvhXGZcrS6Z/atziLwmt+ofBMFKC6i7G3oQf
hVdib0jb7qJ+nqG5HSCn09zID5EX441V7cPQ99MVsL+ujK3V11Erxnvf0f4AwtHfh6TK7waICk0x
TtwDIWD2qJK+KqN4yXZDk827KZXJV7F2M/TBy+eplXPZIGa2BW+c3NLT4EYGicHFgLq/9JJXZUK0
f2CZy3dj3LMPUyaxN2Kmd55m7Rn3zwWZ9hQgYAlXOFolLw1gsSJLTXUhHIJGH/bkowNnsFtG/wR5
KC8jt0YnOjOtQA9w+lhVZNnp0GdnlbcPPiRnZA9hkduYsH0TgugvOiiydhAovXO6EX8FC1VlPamh
WFkn7+t2WLsiMMI9h4KZqzw26ZXIpM4QQXl+QtwMymEMbwbk6Q/eT/cTABwgJmF7PW0qTIq1975e
I3XFIZPElqiOXU46CJbBFedZ8NBA71cC4uyzIo65KJNOZCfgNNNBZGO7H+JJlWHGoazSzbFnw3Tm
uJQXnQ8rCD1UcsaGkodJ9YA/xglCjaU1wAu5uhHQC+Ao4u6jrEJ9DOaQXft5SD+TtG0/2UEHFzpY
XA4VffRZ8hSuyXBpcogonYvTsx1xV86mdNobms5PyJanK8rUx9rX41nWqTiYpuqPMzSsp8m3KSuW
QAxXVcSnfVKJ5GEQXX/vDW12GU6uuajrd0To6EPgOneT41SGlpHw+S9SVRB4+5neKA3kIarooY9r
UwJ1vGtY8rwELoGuWrV74NO8SMXcvs8zoY/TmJk7nY2kXAYN7Mnwr1kjEAKFlMcMwrPCyaE9DX3r
b2SSuGtNG/H3nA9VkQ5zv9O+NTu8xMP/Q037XkJiUEZNnT5CmU0PI2nGEu1bC1bHtzOi6l5L8sKH
JChUn8i7Wvc3LQRktwtbbsAFJ0+taborU8fJHkTqvHEh+aFaGv5ip3U5JlDqvyxBB4gvB30AGcl8
Tl09HVo2vDiCuJKHikCpNRdNItS+neTHYKLrzq5xWKRZ7a/yfC2gCGuvl/E67fEi7CLp1XxJ2l6U
Mgv7UoZp+1QHrHtEUtVcdybbFLKEp0Xlmqy+6/uRHPNU6EsrkoNisT5mS2hvXZx0u26hwVHWiTqE
MhI3ULgg7ET1dBK8hpJ4djW7N1QvZ0i5yGHJJrtb65qWLnEvA0Gs7VNL9RFqbH+nXVqXDbXkqofe
6kAzt3ycMp61xWA8kpRmYLRoWmG6gq0m2dHeL5+7RuoXts5liDT3oxIQUqAh/6hJmUOturwv1y6w
53UIM+iPmuAkvG1YmZpGATpKmu5WL1FTQvvN9m5WRpbQOn/ho412SecdjjRmxwIV8wF3NPUd8t5y
rML24CLmDyHXOEEdJ1cecaDEIax3EgULTjwOwn9Qu4AWI0ysxTS6ftezEVBOpSw0BJPdD23zjkI4
EhdDuC7XnA9habqoPoeY6peeDOIULZzv024ChCXWobmyuOmXQgbDzjhIFAqT8vRvI0ObH8iU0qLy
4TsAMTN0eKuoL8SN5POi0/bOLwsCAtRZZcyb6MA733bkMVv4VPMdnzPZf64mNbOkUF2bq/dQXQOv
u+I0q5rrccny/r1bZ4xaP35ZgmAt8g6ZclFbRnwsgF6lc9m5mu5oXjXpbpWi2wUjr8diFuvyFfCT
/OJytBA5Av0bv9O/BALSozWa9ZmvfLEFmbNlB8C8uprmzNwajU/3A+s/xNh5cbPaA54Y3DZ5Di27
WKNjlVLdF0Iv3RfLQ3LbV0t2BjXtsYNxmbukE3vvJRgQ4KLsS9ICLweY6PU1p7nbU5/bB6sAgtVM
2atAafUudFLuWNyvAsJUN52Sdsy2aLDukPVFuz5BChO5QRVCVM2J2TaBqohG12E3gHwOgcNXENfu
s1YuO8pWFYOLxvNCCL6elmpO/hpIQ5cC9QNVWgwkADAXtk0ZYuQeHKjSEsK79QOElHeizjCs0HAv
j1CSi91ci4qX4+TDW2jgo7Ieh2Fn43YxxUAzNhVc6OwuwylcF8i0pjOEnciRB7AcV4uq6/cia8cP
I1JP3JmG+bJ2Xjwq6gc4QzDYXMn6GOQjbl80UvIS8NnZAvqHec8mHZ7XejCPnKtw3FU9Pjr5nJ6b
wXYPo8htIQwxzxYY0N9EZ+bvrhfPXKXhTRJpBz1qFwanONJ6KrocRplpDq/TXOnHWS5Dt+Ncd+nt
tEi4IqT5mHoL4ZL2i5BFIENfZi7EsV95ATNT2HJ217Rr+1cd6vopqx0/QsVLRLlOJDriKjQ+NXZy
X6A0i0v40MT1oITeoUXdobY1NuEC1KYAuEtXOIgsch1TmWjHJXWfPLI+ZPwBHQrbL+u9SbNG7rq8
rR6syJGJGW8N6Lsp2g9ZQPZR6vOza5LqLL2vb6icq7OCgezSUtwc0oVhMYXBpzbr/RMQM04LRhg6
F68IGiFt1r8ahAqAXLMLS1+n/i5Yew/tkebHMZrbh27LkyAwY4X1yVgQE4orHoEqAccblFWV96eu
5gS6UQJfGIYRiSyh9obGSK6rLqRbBBP7fDUulVh2tTJ/96PL1B1p6iHet9AZxbeG4BQoAM3LrJwk
G0IwqgnzX4K1C909yYP6xCTYmKqbg/WvEdTZ8t67oMb5Goy48I73UziACd1PUxqlEAXGdnHXGBKb
ZYdeGMnKeCD91BT/RyXzAKQtWC5eLEcepOZ926rl+Qf45zvI8qN4m7whQ6AFAfuGl5ehpNz2uu23
TI82i4Mei7iLCAa6C/JIFiSCMGRR5yDLdly8gJQ9znV0FTf0ECT2QCXZZym/1ZPfoxzuHl095r7e
NeZ/pMtf24YKKXBvblKEt7ywIrOBuS1yF63tJdXIFWHxm1ET6N8A2H8ZgTdU17eHkI0kh+4elPDb
AaD1uODSO7tLFYXF9j8WtIcu7V+5wf8PSb5Ckp9/LLr7Lzv2NxdGAhL03/PxCyD5po7tf4y/0fZ7
32FJxv5vnsZgbrf3VqMc8n9MvKg2hfdVgizGa3r+BT5+t26gplsMDQv42O8vIsc5thl4CV6tEEfg
HHMgfxDoRen/AkrGG1/3HzJxgzth3oVkI46wRLeXnuPnP4juwEXZjriGfgU4NCLrjHSiA8j9NOQy
z5ROuvmIXJUOh86sw5rsxmihcikhrAk/ic4mcEv00dKkV7mk67Rr8qAzJ5erdrgFyaCRPvTNQvUn
2oz1AmCSsbaOSwHMiHxN4bWbHnCCpu3HLKOaf45VbNhFsMoAk1ekGtAUKGCtupMkHF23Ey21jS56
BwLjhuA6jSYLpch6jW3e1f8ESNvxOz9M6X/ZYj/jthDXhNi7sDonUNxg1N/S4ilRFYKlzL5y13e1
OY0KxpRTiwBn05MfxAiWDWBtW/3ThhzXmz/Q8mQj+H+cIyBokA/CtZ1tNmE05uc58nWcDSxk1Zea
AL6qyrGPaSyhyI4CUx8QgYUdd1aOIsE5miAN6e5dEq9DVJLEMxdfjQzK0QYAgomhlMHLVSEB+cMY
bYz6D21E8IX9BzrGrVIHXk6QvmnjIqsgkjYG/IWbTRjthE9Fag5tBrIlLDo7MvbS0JCPqGT77+32
57nZnpvkMG5E4KOBq799rp7WPu2DOPsCW2QLvmyGAAM2iYRHgAhdXU3VXcflOI4FeCBURSh+/3hY
q950O93kUEg8IICMsId+nhoBf1MA8W/8JUjb1MRwDoUMvpkpD8Zz76Gou1QB6QnspmadgFqFIS43
qB7ZYlD+15bgisFwGYUIFOqz5I0OAdJZDlN4aL8kzGHLHVbCPIHU2LppSPZVxhOGayaGAGkkg3Tu
pQ/X2eZ7yK5D7f4wKz8fSkkaUkiPQKdAG8MwNW+FYiOrwnqFbvgzzwES2WNvNIiFPUzlQ74e18wu
WCK/7/9GFP08FbiXwaO8bVQIbX9hVwTOcJrrMfgkIetWwWkZkYjJQi29HPpycnXik7JSwxrpAs5T
aB8LWoVyelSa1WvZBSD5HnMlYWHdGdrb6EHNVTd8+n0zf85XwFZBGwj3F6qopojheCvrzwtmckA+
kVwunxY7WiyCcAI/muxDmCQooDobz8EjUEWzbRpcJLcvUNtPf5ifXwYLZjKoBsGRQTAcJwhtPzcD
fOkwrrhxfYJQIEAMrxG9vIMuMxxXeh1zWG0/DgKmpI8K7n9EVKuVJfSUQbU+N4WRiLZb5F8lfgue
8Xa+Thbcff4ktCJvNxickyjoHOE9DpDBQnT45nxaYtfpvPPxpwFqt0DtcRvS7XRv/FhpmPJhH0Dj
glShEMQeSgzVr7us8Wvw6LTm5yG3bS1K5X24XitpuhF2CKiZOYgHqEDaBwZm2oMKj/MFITEK6pV0
VyFMU/irTcWdMX/YpuRnjRUiFYMjk4FUhC6OgVV8EzGwMjszw8T1ktKeAhzRId5gYcA8T3kOpcIm
gQH8sb5GT1z88TOISRFONEBz/GhxY8zMYXLxn/dQ8jaKQ9uDZISiAEaEonG/LIsGpSgUl71+0Ra7
yOxjILfJbUQktArxMK0YjpzD2vGs5LKuaQEE0wFFQcB37EEYz4OTVahW8GwDiBcuWcW2BGFJZoUK
E81Et+nphzjHEoK9ks4P2taNf/Yt2IoGV752O7QqjD4mqO9yiW/GsBn750xB2siLmNYrvgw+FGO2
0xS6FXj5pm3umkVUSDDMt8cD/Qsgl876pcaf6JE8oOVV0G25waipaj4uAwOndkCtCzI/JnHvAXNb
aAkKXFJsBGu24Go5iQSH64cu63jyPIczwSJLM4E8A5n9Jhv4fWx4GzUx+mmYopILSqpAWfVNEftD
LhbztRMk1+2LJ2qwGxscpoCDHHT27TmejEOg+P0T30Yj2CwgQCU4t3FHgXD5zWIcbDhIp2L3IfbT
thjdlGzhL4JEBoc3KF3KXngdeyxCF03jIG5TBBas0983I3rbc/iGGbyVDJ7EMIJK/E07fDxPBp4Y
9aySTo0xWImJBl97Iw2ikWyGjuwtT/vqfh4ygYijQVWJPfDvaO6B90NzNBcjyO7rlmfscYltm63F
4AibH8YsCKvSUA81HhZRKMFcJ6BqioSj5g42uwyxDvtZIrs487oZt50/oy7MHYoogc0BHmXjZf6D
kO5tXMvwhq0Q6QZ6jd5CDvDmuG4Yl50zQ/o0T12IJJZaGyGJnf22blENaBMKEbdg2S4NOAVTiPFb
Zgsl5bak46lGNYNHvrBtSUem8vDlVTqKtxBpUEiAHEw766E6ero22HXcqS2nJiuKATzblBhsoz9M
4pvIliEDgiwxQlTDDKIi2JtQbeJO+b7uoqdslDH21qjF1oAxiKdt637bx7DjrGgbh64KWxyxcgsp
VhscNIEkSOPJQrdv9QbenI9tXsP2XDlgX6ZADZieXbhZ8KlKxlsXVwGt4KEJUhsfdGbneChXnBfo
7h+69uYGgK7lBIYTvDUAeMOmMf75uByXBpTI1K9PsZi3SDVakMsPvvVV/3kMM1QO2YzBxj+nEZh0
GPsCqOhgq2SqFeveK0ZGccjjYHJPyFIthgPwd4zVF88e0aSrghxLLHGt3qLbhLC5mUMdwtqIjAQP
rEYe4l+4YxEMBRgtDMU4pjIYS+jEamwJCZ4d/3odny0UbqWvf5dpv9mjGdIFZFcpbA2b4eeXVJc4
n7CVmeD9jFoziA6v6W0ks2UGpJ5FwIH/FBbeHEfbI2FxBY2DY+m/6JFhC0TWqpf0/TCBrfg4rrBA
o0SMHzE+Sa2Tnu65C/oF7ug2XjHg7YwyAR8Vgh5GCQVG2vE+ZRBm1wc+JhmCwaaWfbCoYYcTQAXY
+OMCTx1UMN+mTcBZiKGEM7XDXsEu2qZDNMs2ESjhQ/AlX+t8fgh71aMlEKbhbGrYuN1Tfz/aSf4m
n0Xnt0MAQYJALPTrjQrpIJxj4bK+l9BRbCLEqYl1yR1qhFxY5BOLKkzSMhCNeRTlEIxYC3zzKmyn
eKGFRrYTXFuhgmSDfNO4NK5fxOewQlkmx6eE7Zq069svUG54+6BQLsh+dNDuuLtkJuGCqiCgd6gu
DfLHYTo4R7P5Yo3kS18wBSLqJg4tyXcd/IeAJZcRgryih5rR14XsZpsspViaGZsBbg0HkHIJaJ3U
hzwiU/LIgH4nogwXgppHR507STjyNy7G8yhTZGZl6lvnPa61WIr6jFItfCoM6iqxwwx+CjWwVLD4
99AGRNXzlLQCntpkjEi54n7ag5MT45Dv8ipyTSloK6B4iced6UPn4V3swvAINYGEhRM1DGS41ygq
ljytdBZN8JT34bK8X6CRGG+DYeyCB5wY6fSFWsbsk4e/twME2/fwlbzLF982R14B3Th4aCNUX+RN
v3H7qfWDyT4RVWcdxCu6n5cdlspqvuagiAADN60bSH0aeWdotsM9gLbsyBUMWZecpEHTHEFTR0Mr
v0I3EY8Y5QWiMpvcglKZsaQ9AUUr36Hwx8jCfdclWqfnCXWSZHvT0aUxYl/PYnTzDWgGUVUHnig3
0Qe4mmNzZnUit+o9C65TAOFnH+JYb8HJOIhmgoSZEQVgrK/XsxMDJEhHWOpx2pRN7hIE2FlXE/27
DyZGhzMWhws4xMBIW8hl0si6cpBhcbawuzZKAY/fwea1fTOoKvggC9haEjzO90NiPvnJ5NCw18yC
7jih4EKQpuVa02ZKj0sH3w9knAnwaHACNKjQHRGjFlP8ceEr3tFT1lTmVNytTjud3kPiULv2AK1c
EOlzM615Nt+BoIX8qzDwsCNwpXaksnlOBeeBv06SdsBIBatByL5F1DaSXgcxt2l7QyoUP2jv69rV
Gd+7GoFA7PsKL6WzJULW1qR1Dtow2odCrpXZhbqp4ZDtxjCg3d+RQFEDc1B1m+dPKBRmDGQOaYqR
jbKpwglSEia3P4L2I2UpUFlqy+kTsFDbxUCSLmaHWrptxOIWfuAcLBmKIz12UEkhTkGiLrK0zN0I
g/rew8vOjnBHKnxOv3ZVjtRj+Eyd4j+cJQN8cUUrCS6ZHUEhDXZHdAIF1F+kXbZx7pK8BpYUQMuL
qYBaN4NmwxhcaMzBVhUyrdJBqpiassoknSCh7pPJTM8jih1UHcYrkL4/ygll+pbbrE63JleYae0f
GVYWnhDjR+YTD5ZtgTELwH6+omuA74GL3IZmngk+iiM2Mw5tmKFhRx+/98faODafALhJfI8uumeP
DYX3IS4TlwMAKnQK9Xi4/756OMSQ+JNpHWyd4+P6bTAmrBoL9fO3HDennm7/igfa3MZhZYPH70Md
vH78X4P8+jkgBdB3p5FWaADpAjl/aipUVrJHSA9WdNpE0Gy1hYhiUYWPuICLPi/o60T1HpVxxB43
78mKc0dyyAXhaJDzyu5yNfUYpTlSLT4SaWBsFoqrmEPDBhnKlvQKRSGwLFHdLjSf8tcRRFWBBD00
r32SUYU7Wqn7jjlyWiGYwa+Fr1P7ujwYb1qMD0sq/AZ0hu3W+YWtEutUELj3kUgkkuGbK4RBqXzy
EM1P4xV6Gm/D+7qQ/LROaCU6uf0VUtkBv4fX/sRYXcMot6a/DmjgHbjXsodjPkn3AUz1TX32EU0X
DS8OQKQQJWAmaM9v8lpsyMfgML/VnEbmE2Giw/IB56m2ztsZye7dACx7+4PRvH1B3bMMX9ou3LaD
8nRrf4fSWNI9Ta1oRXWAWAZ/V5qYiPjUDCtqB17Hr2ulqod8TI/fhzyvZ4vmLFXc4I/gBOjx8FpX
Dc75mRjPwidkbjWETNoEY1eV4SA4Hk5ribouqC2hgW22AAwA2WCa5HROe7FtZxRy2YCeZp1YnR0a
JIvLehXnQ7v0pzHpUcmlbPME2s2CDwL3fJKTCZ9HSYABX5A00vaiIBxuL6tywO1o6AigIgMsv71A
w84BCjhb4+lEin5+ZijsiFsAX/229l2OUF4flthEiDCZle2U7VswtvgItCY8H86oN2X98gEmjxrx
RrR93zSn73ByPbbS1odJtrjvfob+J4njk64lhuMYf9szps9aDBjquzXcP8cy6934ZGInHTuNr11f
cgH+eBfDd9KgRw0KLKK2HbRWiHIoEbINH1n0tmqAV21L/BU/zYbGYQTIFG39HasqwhcoZQw+byqg
j0EBHwhw5TyJmi4vAFmsTN3Gmlh8Ah747Q47UxjwH7+DLJ7Q1kIx2RnLIwiwjcff8K/QG8e1HKih
oUkDiJKDvWcvSuHu1JVjC2CCXquGbftphP0JILxoshGhMmYcNTQvw4pIU6M+BfwxUDtV8QYVRFPW
AIuv207g1/EObvTyg0N6xoMrxwdrq0se1xtI2U847m7ThsdsfIdyJGrlexQjQJG4A3OatgNo7QDl
YYsUIBB7SQRExQaHqcsx+R5lONEr1qnt2FCUb8vNRpZg8b2OZD32QKLjKqzi+cp5qnj6rvGovPdo
kUwDVfAahSRfEG+xvgKnPUYAztWtD2DsUWPngOvlhlK1FfJVZNa56h2UOPkqDfmULC1rL5B1Qvp4
SKJ+GIN/XIWqg3yPEw0loAqYPhsTlBm0I/YZiKRrxvfwT9ZClJyusLg8QBJIYvMlR3ELE30YUH/S
hkfbTLPKUZXJD82zTyZUv4Ovg+HCUYyE9MgpUVAin8iEVa5gJSlnfDNIwf46MFPL7ntPXufSaOjS
aElBmG/d+hZu2nbe4l+O0kT4gux/27zVoLZPwNCFMeN1tH2PkhD1q8pVoFbTVmgQ6ITa4+a+cRtV
yzW2skC2yC8eXlq9r7FRt10J5QN+8n3JIqdEJILNYPvRKwS/hdNAlHZZbZyCt7Zhdj/JVLi+cPA1
YaJXz/Po7Ey37XIR+A0OHMAT4UuCtGw8Gx9ifSch+IcLcMut5ajqiF/9/iBqcxxpqCeDyX69sXVV
7dOmqDs9Je+a14DVvAKNJiMbGI1aUhsIOVhmk2SnhDI9L6SBw+dxqqhGn0cHFm+GlE9saZxMFjwj
ndutWdO3DRf0Dc6RgtNp2+Q62mjGXedgGIp2KfcQNhRUDp1Se1m32I2H1wEBDrwFvSaDJRbhHbqZ
+hpW0jbN/gB8vbnQb5Zp8K14Ff1WTI/8AivLERwC8OroUaK4D1qdCrFgN8Ay3l4MVAJoRDsDeJHF
DPE32v6H293PXMX2eLhTtjoSeDEEnv8GfrfT0gduSAFVvYbGGhgwWoF7AHbS7x/1BkDHbgpRfwTP
AmSF/2fbtf4HUNFljck4Usl/rZGwWfq+NJonyR2M99vqzpncJnWqNnNdn9gEU/Y9OP6+LT9DCBBq
YP1kZHsfCehwrPPo57agvlQE+LYWj3gDHcJYRcmWjw9Dhpp1vkfq/Kdx/vWBcAAzEO5ZHgFc3Iow
/tj5RtqQtCrkD2bpcFCIBif+GaVNEea+7+zfd5BssN1/aNCth8BuYfSBpyMioKPePHBp60R0qLX0
8D1iOOk30B5GiJXSw5IM2XyoNff23eTitd6pqdvieWwRGlAaKMF59IcW/bzS0SJcpTIU+UD1bNRS
+KUmxZqHgUvX2Dy0r5vKIa/DHl+mhiOuV9lcYQpkMq3YmXmMwwGpRSC3htQ6NhMKyRnc7A9UxT18
DQtCC+ruGm3wcewPTi7VGuM+WbpXPku/htnfd+LtNGLiNrM9BWMCi9cvxQ5w7poxWoL5Iodmi0yo
X4YZ1APtpndrkE3JH4pr/Lfn0RATuf23vTvn52WTLshGIBCbLt+PPQjUDMrWom4hRTHqoRL/E7RG
Q0D+BPIvbAz4w5JfwkEMUSmBNavGcbNlwUiSt9lImxb7AqV0tgPj9wO6xZcflikWBOgnFEiBKAVM
8S8FUtzql8p6Ch8Q9LINLVOl0viFWWyYP23BXx+FqUO9HhRlwE3/l1qXikdqnQQTp9dUZKZAR7CO
IqPw5fe9+i7F+KFjwArxKNSsQjF6hJDsLV0YhuBl0koOR+ujUA77CJWAMZRTCAts/8/gO3DoZT8I
YKt5oVBxirBipGIk6hqnNSQ4EPY2GsjPTZQAewjvFadC9CfI6sAJX/hSNWSBYywC5fRhMKhtg5qY
dZR0Zq/ayUdjGfYhG9QusxRQ2028wLDH7vNXPq+BmSOI71DSGP7W2wb+oxySmWlmFQEmUkOqccJF
I63Urg1qjan4nqCkAX5NFs1rWoEMPcNhwb6FsderRuNChG5UZIgQunE13NIAN0ewNZ36CPakCyoX
4gNIsdiUXuIBSlakj6+5jQY5it0eotYlCmY2w6hQJRF1VvOu2qEYRAtn1r8gD4NjUxbfE5lvSxXM
msP4ot7MdoinZgayhLtFw6K9zno8UqGyNTKFEGxFJcp2QVGG6gg8v63bpxhpbx5f2DrmiT7XLAw2
MGCAQzsq19d7WO7WITY72UwKsCsQmBQsQ1HLMet5uZVQdaEqDF5MQKP73OSoXbEXBsWqzHu65rPv
34Nv2Bgt5IAwgF76cQCJ8L7SQJsF3IUJ5AQHCeM6qUtFkHT+s+LqOWTwMSwueiHwC47ZBbAZ1++6
PK8bOCC7IQhxE0bgWMYSr2MAl77v+hVzu3NL5GGDCwMgE3OJ1IzQrFyTlbubJh/GAWrUtnYVbtN5
ZsGLwqY4HJPw/7F3JstxM2mWfSKkYR62GCKCwZkUKVIbGClKmAEHHO4Ynr5P6P+7KjPbrNNqXzuZ
SaRiABzu37333HZePn1YjBsZIpcNN9R4AmbTW8/kxVAxvRAXye3vtWhEDy/8m7Bj3a4Pfdn6hLv/
3mcx+L7sEyEBXh46f10a7Z/dYB/ArGJHDa0f/LuGVdFZrGTFEPAy7AYS+dIYOvrGIj6Ez6In6njo
Kq/wiI8Wy7O3VV6dbhUe3MrVzqkynf2qm1Z9YpIxPAWTbycgvMu7oJpbrO2unr7lXNQnt/CgO3D3
lZ/1JNq3wqzw5UYWsZ+wdeYjh11GSnbvXYfC/DE03I79IvwbsDQiDdyy5Ns1jelQB6ub1UOl7ve6
nc2MXfmcwXFyWq5Yv/tZCvVsW664nlyjuO60nDNPMoLG+1Kc9KAiUmhLiGG+HNH1RfVFMD5P21KQ
I3T7PvXyaDyDdekOcBZRgXvhufzqcOsTt+6Dw8KvvAo5j31O66CO+B7yrzFq2mOzWi1Q0agmIVub
w7Nwmc3HLSMaGRvOULws6x5+tEbvcZRX3bcltKvMtGfz7NIXUGFBNpwblzHdYZolpZh1kD8yPCQi
VM5O9GUh9XCesYT1pMHYVgdBwiGzZDc/Se0ycGApSOW2qrMjJyKFXreESR6AigjfKm1H2xUOBPVT
2m5tZYMSM8ecqiPhpx0v/BXOXtClRm5M5y7CjpC61lw/rtohloRWf+1J8A9JTmTgw6yluFkpDr6W
vnW5QnPvoqEWeoFApdZbM2j0FdNv41w1TmmnIasfyTmgDfEOAajk2CyM90WMy6/RMNaEjOP+Qexz
gNqbC+yD+y65cstWgI+xaL8gfLM069lXxYg73hLV3WYFLMQcqRINWNg5E0RsxXlaSZXaQtnXHvbi
mEnvq7dsP02V53euxe2jpZpTRotmFRfEKYPU2wYnc4O5vxPAPN43AGSH2kTepmNBNXggYF1WhQd+
VDnuB8r0EDt22x8HBgWxbXbz42r1zaMstxm4+jwXL2O5jW/TilU7Hle1Jrl1MefXvD4U15CZGzfe
Wu6Ju4bLQ2TLsk2gMNcfdUeqF5Gne+2HaoyF0BYdFW54JewJg/ZkwiisemhGIQmimnm/RnYABsnQ
ZybHa4ycSFVxQ16a6FhrNdHHZLCpSUP2Z4Dkazk++IsPTNYefT+Jqj04zdZQPuDTwduxlNOLPfSC
hNZqHWuh/Y/JyV8WzskvO2To8DgKlyzo2BW/Nj6QYzkHSmVsA7fneYq8PJ7cEcW2KfDLl1pf+VEj
jiP7UCsuAhm9RP0cfZK7dL7VUz580uCy/1Jc4KkOBvvWxVhwNHlSpOM6zs/sL40YVoi+MSbZ/NhN
kKBOS7wqgaPr3pUbnRM4TVmRSGWHzIO8xj8FCDOJkH19bDw1veDtcnj92j5bZg9dgqD5O3O58SHq
oaJZWxs9k+3erwtZE4ELWHI5BtNz0rvmfJ6Uuzz0Mp++YWZ3fzqNZnGwx434FHi1DO/kcm85s7pe
p2C5qiDM0M+iwv6Y+x3A0NHHYcnYA3KnMeU3eV5Oj6QMypeQ0cn7uIfzNx74xYmbLbjdLWPGw+RX
B9iF3g0KNxmGmQQiLP6td7jeyUTthTE8NIzgH4p1EGOCM8Q8TAs8bDErl54Yb99vpshV1xiVGqYD
3fCtcPaoY83uYGQHDShYNL9Ei929D3XhMJmfjC8jpwAAqA0p0SpKtgsCOUwDxUg7vGk8RwdzZtIz
2gIWiER+sxiieGDK0t4Z7ta/tvP0wc8UDHor61V27GBqFdR3a1Rjv/SEVZ2jQdg/lJGrJWlBON9i
9VEvla31eCTE7bhJVFrBtZsPU3gg0tZH564MRYqO68JvRu9OAZsSm6n3OdJx5+T93WCg919vxhjw
WfvmMl86bTRCj7VO0ESgMnb3zuoaj0EfVdSpQMUbsjIS0xNpGt1lSL5bed1VzVClxtR7mBDz3DKO
gZZyf9rIJavyeNl6mGk0roBxGj61YSmac8OZfGoT64KTSrxO5fqWaUl9gflaxbcl2OkLGUzoutj1
citdLLaIUP88f371Kk5/E+vIJGYAArFZ9NiKTnr2STnbq9nX33Zny4krbOtoRupss9iZV6GLInAc
262f0lJLTz3/xT4Cl9WSwJkIHJMkMlwCQ5WDaya2yds9/oUuWjho1on5h1q0RPVKYHFijn/776ii
2p6rhFap5jwb2yrr+3Yz/Gh3+Ph7c+1S5jRdc3FpCdvr7ufZrcM53Xxo2DYDdjlwP4TIm4mC2dNl
rkWc94ZwXu0TKmPMm+zzSnLP6TaEn0DVzamvXG/ICoTC26ZiTJr+E2LchzlOSMqvJ+uqKSaBHKm8
YCN/hfrtz/+GFA+o4mAUd8GJA3yZvnTE1sSZBDGxYcgtJ6NexVZ2whauNIYEbR4r2hIHpf+0Ge5A
em1UBMTbhJV05h8MIETX6ieLEHCcrBQtkGlSTiu0oi6wgjITgLw879YytK9eEHO7/FSP8HEKrX/s
e1m8FKQSi0h4F+Dc0j0veDuyPMyno8nDw2SR8Cfkr2C/bje7vZucSoEdmKJEAHUQcYBNU8Rd53XP
U9/66TT5W6zCymV91XP3cy7y/RAMLTJesRJbaXiuJNYqL31HPGzch0iWznOAgWhKK82sh+uBCwYU
drV8WYNoHgUgqDCTQVDcyKEfnhXM9CJTa6FzCn66Ioip2omuuqEeU7sf2wPsAY9TqGll0VwO103u
Gbd2s7rXtkC0BIaOeB1xLKKdKKe1kwjwcV9pKorJp7RdakZ6lJmw/OEO/+CCdXFaCK/KxVyhNhV1
4vpSiziywBMkA4ZIdSV93ly2MeR+3sGEfuXo3uOxRl9LJ27KBURSM93xlOfhX/lNm1Y1+wteQv7E
U6c6KCouEtWL8rWuCusHk7f1gGknOg5m1B0CEdQPRm1Oie788s3su5e2xglWcHA7BHZev1OlNQ+x
5wxkEM18Oivbydc4n9YaND3D0XMubN50YTLhrladcNh17muOJWe9WNXPpnSCH01eWG+N5Sw3GuU2
9cQ4XDmMjF8ZvttknKOdAiunNsdbP88d9q0sjpeL0P3pNpfD8EbTDU/t1Zafg6ZyIWv9CiGUYfIA
TNrrqyGRE9QhtKZ9YFhINthKyAWaRGSNqvZuiT3an2VZzg2ABl4DEIWAoFfD700Yf3FNlJug1MdX
dpDO9Dm0E3utpjh3Ypi/C05tZdIIxzF/8OAlFBjRZKNPxtz46Sxq41SNnv1y8Q1A59eNioFeinvP
W+tPYpyCxwMnz8OgctxQQ+45N0h3E3U1mEriqWBLc7NKJT4be16rRDJm1PC7W2gg88a9wk3JOU0J
pphfGtVKxyhyOutrTXHPCKCdhysQjdPFNvrLxUKaH7qgnK9duow4y7IdmdM2H4GjGGOH59ckL/46
y7Z9D4Rek0Y6Mm1NYzTv1BJYz6hrYYQriD1c7M9L2R4XNlVnVr9+ydYRfAdbuYitJy4OoAkOzURG
ovKLE2/rTE9kk9AkDHCkcBElQNPJRTf6UGgfKaVryOmxSZuyyzFWJ/k2VuSOPafP97de0rdxbw/W
IlNOFSSdIW34wy6SyVJFux0N0wZwde+DKwjjxhor56PFNmoAJDHCtc4PCGbNat425eAPUcJpe3WJ
Wu4lZIok4IFLJLxEvyJLrXBzu1va6y3vmustzG3HTKTiACYeWmj/PkVa2LwjdZiUGKu3omjcoUgX
bhVkFNI4Tj/Feh2JMx8K9mr9lQK40P2Wo1y1lxEcrjpqjUa0tufctNFejmC0qrknk+5SffFQK9Hw
PbjAUCvYA2A2FtSbdeLt/+qMKDD5HGVNnxJw9NV781CZyue/hrWGuAgOcxtdRqO2la/imn7Yi3SP
X+Cig3Af7sEXYUtz9Y/4qnfut9GSUfWuBNSFMu5DBl0GJ9u8XnweESzH86sCBjuGNzMbyvXOrCOg
BokqpBqb4466xbfFI68e6k8nVD2geA/Q0NZfO4q3RynJgMtCJpheKFx4dmZPVH7mY1StnLOp1LgN
+JCqmT0OZ4diPAgRQlzApjekDS6kWxszF1t3EbFibhG1WKBwjuBrum0TTGE1k9QqwVKl2sXNih4o
YZuJBcdNxOygH8Kbna1fmOVG6+eoYDqPiNpa7hgRT952x4VEMnWvIlTti4G7Zo7tgfAZeEXunQy3
Sfdl9g27LNzvwCeywZdRmeoJn8oa7/aI+Lj7avvjsj9HVaEfPNyxJ+bA1c1g5k7S2L66ra1t6zLh
dJi1dIQQLIz2uY7WJbgC6b8HsdOLzY3Xfmn64zSbuBjXUMA6wkLdfIndBMKWTy5URp/nqILusW9P
sjKWlQ2C0WbsQDkh5rXwvOPku3OX5l24fhp7vm501xWQZZ7Cpmq8dKn6/ucE54UaoVpzNOh3Q3Ma
AS5VZmwnJkl9htfor8JYLxMXdtR2n+xNWRzIaencOHTKCjHn2BcyTm66A1ilzZQnSw7Be6uh/Mkk
yO1iSBgoVh4n1ADKcBf6pkpt01PzG9YHbBPxJHDZJXg6Rs0GybLxFTHcuis4eXexO7IPv10R3NaY
9pcgCxq/PQPDILaN8ZpwBd460WHdsDcl07D3YHIFxlxCMNn4YgJqLWICwuNpFO1YJ4qB2eeOYYFr
I48elWEOl5oQcfAtsT5sfNmpG+VhlNV4K34ZmJcYHtaiuDFYhuUPDpdL+RjU3XTZdTl2dWIH4wMR
DbzqkyXS2Y6OduungeKOW2ySxVcxWXzy4bKv2NUASMX0i1RrLCpzeQlXTz0sEzyXO0GMDXU4oCph
4ZomrNB40ZPF+DBIoxp6jcXQAioJ3pjvi+OSI/Qa6Z5oHqqxJ07eMxWVw2GmfuLNn6QVRwE+xHJq
dxz6ct9iIkfbHZlKG3iTkppQV9tjkI8qHekrkDO402S/Ywct8gVQEPD7izWC03BCYBr4EwoROis5
4kqmhXY0S69B3oEGDciXKnYKObIp6Dd56yihbgrbAt5teoUIDhghxLdlDWZcx3PPu8QNEPxwp5Iq
yY4N+P1oXHa8MnTDPmZPvVV/+C/YUcgVl7TlEGBnLKSXh71jAhDvvhAAZjQGu9Qxuwo208rPFB52
OmwjHQ1wjvi9gGTL7FyuyTJ723vAaqFhe/STSNtRh08SfKHiv/O8kQNBxRSos4dbB378NbCcJsAm
lG9dPFl5dG0Ypf25tVVzXmmjecCrV8MfCu0PUjGqR2cIoi2pPFkDWaOXZ0vVAgsgbqdwzjNVVmHL
+guH4Lq27A38ib94r0ZeivWOyRVkC4wc3QYQuLPeaU0soIFhxLgbcJiYWQCUkkNBZJNqGHPT6zJY
kuU3CAnTkvDcZFfH/jwtnWn8w83x7xcHSghzlyG/owvGeRtxWcCNVy2MiG54m+YBqmMF4Q1GLHQ1
+JJc8u30XhgLJZuNXI3EYOdxOyniPZK5y4++UMbVVHNTp1PVBPcz4Kzz7I1kPagMumEuEJyM3Axf
mRhXAZdB4X8Ke3ey1TXlk542GwzCMANk0HAK2K3RhepFPSOeQMrwJJ2y99M9Mtg40TqyHntqJtsn
0rJVOjHcSicudTcZHQ/6DbW81/02lHgDF+utzLf1LQKGHwupTKKTXpN1IP1+Yys2U9dz55eQ7f7R
cuGgDjjQ30x+xIuNlQ8Oy/8bmZvwdkXkPwo9X8hx6gOD8vwglAk1hvoH0+I+2OlxoVGHq8HtjjwP
JvC0oXTSMMCcwk/fLKM9fa8ZdqThykFlpBSY9h7axl6NsHWf69Jxu8Rlqk8JTW8hheG0bBzn56aY
/k9ZI5gHTZ88oJpOp2jgpJjeONEOnXiaXDm43v1clyOrvAzDizdpGsk/YxJYYWONaA0IjsO9u2Gl
2Y4LVFaEBSBX61xemars6v0KI/c2v+TVung/PQqFmlM9hN3sJrk7mbORhtpzl4nFq8HNgqaFP6KO
rMo3U4x31s62MTS3KoEJM5nrFcwdppgx/Ffv4Lr9Ev7w+35mURlF064t65hXwlVgn4dPITU2vwCS
NVLUqrEjs43HVbWRheamwcbuelhBSzH8MqnVovQUQROjXibFsjUlimVVNLiFRJFfTORcgyMySFEX
uzk+aoc2o+pQOas/Ta9DuFDJlCLEhpz7iAxBUb2r60HSE0o9UOhbmSkcJcdP1eza2mJ+i6i2ZBlc
tmTxLkpWhlNOTLKOEibWl3fi+oUZtceyWHUwfle0htoAZPKw4e/wwgf+em3MkgPzdb3JvPXh40Uh
6MX/IM/9a0AE8Y8ANQ0o7DFRpcFm/5s43pucOepVRD/NmhTJ36q37Tce8tPkdAVuzyW8VKeZnTvZ
FHFOLSbNuEVHkcns9GvwUv8Ruv7/r+tf1V5eFhx9n7gqqHDEQ7Sif1V7K28jmlRUwVcziIvQ0v1l
/IDs2HIhGgNy2X8QKv9Vk7/8j8S4+TQu2WEk3wsq4J9tCQwNw9kkL/Gr++t/1H+5ahyvn5DmJaA0
hQlOm6tB5KOqESv/+ir+l+bwHwCzAGBdvv7/ir38PzyHb7/WD/nP/Ie/f+JvkkPk/APPDmlQ+jz5
Frmt/xswa/r/YK9ESjUE6EASisvo/9ax+//gyuevCEUT/aVq8r8Qs7b3j/BCfsClQ6kNsrz/P6E5
QLm1/1XZJ7jpuTYlcjZ1ASw79sUO9E92H1ZBA4DRYOIZYzHXhssWr91+/lnQmTqPWWlYMl67C8Z7
CW+lFPrN1/X4LAZsYuYkz/QRlrhLg/32z1K/4UnMj3oApo1v0vhQQUDEwR9MaKlhDmuGTs1CPvQB
Rr5H16XUuIup27OCK/SK0L6LKCscXpjmUKlGods+AF9tZiFuQzGZMMAgo0OsipuIWZdLDLap3cO+
FybnT7EQaXkhjDNDUkIRbS0IhKuPyGLTGpcFpenKQ9mCHjrPblExmgRFHZoXd8EG57/ikWGdg2Gz
X92NrV0T74NFnTokyjWEJUQh4pWimIb6aIqAg/obLcKGohwTKQvJefCGj5r+36/Cry/wbluucsyY
K5vAsUIZYO/mGUqv9sxLkAiBA5sudFGZKD8qr/OaIQnbtgB2BsTzWuNwqikjoDXp1BUUXFHWDhm+
JdlxqjmdZIsZeu8bT7AYHlR5qiRtaC0jnXhVNbbyfjjV9vKKBuoc63mBZ0Z0+dQsRQlDvyvK7wwx
gcJvgImCcL3FxkV9olLfZdFRxt5eNnxrSVeojtB/C//nvOYLbtrlHVekTDj/kKB12Ho2ryvkexRN
qz6jg3wW1TBlkMQUCEBF78RudEfFR2qAoI29QCxH1qvgEFJFjzHjSe/VK0Pi30Nbzde7HAg3NMXd
Xo40Qqr5fejkGaBuf2rIbwNVpI17RzWTm/CvhSDShyH1AfliiBu7eRWMZlMki4FRrP7lV71/2/lQ
0pdo8GPJ8hhHShGYc/IUe3VzdLVLefGu722czCQJ2B4VSM2Ju+jyhmPLdBvOi53BQjVxZ5OI6dfd
i3kelgnD7PCzUrY+dppTUFiOK8LmtmVi9Iyn4nKe7eviV06R9z0lys/eXK3kMLYWuDFIT0L61alv
fB8XHX3acMV4pvWeOsy0Il2xLpSHabKjAx5+N/FKIyLbs/wavKYj78RwIGftiJuCEAXF7tXn4LhD
or2+y4qCLTMiiUyHweli2c9b4tF2GXumbjPLAJgW2us3y+vx/LbNK7j6q33vccNLAeBgNr57G93t
DjaMczl6uGmFW/3GwDr9UHuQ1NYc183iNrHUI/5ibGBshRnuUU07c8crTk+p4+7G72H2EaY0PBlY
bcCIinSq9b5d9CPjZDemetosvQTPrduIBx/5oGenj8NZUChxcIaKoQUEO5lYiCffkOznZDatvThW
SMDnXhVTl2wOoY+UC6vZ43yZYYRC1DBzrR+IvFqJ1lwWRaRbytzXdftCnTTNrAjc7azmqj/Z87It
0XHm0gJQQzaIaTOvlvy3XObf5CYBlAGi45S8KlXS9ykj7rUlGveYvKBY7uzQk++SLSRQPdyr+8HS
nXld9lFH+CkUSUmb7NFEMo3HZsFGWDN2wj/6UeMVQUYojAz1jGOk2FGsxehk0C8uRTt5Fdvh/raS
THsNKg5MbW18cEt9t5k4xZQ3Dlk3zigxo0tTDqPiqbXr695gDC5Dhvq2qF47Ti4E74RX3drTpq2Y
wnEnJShuPYxd/jIyYSYISFvQjYD2eLai+cBhXN9oVYknzhvGc+PK4MPuvCotmmjEThJRxU4hJbcx
vhWbuqoeaggdEoyntyFjGsohme3wXSvR0vg9/WEwzO04Xe7ahvT0Y7dr55CPdLEaY1seg1Y/tKVb
UVgrT4sFI5LIDbiTMdzDeMv9/hHL4ztdLN4JIED0c7LlI7aOcok5PjJkCuc3n5MAaGnTyGxHX0GR
DLFHUTyN31vMv/PBxQRizMb1przyEGplpT2m50wMaxVvRVgQcbNYD8LtDhBxc78bpr7dqqiO+00F
aUVFHPPOmlsrsFVGLUJxLCNmMriTwgS6MWBvazpuRjGxBs+3kWLVQqEDgWgTMTLJil7R/MGRgVlF
XFjLk8IygktkYJLmIibz3qLTuK5H0mTRFfNGCkGtFTanH3U/IcHpzDQuzGvLAFormzGt6eBAGQlt
+S2q6ih1wmZLR7eNUjmPV5ERcVqDj72OwQtnUvCT0aIOphQ06GwRfcUuUOeyX8G7qm49G834pZv9
tp1zRZAaxWhfGAyQwOvv4VWZNyRPhqw3t/qwVDNwY3BqJ8MLSMYJGk8451Q0sTYYMELes2rqNkYF
ZL0bfYQuc2OgGlgMfecfNimHa4BNOYHynmSVs2yx2GrrhmtAHmXllsnSNL+V30aHVew/Ck5UzIwi
1rJ68/LbfLByG7weSz9C0ieTgiXBBjU9QKzMk1Jb8m4hr8vDHViLbxbvg+X9FtH4y52r9tB6bBj0
6n7vUG2TrpHjaxvyq/bJnZAO1/k3Wj7ndFk3nJ7xiwVyKR+wdtePkT1ARA/t/YbkDB9D0PxQXW6m
LKa4PIZKfw+3gQfG7EAGBnZMlauiDTlkXfer9tPuOf939jZcKbcjm6cD7Akgrw6ypu6U/PiSkRpz
E+1sn5IzeqxxtMdLxGtYGJZnZjSGr9KEx904kpRqD1zRB8OuEGqXRvDy9dzU79z2zXwL7yr8NgYe
P+tguZgUah1o9sRoo+JRyXZ58DBTvwe1/+z5PlJSW9xd4hcnh8I7J1nLGki9zPmgy6p0XyKvWRLS
nhNR9TBz9xzPFgACBjVKLxsWPqY3la+JmRaD/eX1a++lG99zbAtruNfWPp/MfQ1OweqFP5YGtr8y
15+Ymef73XSMOtO61KdazM49kH8NFBz5mZVVzBqv/5ZEto4uiQBs0MLsnkbOY08Ls1YTXUQbbDFs
Om09V7a/5eSEjI9lXfCd4mcZmLpO/lEIy+OW6f2ZTIWMdpWg0vnpVjjPHICRPqAs47Kt3yREr8++
GM/tUuZ7Wg8lcP3C+YKji6xJF/ZPq6iNLiHQHl26fNV6JZYBFalqylrRor2tP006jlMxKPnMfHe8
oss6uNWl0R6j3n/Y/f46H4I5SDGXDuuJ0qCay9nXwVdeBF1S2jK4j2av+u4xE7m1SE2kxDLbjLJu
ZpEE/ZhBYWXIBsDWT5PjThWCtinv1gbHSGzmgxcHs1BFujN961K9yu2+D6v2SEaPLHuwzAcLD3qG
i18e58k3jrVX5x3mm7b6zmrWfOcRp97aZTWfm3rOT2YdVFemt7DjzUf/PAI9rAGioD7hTV/a18Ku
6u2akO2lQaKczpFhc0OU5tJkomqjsz1OOqHwy2ri1e1F6uuCxKkpp8d5X+fvZrgTjxaohaEcouuh
rud7t8BfBKlsarj/hpqo1EjmvPOgtLK72l+p8URx5vggl2+FxQqL58zFqLdHwvFjGK6bzqqa+4Ge
W5egCPVq/gv4pN1/KxoK4lMgsjxZcX9H3IgT+PRt8teCWgTXvyPTXL7rgIp6Nivqud17WrEYphq3
bb9W73nn9YcpDzGTdPvaXqFLmWlN8TRSidsYYSy7pftu5mv+qPmn9GOzvE5d9Lx07I3pq1GffdeD
sysDyg3mvaCGly1p2+txjmfKR79Z5QK92gzsIwzO5ob5zXjYuplJcDG2iTD2VsbeJLzDYvXLY+si
36fenuNt1VWT6dpSN12/q9hFCzwpBIAHWzBQewqDehruMaSvXhoxKB79JsEwb7NZoAA52mSIyGbb
Qn6x3axCxSw0GBf3eZgLerpYxrYhDJBF6qjsonipN40tAeNMQumWlbWw46bUgeQei5WSb7ZOvnOa
S9/7bodVp9J9YRh+AsEnrM/ID/OUjtW8uKk0MZmYS3iqM5uSLUqVlBb0KgRUH5R4Sm/0bIiTkpH1
hNmLs4A1GscdU0yqwdafGf6LKzIQdapmp7oRtVfhsVbB724a3J9/SVZTNc20DHTim4RBXr1bFk64
zo2W25n7MQ7lvnupz2jx1xCK4uSrji24NYNfHwGCve6MjrLKZ3XOyF42B2nL/cNkY329IIrTodLe
DYEwjwO/9vxHChO0lryVq9s9LSQuz7sA82d3rkghiDroUDCwMhIlM2FRlDETYskR4IGVTFMNZR9H
Eo1WQL8lu8iMZsYo2XurzgqedWzOKeJe7WnOVBtcGaLXKUZQDWK3ig4TVuUPz13dU9fgHsobViYa
kcM4AMh7rAoHT8TghTdO1fmXUXe5kJ029LG1XTxQZYTEN91rXkn8R3sTtr2dgPuPbKUwC0JlC9fY
itwl47pBoYxWLxu3hvMNFyVxy7oqswUxK4voEuU0YjQ/JHv6eIiC7mRUuUOujidJv/h9iIl3lgkl
vBs2Wdr94HV0ALYC4/6PpocMe1Jr096uDf0KXtE7AIQvCl+7leUvBBDYFDlEACK1GOMGg3tXsvAr
UOFbi0kSPjDWrWbWPHSW7bGczehOr0WDCbvyT41feZnd4uMwaSc4V6b1EIbEaKWUK8A3UXzIoK9J
Tl40fmGN4V1jjKSdO7PJrDZ3sUdEznuBAzl2FrJoSVeV3TvayPuIdy4udXh0PRJrNBLoL/LA8hRS
73qFn7zl86P/N9Ye6svaF22yNQ7Th6DwU39vP5CZygtYDytOv76JkENEEabbPn71dfv2R6lsbWUO
mZr7hnoTx8nwQNnEK6P8XFfS+0DAyMG8mH7CntkyE6Nf6xbYOs+8wl3Hm8GvL0BmGRyp4AowebnV
TYt6/8D8AQMoQiMxXy1MfSdn9tsUrmGzvIx/1lCKq2gcW1Dmej8BnzZ/LT1HtHqu9alzZ8KUxmg/
1nPAREBMP+dync9BV5F/CcF8EpFI0bDFVSh87F+20ZztoNOPfzTVoho/Oa+xFdt6BCR3r7sriObw
YQott+96zvGC6+XWQTx/ZSv1rTJgIgTTHFyXvrMk47qzcRzKq3zZRxljNZjwLqgfkTXeLtbmxGVt
v5JHxV6hXfcgfFyyC1Pd75SkdbFzCQajduvEVrn3jUCZF3t7Y6O0lDfAv95R+eRpk+Xz5Fu/mQWz
/8N9F/eF6MkB2u9OacHZ0r37JckJp2YxOakwutcVhtNvIXAYHAriWnPM1IPNN3oug32/ewq3Gc1p
KGoLn0yY/9BA/TA5aD0xoNiWJ+IFALrbMM8ZO4H+OGBN3yo2/53FGWf1IKM50VPPgjXHwvEGn7eX
Bxj/J2AP3Ald5pvNdEakjxeEhJWjTp7yVYngtqk9ca99l4211RhDbO9NZSFpwHzPNHlbmSk6gO5s
UrNX/IG/avrwN2CKJ7ceWDzCqjxHwmzOm8fDFe/Sz7wRajw2CEXZ6sOdD9CJMUGsZ/KwuA5N6xXk
f5+01oznxL7MAi8tJVukmNfD27rcE+zyKss72h474b8EcPyYekGsUadAjz+KcD+vXPBJSxADx59x
i0jIXqf1RuBVwVlYej78t06ODWCNx8iUSc9Wn3Lx1UbwGW+mQj9iOv1CPeWKRxDLorX/P+ydx5bc
yJZl/6XnyAUN2KAnDrh2Dy0YnGB5kAxoDYP6+tqIzK4kg1lk5xvXJJ8MhwNuMHHvOfvc1maF0zSf
HESh2Br+7qI7c65cD7r5HGtme+wCpfKHxsbITSLtNlKrcB2XubYbEw5njSXbfUG2J5ULdGFqan39
u9OeBEPsReX0OQ3pS+hwTsCNNPEq6YzXwOq1+8El0sIep6EhKIQGvNU6/T1zH6HTtkV3Va3loakp
RuGA97QAQg9NVoU6Cxb3daNiIBd2cTa7rPUCNB0oDTB6y7UTaosoVo3SQ836qIm53KTxVF0gbpcv
RLoauZ8q8/yFYKJg9LQpVS4L1ueazGRll7DgNStcmePOxWl5clKOSI5wk8gf4/DQkISwRq85vbLP
4tUKq/wSJ5p7/S4CmLtIflFi++1PIYAgluBQU4a+JWYq8KwYw7X3txhApx8+XzUEWIHn/1sMIDoS
E+ZZ2Js/FQF2ik6h0uOiAfmO/CWugHebaqBcQZSw+j+1AXHQP0yh9fi3PCCsp27HezCt3zUCg3Cf
BtKOYMIV+n2IJcBDD3ntam1wyYnN8ZI8cJHvLqKBjEO6chx0NjWnd+VA3fWogk3RjZt3+UCTxLY8
mAXzD6owuPPbn5QEKTCvVcHhhu3dQFaN59hl89SQD3REQOr2q6h0BGZaDOPbqUoCJPqJ9mKXI04n
ckxV8FkYgpHoy/lZpl32P2gPHEYPCSfV0G1xf8enuQIi7rNgAdZpZMiOaRrAxOtd3rHMLzshZpmX
70QJqUy6XYV1Y/W9MiFUst4D3zbeW7LqKD4RWGCTIEFMU6Ur4inT2/CrFdFT9IswCEefmtp0N9Gh
h/HFi/aXTMFpOXiPOkv0B60CLQIcmWzrZ4jFhwreETpIOWyJNKhvEZzqzwk4BCITTCbsubG0mxbu
DuaFv9UMzGXlTYaO5/lPRQPWSwnbQ7jnZlK657RS1Cs1H6atjmNNcHhtjVuUhs7dP2odOhy397pu
UAwddclbWhZMq6vccguyPFtCIH6WPBiNIFGDCj86tp8kD02Vo+7tmjDxx7S9mcPWJBULnfTaoAz1
oM5OeEjI6vNIG5/e3uUQ9HzZqM02yMp3TUQkkFbRt43pxdpLhJLCqhvi+2CxJ7aAww4WITwKaOkG
cP2URo9NMDr7flC7ddXa6anCgtOys9fUUzmXwyP8nW5c2SPOwYgwHA/j/rsOTbmt0rq6sqbB3eWR
Rj+6nwlgaVWTLLIU6YrSDN35XWBB9RaBKFiHB5X93akp64FoMXb/lDMdqjRKdDdFCcrXRWox0svw
wqrNz0iRvii9pq2ZnALCAyzoQYvuQvS8GkaiR+u4NvYQON2bYrTH/QBj62ArDiANO8h8s+PUIdkx
etSbm0MbCXl+l2OArHwt3FFb98GkbhJ3ugB4jjyd0DsMSQllRS3IqZU105MSG1gPCdVCqY1cQ0GC
s41gH3rfaTbKtJhwGrnIibBk+kt7FgdJyV5WnZuXODMnj6PCvCMl155ZyFp54zoldWBNkIr1nZRj
ilhsEkysKfWsPj2Ra+APFu2bvzUdZBTPK1HOV1Y689+rAQlK5A4OQGNWep8+iVb/ZIRM1pZSrGPT
mH0qJRdRkP2AQAN51BCF/rv0g5SHcqNrqbkbkGyYYXI3uxVHBdPC5SnVmXCS+ZrQbvJLk/q5auvk
xg4lFhPYTXXdbfvZ7D//t0rEUDV1o87skH+UiuQiqW8HWd9Ch85wL5YuS7u2HASjTLl2DWRBaDuj
PWEGOrG4yldTceQZIR1eBOZ/dJiLlARK96dusIjxy8dTX1Xjvsnq5/de7P+2rX/TtkZJaIIH/J/b
1mescpcvkWy/QUD8vn3911/+vyAC8YfQUYjAnrYMJgfxd/vaWTrbNq1omhw2ahUD8cZf7WtT/8OF
wIBWwbFUTNVLZ5tt/hJGYGp/IJhAdft3ssG/SEj9UYhBE5wroNU0LI1/z7dbetvf9a6FMdkK03vF
OSt7i8pQbBVsvqvYRf//3dO5+dMQ/n1syD9dSVfhM6i4K3TCD368UlaYhTmPGlfSmYgI6ftcLcnc
QxBJ799fiWsIVB705BEo/nilsFOAPVRpteuGFJ+uVK/bnjAqmwLYv74QVBHdBD6BYYRr/Xih3sk0
UTZzxQEnfUuz9C1Q4reEf/1PLsNmUiOaArX1hydHkgA+TchrTDKDWAuYduDsbZC5Y/wfPDrGKoIh
HIOOC7H8xzsKqRKbJarWXR/keAc4VK2CkhDyBmLqr29q+aTvqAHLwCOQW1+EHTCQEWP8eCWnz12l
E+RqRwNGOgTQd1M4PmnK9FT1KEB/fbFFTvTTxRAcLUhzUmE+AsAVhHO8myUh3lgQfKfNmx351bAz
lfiiuqSExmazgHrh4/76wv8w6AkIMCxiiWC/Q9L68S6Rx0o9i4pqh9IfE1BDHpYlFFrGCf/u15da
HthP92g5OkYu6vO81T9eapaJJFI8r3aKrJtdLisk5boa3P/6Kv94Q99dZdGbfTdfICJkNZIZV6GG
ddSb8anPh+JQNP/Zo/vuSh8e3ZDmUdkXXAl82sTRLrnMC3f5/+P1Un++KcrZkCuEcOCWAdz68aZK
StPYqKt8V/U6CYRqrywuvI5UeDOf1iJQSx9SGnhn0EI7FTe6T/6RWBu1WRwWXjcVo9IZ1+4Ykvle
FsMXJ4pzEp0DY4/dQsMplb5NnBX34az1Zyoi2MwqduvgAjAVldWCVY6CfK2mNLUlKwa1tzq/nRqh
P6eOXu6tIKHEkfeTP+SjtQuItVuVUyG2Q8J4ToF9hl474RJZpQWZVn0dmvuuQ8csU4oSHc3I+05J
zAMZfsMXBN9iqyEtOJB8y1USszwObtsnXuRwdllPZqa+JilF3Ljl+yi6IIYeBK2f9l21Ifi2ug71
ufQ78Ec2bbcgQBgjyVIDCtGJrR001aamjk9dQbo+RkzFAweUg2Rm4soTp6NrVFBOcJhcojAu1rbN
EoAbQtt0qDk7j34YTnOSILZJM5dHUmhK0iqJinJFrngO7M9nMB7WcQy1hMJGmT3ZQwqjuDWql9rO
9eeAe8fkN2jVS5WbcuY79dAPIqcSnWcYkL+INzaVeAV1KntqqR0cXaXNbxUl7j4HPJpjlNQVbqDk
TdX4TWVi68+5G7+N7RDcd/Zc7tFE8u3btjxOGZ3ZTZOpyHwtgfz9hgPteIfX0twzo4OH7vN421Py
WLENIAyaMmRxoKTsGnhEwvgqNCpxnUBefLMVoV1pZcJDlJkFE56ziIuCimGftaF5wMXhniI0OfDG
eAiBjBIaavT54IyHD/TFuaWQUOTP2N5YYqEP+4EVUUvKAJnPHqmPdgY0U1cr+mN9JXwyonuk0JVC
CJHWt65XwNvhGE41+4S/fX52gSg8jEWav+nILg7c47QuOmZOpHWI0RJNPJW6rT0gTGL8WI1KkaQx
LVysIor6ciPHXJxw6RvoJHR+gi7AnsCpsCJQTaGl5EFgEU9t3fDameqseL3JEodNx91SuUDYYWUD
BkN4wGG/RcOZXMSgKxtR8B7ZTok8PUacsm0BVd4NRHJ9mps53XL87UiQVBo9hvxkWPOSCp4CPW/D
gZRtTIqvdLzar/rMu2Ui19f8bLDax54G4EuYmNbRmTLmUIDe5D9LxTjY6qLOh0KoeJj3zAPH9fRz
DWv2MAZhsW5GFMZpk7zRShSnQLONA19E22gh5yVlauvBj3BBXqECGdcYzgQ2S34habD0SYOfN3JB
2ALVDe5pq8nUR+IffYM6Yi0CJ7zKdmTPJyy/n6p26rdGXuZYBZGHUFF2iwPWgbc2oBtUKx1eM42O
aRN+62Tj+FGLZKrWd13Zv0p4ubjt4MTIAO0XS6FzG0leSq3ga0Ht6s89kAEaLLznJhYE2tBO+uwS
CXxUxbjJZ4fiwzxWnZfTjOY0hiN0ZXQZg5pZcbyBJIHxDQ/OtcGmclOTPbNOZQa5uK+g0bcJXPaG
2S0fun6rLesu7XfX1/PkQuyUe+0OiXXJxta9NfpOu4I0oz0k4FUOo2REpUyon2Etk5SVTaXfF9y+
1cL6WuVuLa67Qg5fWqXBYBm2zDmRmbq3mk0jB1n4hZan6zcN84cdKc4tThqa7E0DpN8B9Ley6N/f
BmXanLRBMpO977SkaOptptKCS6aESQyckW8PXLopS8j/rQtNX9OGL5FV7KuCdPUQ3wUjGDZxE2fX
RtWVm2gwSONu8+qaogv76lIvjxlkDWbyOqKdkWumlzo8nTgQg49NVFu/z7pDFL90KVH26sBs1S9j
xFJn7SoNuvgqscZw01MaYI5jJ7FSlM66SkJrQ10EeBg5OvT3Z2bErsTlMdvlYzzyhGYnKHxi2KH8
Ke3gSX7hZJWpTbMLWQ0eepTynose/xDMMr9tJXOPEjJ7gG5dFylKML8XpdwYiUU0AuysK/QD6ivo
1I4utsV+tJTXLhbbHXWofgujVWzRSyrnromvDTCYn5Qkaa+nMerOQTI/x6oxPCO+QZ85EZRszmTd
zAAz1uRU5tfYzIObLH1xSJH0Y4PYd2pjiETiR97np6ZXw53u0r5CuFgjazMqXAwtduhyCrdM7q+K
VcqV7rDooXYx9wqE7qe6YOZtCmYcNXe1B7pXVenN/KTVn5OsbbbVBjOetuHsNaxSewSK7ZpIUpD0
y12ODrjZFpFYkc5SQSVtRYJqM8uYzBIOeTVDJCE4WsO2uSdpQhUEpzsIFdMmJ5a3J98Srw4tRFxP
NYVAi6ybfAXB5LHNyaKGhJkfUDiolVe6sj4YWSt9qeUY2H0iBkrHPk6DPuYzi0/WMP8RBg9lTx/i
wVfTJFK2JtiF6DAAeOpJUs0Jnj2YvUQ7F2BsBUfPXryR9gpNkPMG7zqil9in+bfKolSmxaGzH12n
0hadU9Oyu7HUdY3nlMag66DWhRvbdTeF7SCQSlANSI9gkGTdVVFj+rMh6bky97Sf3VQlpbkcs/sh
MXA7YEoP2SFMgRnDip76Q5EhEqIN8Wq6ErAtCffKhM7StJQI8wXvFxNHf2tZiXLWiDxKfHxtI2u1
Pm15T3VjVSYtCprM7XZ6LTusw8ElxXKI5UlP1zrFFL90au1TDsDuSrJGI1ANoUwUpg4+W2TGfMXr
Gn4JM0eTuH1bZZU59IqTTFH28Wip7sYJc+Y302b6RlMhPU5LJnnn2J0wp3DDu1QOQIRdKmvbX2+w
PyTPcQoXrJ0uW3i8ETra+Q87bFrqoSlbNdvVLKA09Yf+3IWS2hlYC2Y5tpZXk6Hgb9Fn9hWpaMoj
L7x17HBzxNTOfndQ+9E48df3oUKgOVQoOOx+PKiFesg7wPdpcu0Jc9OxWZrjgxNfikzegTzWNr9+
Aj+dDAVFMY6GpkkCA3WOD96Q1uytPByqbNfXbMKKALWxVrAcFwVcBHgo5e+CuX7a/i8XdCwMBIAb
DfxIP27/i4YNjgnggAmlHkAxIin045a8KD9p8gu8CrAUbcR+kMTsm/dlZyhnzQasMmgb+peKB+Hb
upRz3W/HlnX918/D+KfvZ2m6YeF/UKkkfTieVGNcUmCV6S7Kc/NA8T1/K42ad2roKCsTl4y4fg0v
mRcpQlx81ZPMsTDOq2tq1mQ7cRNsZYqDq9d0xMF4rYhIpveeIek8mnosTkVDdyrFmLzu+jquVh3N
XBLGmZWNkYPr2nQW5zU+iwvpajOYAP6xJaPXuSVjnQUYM132pMZx8vl9VSwKvEzeQB/4dxDFj7DP
5e3QLHaUoN5si9TED4MjJMwtYfVKdx0OgRV5HeWqG0EPDIb5qY4dZaewbVzRYdM3YHhhqjbd4dc/
x0/nbPo9tquTfMdPwjD98A06tFvA57V4Jzhvby0lLI8V8uXfTAM/VSy4CoUKvGYA8Ry6uD+OSRnL
HvVuGe9sk80zFWbFKyq782odbT8d5dJYTWB2riJMHJ9+fYP6B6Aqz5gtCuh4WjlE55kfj8OABWDJ
oePbme0AOyfDCX9SgkB8ziVbY/wF1nQtFEs8Feb0BLm7flMqa1Fh9lZIUGaBuZf5llT3GvA5eh2c
JxskXg0KwlAgyyrar3VA9OleCWjS/Flx+d969W/q1aj1XOO7H/onm9WplPhXLsXl+1r1X3/1V63a
df8AbIhlBFMmP7tlU3MZvrXd//0/ijD/oJrqUumkPmgs8bj/Xas2jD9AgOrYCynoOYgGWUH+qlXr
fCDFRArMVPpUIjK1f2O1Mj68etoyGnXD1CzH0jDGf6y3xlMzSIztzd4qAsf1EzIm7lR0jWeIulQm
aoBJ0LAc9bVVnODBiUSDcqgIDkoTB4e20XuKB44GVcEuthAZEK30oIpXrpsqD26F38OJEPuvS7UT
nhYl4zVpE/Jb0ujaCR9P9mRCa1hXFAK8MMqDc6lip/cL3UEcVsNHYt/XDNsOzcqurHP7XhZy/A1Z
+sPayBMwTVvHfsxWDd/kx0ImZqamL+n07MdGG2/soBXbcJICRUS33Bff+7sh8vui/fv1qKNjuoPn
TPfiw2SnK5qK9iut9hymKZqE2WuIhsnDxxr/5kofthnLlYBTa0w6LsFfzKw/TniztDWq3Ha2H4K6
9fUkwQGAoWeLpTm+7/XM3HLeCe7+9e0tllBVsxlMuNSWlfe7aibGj3bIixYxqh1BclQk9gyk4o7l
y9GCKvrvr0aTHSqvtiRN/bR2CRd2Bsk0ewCuVnoumnze4D/WhmuqZw+/vtbHhXJ5nsLhbaWLRM/p
p/i0MQ2zKE/VeF9HY2Z4RhS0mQ88l1Jag8s/mqLxWjZSOw1t2u/mjNIHJ0+7/df3bLGdpfitAjZ3
flpLUEM5Uy6NZF9LCro+omp82qQAPQi7Kn8HI/55DFmqxvaAfho2OfN9Yfvu52xq9vYosxNyO+f5
tnSb1sebKb9VUZVG+6ldgKrA6nDt/Pphf9ig8awtmloEhkG1h23/MawavNYQh3jpl0MfkK2eX3Mw
5LCktGLA/FfXWqJ2CZ0XbID4ebWffMwmyBaN4MR4H2t16AOwQDZZqc10DKfBePz1tT7Mt+/XYuPJ
o+Q8Qnzuh3cyyTuSpYly3M/TPGh+GTj5IeMgr/m/vs6PvHzrz+sYAOMJBViGq/7ja4hlpW1Q68T7
QLXw4Y8DKUYrwIeYmXrDuo/iGMXNCH8iRr+CvmetYr48//o7fBg7y3fQ4CNw6LDx/akfx07PrgfW
Vsd36NHFIYer9VU4K+E5IOXuUIau5SNhmn4zn78/wu+7NlyWQFBunHIva+jHNhiuUCqzAUaByA2M
5yax8wMW4+mqSopo2xgVkhMOIJg6hmkMHaLo5NTvkQGPXzWbEIcvVS/yQwo/dxeqSn4I4oB/zIly
++un80/fc3FhLx0SYQr1I54dRiX6LEdRdiq5oq/TJE3AbnUm+IkyNsQ7jumVw5aUHLG1Ug7pGfUr
YSHQt4K9TEvzKDoR7MfYNa6EYrfOxu6jMvHLSMCv+vV3/XnUuupCdcdnyI7E/vhVVRCoJU6deJ8L
dYIWG5I64RUteOJfX+fDW8+IcTGWL5MbXHpekA9rI+HrPBTMoPuS4+AthSuq70iLrWPWmtb9r6/1
cTp/v5hD95LVkYOq+HhGndwWAeuYMJ2DCfVDN+h9ZHfSy3hVNth4Qq9Crn3U5Oi8KHlBDay0ut88
WE21ljfxx+HqwqJDMWCxKeDrfLjnjGaOzpsR7Bw5NNN+gey5q06MRrUPZTXfKiTjvVpREHtxLKlR
T1XE4QykXgNjBobbsQWAeEDIPd10vdDlCv1M1Xg1wK/Y09McI13UBocornWiPo3grR9l9uRO2Xye
s4ajtagb+96pRyTQOW2bHsNftThH9DtLpvY9qRoqvF1XO0UcTqSvVrHygCNivkW/a0jcIlF/nQMu
uWRonF5nUETnVoGXt0LHGrzRk7aqA+y+HBw7Nevd3CJchYQdITs2nIX2TMqKiYav1s0L5XrtCxJi
43Ew3sVudHoUwDeB+Zb1nUk5F6h9BHklic6hwZttWkwtEIVjSvFM3jDxrbeQs73ukcDLnxagcDjK
xiLEcRjZ5nbAJEsOkTO2X11HwjxHqvtCkaJx70otYbzx9ofpJi0FWjvEisqtiw2KVOdWOi+zGVjo
5UR4dpa/ba2SrzFZhrmu46GFzhlnyoMojenMOkNxlLDX6/fHG9hDt9aLSL2tjBrla0ndH324FtLW
0NU8gqJPdNq6nhe3GyIWZiuYpMcGT47juYQJfqaNxIiEI4OMPsu0mXSmimc3WW7ceo2qRg8m7bFn
2aCS9fRQLW6MlCaln5h8DqXv6GyTZOu3tRO/NqoAYxZQqw+3gpRwnMOEVtwnoWE8uoRe6itF59nm
MLVeszDXNxr+lQs1aiVb8dLQDgjifL61BmXE/5w2443a1+N1PJl9BO5ciz9ndsfUBDLxSZtUM1sb
yziEABkcXCJ/EVpHbhf7aFfYwGh5OW8KYnfkysm7+RwSsxnAhY6pSHYo/W5xwKgqTl/2OWDvqslL
uIGWvucwB17LAFuT/1xdoiFUd0R3Mnqt1BxvGuJ5F6AYJwbkicqDHaU8MDU0pzP60eSQutlazErq
j405XtMRrDdd4mi7cJhLqrSB5SEBbW7DLsJzBtXxOIRoEuM8I1BAb9WlkDofZK3aO8Oxgoewc9Zg
MNNLbRfpmfZS6gWB5VzT4tnSASSClESzrRonxovr8tpVaOFUTB3QJKSBAQncLOgNnTDFotmIsYRR
BEg19Xiq+hNssOsYpNeB9uAmIgduM0iah9TeqlWkwMInVAH/a85tZalLllEKXHTq8XXoLQRW+sov
DZlE5zCPr/GYuau+N0a/pwpJaptubKw6frQhQK+nttKPGZ0HmrEkHnXFQD00hxk6Az+PZtUGcQh4
LxbRHeTwV1Hpl0oqLX7m3ICsaxbUUHt9r6juJ1DSAbA8o8JXMrqsarLSP+cGPVfD1Va9TqXFps5O
nfCh74MjAJ/wU4f2cR2Z03iIspwJ2Fz2SDhVr+zYMHBItfWtFmftQSGAAxG2fcIWNrkQ3GmCtwLr
cg3F41uNHHg30fWVq4I2NZau0EgOWmlStg6U0DkRQ8cXKjOUVat+0udHNP7GZhyyAD91r4sjwVz1
NRslM/IHm/kiRXz+CJw3hLGnDvdTabF/KNsK7SmZo9M5dZBsBrntbMy0c78medzsyRMb9xEYTS7K
LvrchOqdaw0DxBKADMYMhHxZf+jd4syJvLiq85u2c2ZUDlad0UQ12QroKQkRzcReJMXvVKSFDbZR
dWKmIugIlClZEZxQOBT9OfpIxh+WiqnYiFk1t3LoTXiclZ6TONg9Odlc+9oQgwIH5I3yFew+nQA7
Jc/WSvT8iGko3RRJat2ohNFvQB6Hz10SDmAjkVCD5z4kg1ShMYIb+GwkI6ILq9DbGMh0o+wL4gIP
BngCeOOIH3Zzj2JmlbB34IiQKbfZ1DjrfCIQonStDQD6/kWa2Dg6c0xJui00/QFfv/M8DrOYt7S9
MY1IAHhBKdmPFWO9I+NDXI1Kbd+CVJo8MLeVp3S1s+MELXZiREdOa0Q23yrddYEKJtOh7owzsG31
LIJmwBEttJMJ7owtTOFspZOJW2ircAUhYhgc/pPIpEzRaA9KrFB9ANt54EcV96MlZ5rJATRxIpbN
LyOm0Vv4jlQNoBJDQ6nJCrAZAhiaKigBYOYHh/AJ2+369eDG5mM6teVN2LW0VgMtIaK91s88wdg3
clDOfaBtexqqB0UUZyLuVS+Ar3eDydLaWbVjnOAUt4vCxboPrFrzc3co6aPCSszm1r0gXy48Jpra
69shNjxYaWjEAR4vEuKCFl4xgMsJ2yB8KtTRuJKqW16rc8C2Xxg4PqtWSYo1TosSHWxC9z9LC+cF
ND1FnLIOj4QeuwgfAjPbT4qYvnUcx0+dMcjbzgT6AitC9Bjo0oI1HStjg+iht644sVdb6NMOBwCt
PGTa1PF2ddV5SPLsprKt7tptxxEuJ4JpLxaIu9Hg7mm/K6uehMBjWUOKTsiWQjTc569pUTvABjHQ
PxPIUW9sO0nfhJXHwPOdqtwrJNmtqyRrnpy2+pzz0eumLs2MVtOsZ14bzP1FrcxkYBJolX1YSfay
KDgpAUe4xGn0whsI6MqpZbLmF4/Xaa5/GRRR+bGs8BhjiGvXRRhOZ0fI8tUh7egw47Txie8cb+rI
mLcTnBLfdNPuRlP7lrSQlDm7zlg1mAQaMgZoZjt1aj12qiyc9osNBskkWQT6wVsEb8HrYoDKvNhd
wTGJCMLajorzaFU6LAhLPkJe718xWrsvIb30YlXg28/oQM8uSQ8W2bEOyjtMvTvFBiii0zwN19jY
n6dOi6/UFECd4i7okaROylW88EjYRYVXkz7BUl5AJYZeB3urzEbw/WY37kzig86oNDI/SwfWjBIo
EX0OKZFoMTlFcFuTGu84pJOD1uQVHFTc+0xn0xzeu0jnJ2+0dAljEMeip1EdYlxmgtmnnZUHTNnq
hqRpfjcWhS0I8e5QzbH8UnE24oQRoVpXcp5C48afITIzlKkoqWd0R+CZHcRyO1s1gqfJ0o0LUcnK
m27L4RS4U/hgFTO+pJKPHc1RPGpF3K90CTEmWNgxWU/oMvi6RzbGAZgQm6zStL6zjSfU6LSgF/hM
AIVGkfkTga/qSnWVOwcDCf7IYvaQEm/gydjgbEHZmCk9o5HNie84tBG1AiObyxl7VSwEHAEKJ830
qPCUhY8jF1IOGL4dWWD6RgLQ6WYDfRJlX6/G7rxJyQ7zMOgc9Da3gFtigc1h8LihCD3L1RWiBxnO
ajISJWCBMZq1y1zxwVEp3a0+QYgi8TPb0tgf72ubDG8dksI5KXqaCqqxqmegNnZPvERMYXcNLHQ8
xM2U7YRKeUAf+4n3uSHOPOrU17TDnMIZn1WHjdDBlCVkNxETBz107QmWSHJKtXGbEla7Mthw0eke
4WwP4/Vgqxr8mdHeWYRRA8Pr8aPXED/J82WBKIObUWvJYMySauN2SMIXQFKllPNWs+MSqZX4jFMm
3zQLVKmrqB2A09onQ3uLvOcS2yY2XXRaqhRXRQ6OSalfhny+JhDuQJD0Y9UEZ6ZcCkYLwslu5rek
Dp802E4OjKeK3bSHi/Ui1HjYzuiMIBWIV4pSLXbdUPoCgesj9KeGEAn9FdI0GyslZJKP9H1mw0AU
On4OWR3HyEF1BIkq70WFQmChU1kKJwJ0UfJ5NuYvIywrO5H6ZsEaDHgMp/BZrdqFttu46cFs6K5N
kErihYmlzWvahZ9AYsL87aKTVT+qEGIeSKYS6wiYlrNQtZxBpF5T9/KTojfuehz6jtbu0JwgHSk7
cO/Laz6pB8uInU92axbbOK9JdsJk3eyJ7KY8OgDS9fB4ReO2HDS20HGDeZoe7Hzqeousoigf72im
4cO2HbztSpVR0MFB07rqVu/1wTh2bk70zYqm+niT6cSeE2hcp8kFb6pNpHiy9KNCFANi40AFaRaB
m5mANU4yZFxtiKcrZT+0cwzpKFed7JwYvwj0/hVpEO3KbgeOnKlA/Sb14MUNU0iiAUozbOctLQYr
cDmIEKSWRT6yFY5FIcNe+iXTC3WmpacxQXF/IbFcgTRdc8Yo6ekn8Txe1axxT6iVp7NiIq/T6XLS
a6tt9SpRrLhfd2Li2CGJEKmGNjEAIi+nEw1U97dk1gekhZN2UrUUtlLYpIcoHYKXMFcocoemo91p
rdWt8UhyEgnnXn0ty8G2zl3UL0de0RG1EVlV+wy+gq1DppBoVWlGs2dvz0crNtFIUckB3bcIzN44
msP5arC7z3aW637csP1bmVF1YzWzl2p9sS8qwghmlvy9nrYspIDEDkZkURRoOeS7EjDqe6fm/Xp9
ZSokFNjNPrBxjHJO6LdAHvNP7/8XAYDmTrU59pcOmkkMGPNON1LMmXnHGQziOVUChDzXw8y2R+Gw
Sa9nLux7kfIw4yYCXk3k8+a9UFxlKED0Ee2ITKkbZzkClVUcRxgiiFwkLWVID/bcFVs7t9rnMu64
gTjhE5lH5tuWwsuNFWeITqTKr06QA995GJt9g3f2JkW1s5mVSN3NqZyhUk9TB/CT+4LIHTxUFse+
ekGZwllP6i1bNc72Ek5B4/fpEjQTz1RFKF4yGUiN04naCCxJvVXv00DNc8Y/4smTKMPqQvEvJuMn
oaLozkfRNC2OqkyQPcLagU+4CPGwEmw/mKcMFdKVpQ0W9JCZDhlwomMWzCl+eMadAop209NtZ/vf
ZU8ZTGhwAC3ch35EKcvSUAVvCoYxiiIcs24zuTyTTNJl0/iP/FYjeIeex0aR0jNREZ71QiPTaSnF
AeSfz84UDNdzNqDXQWy6sU1GQGcCoFuJfvnALLHvQ10oawEYwK+yknq+U7n+WDjqp1zlT9LCbPZO
sfyvZcfT0uyRAasZznRGh8fYmREB+Kg61E8RDpjET7tUbOOWcQ8QTjtpDnVW/73wpCl68DbDsjz2
CaPJmPnQZFTKC6VEoiVYzvtHBEXaSWhDcOijoLwEkQr6O4h4dZSIV9g0JL1JQg2IrtDKS+q0Hb7/
UaFX3/aZ2kOLC7Q7DgfcIf5/yl8B/AB2wMFQALmJ9RPnlua5E8vjzdUsPSDems99W+p3A+wkdlp8
cb1No6/5nFeX2o259Cjb/pAR6LDvKLnmK4mW+TJPoReqVOS6mr8T0JcR67uv0mphymgxR4+u+lKo
riCiCot82zfBQe34dTqAAc/1SK80kJOgYoHKvGv6bh2W9nQ2KIGfq7wPXhpUABbiuVk7ZkC7rwuQ
lQcrM/jmHScfyy+YDreqYVH8oC2KunUZBQP+0ZNVWZQUSE7tvdTtOBPitGaUOLP6GqpJdaEVSUYM
vVje6bKxAh8tmb2RxIu9gNAotiRbKg8zB4I3J6i4YdEtY7BRJ0YegCy01Wjf2AdM8w7XHH4P1+HY
59pR/821OSfD0dDGT20Zj5/H3qUL1bIhJ9KeRWYdsa1gZayS+gQ4vbiKhk4iFBzcr1VvBm8xnuJD
b0V49sKBlcmMBxgz/8XemS03bmzb9otQASDR3rfLnhRFSVRfLwg1VeibRJcAvv4M0PZxVe197PC7
HxxREZYokgAyc60155i2OwIMLLgDel8Gr4lj2xBralEHKxeER7/Kqrgcf2s//yt0+Buhg42I/ofm
+X/oHJZvWfydOI74J6HDb7/1u86B2egXA4kD7jvTtG0Gzv+rczBM6wt+LuRFlo4h5CK/+9OTpzOf
BpKAMM2nE0/z+3edgzC/2AjHZoGE59EX/2c6B2OW+P3QZdfJ3jVmPITDMAzFw4zP/XEszQmb7LGO
PaFQ2Ex6LHKgYASdfqTCqr9zNJs6begL4GZILV9bdoJHUIMDvjC/+N0A+jH8v/Bb+V8kAMYvk7H5
3ViMfmZmM1ZEtFc/vxurGKvUj7r+ZMrCQMI+oZfu3JLgGqilpb/oldW9uv28ZdW518ol4d1olIKp
cS2sy27x6betfsNrRGAVaAc/TrZGoTM6dvDNGDVj2Pxwvf/LO77oQH75/pivU4OY6DJ1xmq/vOOY
CB7HH9uTGEiSXTnDlD32FtO/TevSDaOLNhjJKnbJeplchwiAMdXFNu9rjADoK9rPaGgaYxkjawIK
GJekfuQRy7db2yA6wpnLm3Y0WwjyoIhiUvvURPIqxUMwMEPXnPls0ed/M335z8vgzt5JLoTDvSF+
Fb9wrA2JhcuaU9EGuC5CJDoLaBvcGhU6k1vOGv59FRjZy19/mb9MuchJRn3GVJbGKvodU8xv64eZ
uo3+w+L8X5wKD/k5qsLuRFDtMibf4umv/9I8O/rxqs1/yWfwCqGbUSxCkJ//UsXAZpKwfk9ehdAQ
80qdbYPWG+EVVtFal102LYHyeeUyEbbK/+6m+UX1NgdCm7qJDkRg1GN1+OXPu66IwYOTTDh3PN7y
pIMIlM3vwZ7yBu4F4QcjvZZoqzIJYUumpfuNlluzRx5vHQdH1PpSqIQUO2ru/FHQyRSrCKrjt0pD
SqprU+4ubaIm650tHDBjf/3tGf95oWBHsWxgETUtntV5yP7DhdKdzi5sO0Az3QVwROq2QdStpW1h
LcBpFuGBuUr6Hno+maKTjDZOyQwGA0PvfqePO5WMORjfWGXSf4tr4X72dhW5f6edtP/jIgv42YyI
ETciULFdJGs/vkvoQbEOYkdcJ5asAt9btX40bQcGZf6m7Tv8c8Ty3fX5iKudWC13WXMmaajXtpkF
qzDNZH6uMhs9uJup8JnmXImwgwCBypbVI3mQHlr5Ilh28PDiRdyKuYGWNMVJVVpDYAid7xDyHZLz
iUhoBGBRviM3MDubSXgbkgM5LLLOlac2kA+tmWsC7J45q+NHk7UBL9m04DCQHLPI9l4DnZSyyOFI
M4H553SjR6Q1cM/He82r4fqpEfoB52ttxg18AAto74GUAPBWeetugkZ2eyswzQcZGSrdBq4GlmOK
0uCdpmpNVBfwb1iZ5MVWxIztU4JD9wYil0+OfQ7PvcjTe/BVg7voyUg41EHdLUe+B1IrTP+GXLxh
TTaD3BjGYPTrzHYNgilViFGhB1ezzhtRk/7l30TMGfSVYZTtjq3GBDSGLYsMCzd7oQ8WcXL0q3tb
tPa28xPaQI2TT28eDJY1QOiEIgGsxUYjPOKNCDn1nahvQBSTSdeQasPsw83QAoAVSqn1GPadt6np
hmBKE/mu4EdBm1sYwBwMjrB2GmR95P8o2EYMLpj2tVmwpLlY5NvaSdehBS/5TiGcR6NNSbdIuJMA
77bKhwUn3OHoEJSTBXedkm2eL0gdHIv6Mwoi05xeG6aAc0gOZRE8iQ9zzCEI1Yuu7bpKP7VpS3Y2
IUxy2hITzlQwr2Pk0Algxnvd1cQ+GYXAD8g1CBYjBo+By0WG5wqZA/thS9dRrh0A4fqyzlojuImY
uJGgm46uilaIpP326DSt4I5S8FhnEw574cbRkLYxwSEzAWqmNw9qDJE2+YZ2UO3PoBaihda0Zpyl
FsDJJ/ci0AuLUPUAEwL8DhVsVOYCrWoCTgUbuwjzaelNNitmYaYzqSaqGYf2DUz22ybWQDuWYex9
B73uwtaga9RuY9wY3skm6TI4FMJtXTtZFuDXp3HX6KxuoD7CCH5mwJRTbnCIFDHoYhwSO73B37S0
KT7iJaRSunl1LBmIcFnNZ63KJ2MlhJPmK/7TtRtiADVSf9uieAbH5ed72C9ttk6j1jlPsAgJkSUy
ygClHgGTI0TSjNptQH+iuGczFgcSPMx001W8A2CeWTitmTlPBG8kY6Wucw8rLRKUAnRPYBhQnwAw
ZCum/zTKqBS5nLHbcD6h4Sqmb4Sp+JCBeAOgA6GdSMR5sbUjmiKdW8apFCtaXcFq6gK8gATNVP4t
MKrEWopYJtMir5JJu9JnfpNRMUnh7fputTbGCJNoFBvg4VN/5i3PP4c7g5gebp9QyOWAmXBCvB5r
X2tyaUaNZL4UeL8xFTGh8F5vaeJhzJTZnZzKxxVTkN9ybXcFW1LIkJ9f8AmLgwYdR0bxyvi6iA6S
pvqwaZQ9xVdGG7YPFrEfb/YQzAURNDex6Yj0EOvGmfB55p0xm0MFGMUlEShrVO3yNVOKk0USJv19
YzvqvaojsQPrGQZrL7Uh5hUolRjCZmUybIq6N044AoV117S28WC0JOktQIDiJW2NEVN0j7svpstn
mmrP0LQxb2LNRTquy/nmTBLZALFuouZ2GK3WW+pScW0iVfDGyoZF94odzH/CtMHdnbNK1itk60O5
x3wVmLcJZsn0bHqFb+0HhiXddTu08+EzGunHpJozrEuV86fLcsK3MJjM7GmOuPOHn9+6Yn3ifRGg
dIJazKfopM1XFcGamZZ+2vPoVFmYxndF7fLI1x2ngpD/x5pqtkV0Iw1rZLAhqkjncqt66K5zLaoa
gNqdJA4TKY0gH4AgBq46D9OST8QCQot2Pie3Rf4UoPQ9oF+OMWPhYeK+GEPnTRXg+pC8JeNZtIPe
XIUcc5OrEmZ0cu+xW2ybQjdO0g/lK2J+R87w9Ng8lPTdu6sAkEe/YoIpCfF0R9IfTL5WxgBy/ABT
Yd/SMiC+TFIxp8+KkUqzIxY0/z4ir2ANiSGLr6gD0O7H5hg1m8rJ/WcNDzeN9CokJs1imUOMHZ3j
sm2uyF5M7JVt1mbIsmcTf9FHpv9UJ1ofrjOz4DGZtED4e6soDfktZ0EeD3BJeDZIdOYeSWyCBDdE
C/ZrNhklrwy6qM6SQXTbs9OKHpx3LZOvGHz9B23kmH6Y/LY2PolvH9FWAF/pSYc2eakhN+bQb0WP
YF9xWUA3E0y0mcq+b68RSxKa1zdyQUdgZ+VDj+NQ0YdZkrvaTNsKLHx5XTiDdcRIO3O+ZZH3s7Ky
ipae3eTRAycR6Hf0apB5unHTL9KoUcShqR6MfkHo5H0WSiN+MUqEAz0tai0dH6tW4LCOkGnU68gF
83fQgkq9R0j2+mXmQpfax9hN7oYGcsm27mQD0H3quEljs03ELTjPyT7lTjUH0la97lxbBsMK4P2J
ataK/NycuW3BLLuewEbC2GrIKRjEQPswI3h6O3mSux+dCaEaI8InIHcV8a/P9HBw2EY19xo7nf/E
vZ6TK0IrgwXWrPxk4+Vze3zoXk2vUygh0rR3H20SaxUIprC1iBTPvP4sUaKTvBlyRwMvFlxNCodx
OMaiTcujW1eRuCV9OXP2gAR8PtcwIK1MAa2jkmpAHS04jXXtdZYFvP8aj8umibwUQcOg6/tR4h5h
CuVgprSCyP1N+vlvJ+VvOilwXigi/m/C0f+v46n81S8y/8ofbRTdxxSioxib7YEzwOjPNgodFs+w
HPwi6IfRiyIk/COZx/0CBUhHoT03Svg/vOAfbRTjC9aS2S5C+YULwPsnbhEcJr8UlL5HfYGol7qO
jg+Hp59rjVwSEjekjjoaMd19yYlWtTk2bTAMpc5a2ntmvkRR107dlgidLNefW+gqxjplQ2ge4A63
U71gGcTQneGQQ6OxdPtCVt49nHoeIGIFoOIa7BEKQvfGEoqSgiH3SLqMUhrZlGjV835PtGje9AQQ
EvqHoqDIxqTAEx97LBxeVRzBewyHUst7Robgkq9Hi6FAIiRSRM15wePWb1XZuwTsDv6KkLHqmORk
meXJ0BnAvFPzAXHSVCzjqMO/6GPOZ6Jb9/5aCcmDmtUTDmUHhc95IhkWWYGJPqBArnYdk2pXrzlg
wUWoyZtABylCPdsWA7qKARcYfVu/ZCSYh9I9+X6LG7gZdazlmkZB7FRjS3c4BdSgZTPGILfSXYV4
ZZNMtQvUTSt4YbImYWPSNO5vTDuACatG46yQCvTbsgVSDkajh81HmviwbMJxIpsCvzS6ov6lrbGY
BRPe52UdSgBnDGjo9QY1cj6WAr0zXwI4bEdlAz1oTKdeW0bar52wksaiMeqjKkuD0BvLVWsOsTRL
4hQgO8YZ98lPWKDMS90QX2qI6FJP9HNpoYm5ygD0vTYvlQeQg2DpXOqRPmndRXypUuxLxeJdqhdK
QXtBVHe+w+eP0eFS55hzyaPm4oekNeqg8VIT1Zf6yJhLJTeI9bfJNsJNavM0btJgHuLSCXnL5x4k
x+ycoqscqnvG9NEVbMfspZyLs0DvyW+otLDdZT0bycqsUe8hWFp1c2lHGwV9Dbl0VHz6pfoLQySD
Yx8O7EC1fzPMZSJhMfO5hNIRKStVJGk36T3m0VmdEXXZp85BfA8kwNy3cxHq2G7wlaeByrRg/Pce
5D31KtV3n27DVpoPQRZ3e1Xn7oYsbKpcvwiae+IzP/C7aLOAb1oFl7qYJwDZtEsBC6pzrpzDuYjO
nQy3/lxYo04ytz2TWTRbzWQYK3suwptLPd5QmdtWVp+kp0/vWZsHKw7U4xMS03wXXKp6TdOp8AG+
i3U/l/0jAvqTtBN6Ae2lL2D2yHDsuVlgMMd5dLDjL5DOMJ2EEvncyoz+AnSE7JzOTYdmSqstUVnb
tvS4D93AgkuCiuLOjiQF96V3UWIuV6ws+BoJVSKAuLPb6oaN1ada1rNv7KjjXvpNSUYEieP9MPrI
/dqPhGqDwkOpJdpYawce21+WlvmGmPsZIDKzCsS2w8rvTRfdN0mWXEeKCRlVnXOrOC9wfl2kNvys
+reG0r+74t/tigLj419ti7s39RbHP7kof/uVP7ZFm71vPthD1Zu5evPe97uL0nD0L6blYMfCAUZr
+gfin2mC9QOJ62Mlmj1+HrvZ79ui4X2B+obbgBbsZTv9Ry7KX1pwc5ub/KvZd+IwrMDaMzcSf2oU
oqFO7NC8J4iOJOuK9iahKQbb93LKwPVUVljfRXGGucSdt5Yo1c6mL8dtYWljBUDas8ERDcyBKXvV
SnOMJRNLck+GvnqFhM7rkHvP86r1ZUyFNlTzgNieiaQDx0oAXOvKSPyjqTE9jfxCreIkHbdotdLz
XJPv/NAFRG5g3CL5jB04spR1ow1xdDPQEIHj1LTqDQzV+EaUKVDvMOJrW0ZhP08g0hoVQqbLA4nl
1TuLYfLWhmq85RxuIL1IxtexnuqlX4Uw3BkRtt/6OjSY+GXWPuQgcRdGzh1lLHqoMmvMx04MU/o3
fqcL6/DPVvflEsxWJ64qwwEcj7/0mvPJspLZ/Hw/1ZRFQC3sdWUONTDSEvY/EbzkNXD2z/1bFknz
WMA8gp3heCTpxSlsFZT349p17XLvT11/PUF5OpmdVX4acao9F9JuztGoDWSfJMk1KxFyaC+aZ/gZ
s14yQqpN14jyxvPqx5blfmdX6uiGCk1rZJKv5X8m0pHvPzwk/2UqM9uAf+jv86HxAM43MAc8bGuA
JX6+7yoma2Gg08Wxyjx4NearH7I7vzCSG241F8FElyAsQSnfrq2ogGhPmOy0aUSCYqIb9PcqNfga
fBu9Vgho/KBIOrkPRv4lhWl+M6vSuAo1FC9R5xhHGCu0ALzgKbQGc+sTefCUFnhXAT3ou7hgjhxh
btum/ZxnUxILMek597Ro9f5Kn8Rn4XRHhfV3d4EhYLwldQIW0SoexhTBJZl2euVHGzt+zSiUDsRC
qY84wpdPX1N9oOgSxJWBrahbo6cfERFy35NNF6vhzEOZntxe42Fq0niXipmnntTQeWsH+XYy2Vee
BR2JyfzQreKYgvWicIGba6L/mUfaRTGch4KrtABxm1znkZDH0ctMtJNF9c2jTV6jo61hzDEZlbth
co1NwUEL4XEVX2UM5K4vPRJvJmnRdphj6wXH1LWMpgQkb5SQnWGF5hkk2nDTIDE/YrAgwn3yph27
Oc8mwZJ3ea+aZysiGdcP0/BoWbW/1MPh72zPv6xZNmIrk5moLoQBLpKT/i9jAxPXUBD2rnaOWh1N
g98VWzI1s6dxQFlQuzigLX++d+py+iBYbFo27ey9sNQYfSYwok+VYwboq3X57EriREi60Ld0Wl8G
32Jb7Zz8MZe8StrXNi3lHrFRNtu+ywC5td7SY2xsjk5jjhJj0GvEZ+7IRwW5N15bs92J5Wrc9Bbi
URbUMj3UdtUaa7IAzfXcCuI1Ucmd6hSn2OW2RWCA+Gk+7NfSRodSlQH5jZ7+4ml58+wnRvNMNog8
xU2M3I+YGbwnQhTxO/TwLR4wopS6wZ8lWohbt0zOSLhPvQiGli7/kBr8nyPgy8D0z/Vq/voFZRyj
VIdyDa73L0NAJWHkhFMdnGl/ONqqNVyD5B+p3SeTzycwAE0uHdloD8kY98STDpVfXQ91gV7P02dr
jOAZxN6RSTw1aV+9pb2DvdqXtJOWlVEjJ8GtxTdtZsZexp32T4d7fAAs87wtx2RfNudK9cc9r5jS
Blh16J4zNFzrITHQW1VhuJEAsWvChVhnAqlYL0yHJaaIbI10kAIpCo7UK0M5wXeePcHCPJZvYoAh
4KgBKZ1ZdcFGkjLxkLly7huSS/J35uLLfvzLl29RoBiGOdMVLlX2j+9d0ZmpJ0vZ57KbdSWqaYLv
3M2Bt6sb8IUGndxZnD/cZBSn2xaLEczronCIC4n7QznjChQp8PvMRk9JWaA9tPTztr5Cc4susytu
Jq+Jj67J51e5jx6xpaX1vWeb4BLF1nuD63SvTxMpH6mchtvOUmmxdXtAYqQGEVduAgRighI8m5GR
7DRP8w40EYk3ZGK5yRoRbqosGl5rp6C7pfpgH49RvZ4Kt6BLbJrDNyMEyYoe1aIfhqfHWE+I9MmB
SN8NUK1kCxSSOE2wB5mF9KhwedQ5Ewy3l0cv8LXwsw60iLpvtlJ1BaraCfXfGbI+Gss8ET1JaDL6
RMg6bQhzQEckVf/NyvJ5BZm/msQNDuD0yN9FR0eTiXLtXMU1kfOk8T1QMBMvaUknfnHz5EMQ9L6X
xEHt4XXiZ6sRS2lWZh6jQTUr282GU2JM7CV/vYFySPxpB+Ux9Gm16PRFWLPn4+AvxwbW6rzDrS/P
1HUEOo06D9jisjZnapDbMUC67DLMizE/ReGGo1j15pjtdDcRhsLoLG/2kSaBAmZJdpBYkxC+IqNL
l6RAQSULw2LTMgvgcQUv+z4qbEQs/+27qaz+Wxe7lrYiYzx3keZ6sIGIq8uue5KC17mrU7bTAxGE
m4ssIC/QCBBW+VPe7bxQGwjiqcCLWfnjoEpD8C6bMQMtGm996Wh3ggdLrRokXp8Sgvsd91cEZU+W
u8GYmq3FU7tDjzwfOefrWhGl+ExrZ2drKUzUwQQaB8n62ajIIRElQCLeT0Rya8IDAf2NmzXBWrZ0
oCV8ANzJUXmgS8RCiSDTz5ikOLQst5M0o/LaxL/pL6sujZ7YB+In3CZzqmOlhLcoyTd+bjyLDmaW
SlTxsASJPM0FqwFM5ir61HwUehqSHQ449QAx0xvYqprcWdWg68OFiACWtQN6TT5uypKHqHFWoKma
fwftxTMbmVgFPZTQ1iqbjOIhxImDNZ6QNfrJiXiPQGKMpOw6VUqGfDsff/wR6x+YqPUUSv09J7oK
Eo/MwT2xss9RRpNxDG0krCM3god2rbygtCIEp4YQc7c69rifuukuKfwA9bCbDOeas+WO9odP6Q2W
DLdC6u29btLWWUfqxcJz8IQi7pvU2uop4r0GvCk5CAGZOfUsYYwlp8wFLCCm/AxjYLMQ+0h3OPvu
uurcllhNljbH1mChUpd8G5i/J5fx7K0J2m7JZkCoRzOrmy8P0r+V7d9Vtr7NivFX/d70rWh+zmJn
mMzv/F7Zev4XB6avjnrjUqHq1Ml/8oGIUIFjgPbkoqjDlf9Hw9eZMffolli7oPcI94eGL+ggg+UM
R7sg92b2k/8Tlr1HZf1DiWEbBq+mi7npbBBcCFT/521esunQsOmsPZZJb9nZWn/C8kK9hEj7wGCG
cQ+a/XFZKjV+2mXjHjHfSpqlYDzPZdmRIQM69I1Run6dUkSf0LqJBwcpCcytyilWYWO5pyjrm/OY
9PFDTmgVSVJ4JvLQMb6WVeCt2UtI8TYdNPoci3sahbsBNQhPQ4JGa9Fgk//QK9C3cRASBwoQ17yv
mzg9+CBErwJXZNtONAsxYKoqbTMGWBjkKy2B7Gj0DcPKOGfon2sOmmTsoQfOrRV+rQxXcOVlzLA8
/zhis8ck4gzm3aDhOYEJjAV4jPXrUYwagVHw4zamS8/UKM3wZR5Ln5hU3RrET10HpvFA8izMa4eV
oJCWry10WYnvyIhm5cpIFDtKfnMJ1bK99UfDwlXFTFlY9oDtjx7g1s706lPRfd6IWqQLwgBpKXdl
+iithJJlyCyCVvIh2flId1bKUvlKd0f6CIbZPZdeHNy0XaTuAH5MH6R5jS9F3Yk7XKXjToxJTdRk
MtzR4cD9RsbQRgZ2d6UPlKz5bP7si9DdVD1eAddI+RjUIyjlCoCCFNIIt6yOZVos4trGlulXV2YR
IsOhXO5iwvhSvSxWDYG5eVrl6Hi0fZa6IBdkOT1bPURYKXts+z6WtCZp46vWsdTW0aFbmHmU3xqT
O9G31RKOh2MTzOL5pLuqrDF5ColFhmeKcZkuf4VG3FH3Va/kgw8a8xq7sn4Nz2/oF10tYiDWVnNM
Oj2jXraqbY40k/BIWeo7e8jcZJFmQtxNoxtfh6E1bUbXZZvSKkJ5GE5ScoJp9pDIkEftqFi/hQjs
gjFpnWCZTFb20Q1DdQocJ9uNQyeu8Ntn27xy4tfOc+MXWUXGiZA2+y73smk3ME4/MawUV6aySYLt
yvCmtcrmIcEMRrofBKVc64DgBopo5cL20IpW5msBMOcaFjnjTQOQOzFERBWSHQyb2Yrsm6xSV2ak
LG5HiPUaQTtdFLZvUefp42IcUmNtVoH7JgVxXnLI9+FY9Yt8zO19KQMLRitWgNEtzCdhpR/Qb9jz
tNAyX12veCh7MT3R4Bq3k17od2XkcHgYOBsdbK0hvtBHUXCKesMGd6o58o3RbHLrhimVmiWE/0Hp
HW2Lnl8Kpzh7RLWWL3uh0ZyHmHqVhFxEJQSDkS5DPsJJ8t4VTfsuPL+vF21qPMDBo5+knEOp5LYg
wg6tvIuXLQZ+ekdIZXa2g2znkCh1cIKp2FspaKaGYwf6fV+g6QXx46JF2IyxkCucBHiLCSQ8VwQJ
fZsGiZ4K5utymrlVSWWnLy6u/Ee3qMgfMvNyyQV1iaePUkIIHaO65TSCRsghMavusVP7/sZuk3wb
NEq/hupPZnp2R5ENpDcAG546wrhL9FDsCsNjXJwpYg0Lva8/RDvyTix9pfTB3ZaGQuKRGR0uIIZ6
L+hrJcI0fcpiEKFz8jVGhJupKdMt+AVkLSNi+WXdDw7HBU2RLR+MZBFNDcOxsqOx4fv9YziN5Dtl
KVbWjKkPy1xD18+vav2KuU51PcLJWBuG9pKYM1cECyRChcx3F6wA+hKjqbPMtPg59ZS+z/RGB+iG
T8tM0vI9I0uDGOHIv7Nzz9k3jT2QiRVq7V3cAldwOYXYTPbenMQdtglDzFsdsVu7rHKhn2avAF6N
fCKj28ucdS5K/wkisn4Cwh491x6BkOSzQ19vnR074rQk7540yNDirNyr5NgkxFuTveofISnWt20S
yOtEV/JJC+LsxNSrWiMKCzekihDNh7R3bTdSPKcoWHYk3oo18bkgpYfE/EbkVXetbL96s4ScN5du
sl4icA94VIw+WzhxSgGV+CGOy4io9DFECWEE0a1hQOtWTIYXPQ2yex0+7lzvTissSdW6GUyP3hMz
xtWQldGNcBPFjcaoycd8BmOEI+IWQEG3LeKh3af+VD1mXbCNjSpZp2NAyDYytjURHjrOcno1ybLT
UKDSPNk4suxPRh+aB9+Anq6kma6U6YB3MNhuYx7xqwaSzY4O4oDbTtb+a+o48SovlP6SBXWwY2WC
Q9Kaq9F07FsSL7SPynLJPGs9bZPTNb4x4iLb2yDdMROFDS5+5T2Gygs2hi71+6iPdf6cG2DWHzVn
IxiFnepRvhfNNH7oU8fy39WAGxbE84LQEQAdkHEIuBTaFbZas8dRX8fo7LtS2Tl6rqLTcepA47+b
52Ls/UkSPnQAKuQioetDUjkWujuJNX5XwsMGjElPPSWprYZpgv5cfvdJqtn3WYSYe1DakabvevSK
/LZHyLdr7e7Vrm1qzxLnK7nLqsPk6rzacURrovsOJOHVK4cz2Xj5UpsUNlEh831duCNu8vjBlGF1
QMbrPvRVaj6liSo+0LsNz3XAL/YFOq03Jx6Z4B7oh9OoOlSykX27ZVYsJ+eao1YRAow2U91GC1S2
1top4+g4mLa7AnfQebeylaPz0tAh6eJReEwjFRdOG+mNbDQUPUvqwG03curZ5hjcriFHaOVrxQLK
2cvvV8YQpBuZjmF+8DRUHo1KzBWHvPTKQI57ID7OfcVpJL/qbhAmt8EQZVduZBv1Q0eRG2yzCXFM
sSSZYSqhBrR28ukh39cebRmQsmtEPVwPcl5SSnY3FqtC08dt7ZfFpneaZ7LY1aKGa7jSmWov2tB6
xuesdg5u4yXZ0d2Jnxw2fuZynMwirMfWsYPESdmjYSRIQ3YZjU7ujrPIYzFF2TqC93VgB9HuIy0O
jwMZQcuwMMYTU1p5qrmah6llDhnF6s0CnnqofQKzG0vrtkYxjIuim49bYqJd5tuivopjLH6bFJvC
qi+DdudlAmI8zq9t49j6Eqr2XT5hQ0ikFu7p2LakjQcBwdlmfCAi9egYGfZr16iOUUAy4Bi68msn
SA/yUGpuY9kTkYCWbo0CmLFxnJUEEVsVKdRRykaGTGhpc5l3HT0Q7M9mvrXpiX23uoBjNBlL8UBH
nhrzk3aZ4z03v4ECut+wAYG0OHEs0ZPNSIF/i7iijdvx74o4k+nJX1Vx229lHf5sfjJ++50/qjj9
C6MYxD8uHSTLg/X6v1WcZ3/hpGrhwSDQyplHNX9WcT9UbfoX6MCWQ9qN5xqY+P9J0Ya65+eiDfGQ
T+HI3NNBpGPazi/zSN8kHjIovWwnvPBVpbS02iYt146rvyB/ua95ugpa6C9ebrwwKJ/jdMZNM/SH
dnS99URy8l5QleybjLZMgdp+j50QDfKoI/zQJDtu79ffx6B3wM25eE29Rj9qYVZ91al1z5o5mttJ
Iw5SZGAcKi+ONwHZz+R0uGeKPO+W4NPVbFS8KkDt82odXDsl5brRTLYiZdU4J2GY9fkNCQSIQFqr
JeeaML7GhTsFmwkcvXKXxqi6B2jbJDOPQ4A4GDWKpRl3ahL2tmnDZ8fK6dwqlW3dPIuuWz02rhLB
e9L1Ir41nKZe25xVbxFWrS3GWR3LxTyeRInuEKrh9m8lgt5FL3qFVaEa3mNaN1epAoEkCK5dVJl0
tjYHvnVt1e5WoZ1cKsKQ11QSn20yiI2FeX0Vp461IJ3nzexHDg1tf0j8FOlnjJQoQZy8xQUdrrmq
CxW5xTmXzabNRiSW2k0wkpjdaSA2KuEjG3RL4+xXZvbS4iZ5hu24yX1FN7LNzykCsWOceXW3SIgX
gD/VZdd1JUK1Nr1eB0Al05duKuO7VETWXjRau2QAMrOowr6+l0IL7k1QwVdWOk7uQsvtS4yFPOJg
iE91mamXwDebTwbh/tOQi5RdoOzUyildMnTgpq0blVpgSTPvzp0jyIpM0J/LTDShrfCqVzdOUB0l
LuZ7SEb2lZ3hBZ8HFCermHC1I7gm9wePLbm+0sSAHAuDLw+oHSSJbs5oMyvSJpo5Hmkq9eKA+aQj
osUrXEkVkCJgMkrsRqQbESLEEroxlZt8dc1ec1aXVBmK/+Dp4j0AgpsjbSVCjILWOAlczlcWOQ9H
Stvka1XNLV8y1ef5HOyrTZ5QzJKJgTnZJqajQxFdgH2wBrS96MYmRgo7DBPk8cAPGIEXe/itdEEz
PAaKV3eu2Gv4HGbsScu3Wpf8zMxN4AskoWcYY2Rium489KVNAE7LS7omW/xKL8Lx1gy5NW2yoWnP
kssDcmEMxzMdFd5jDhLunDpdCUXcJlJcjFwHuha8oEFTVCKzI9RlxP6zGtq8eiX8NN7GZOJxtmcX
WgUDiFok9oyyQdsThCCt5hO3Bmkynai+2QNkm6Arieee31kSJJW36TuDl88YrtyF0xxqxRbsLMF/
eHfWwD1oaW3+Pcsj61DYRffQJJZalg5iU8D5fHBMKuMZUH776A45P5jNcii7ZxFZeYJJG3A3sk6U
lXy93GkJCFHkzqGPJM4YQTjEA4FGnKjLG8W4GCxZmHRLe5LQpIkyelaFBl+/zS33jnOetQcIMZwN
muSrum4Z9oadaxFLxkXt4E8dtHziqpmBgqWEh+jzEgdR6KVD+LIzXoFVN8+BnnhnJbV8HXFHctj0
7eArAyBCG+wcNjtkN16oJ/yndkfcIlkYafeX8ILJScp7Dqv+tsxaf325WrnKy/s4HBH0N3BGWzhT
vbcsE765kcSIoyFnZpvjZVEP2JeX7xTWc2Yg3PXghkiSRM7FdG9pyjJeNsl0aoro1MvxttOaB5LK
ykVvl18L9O9h7oxLMofNtrvRVXgb9XrKND3a5Un93Vb+FfgnIqQ0H1OLex4asRF9tCWO6ylk0L1C
cewdHed/2Duz5biNrFu/Sse5hwOJTEwX56ZQE4vFoThIlG4QEikBSMzz8PTnA2X7l92n+7fvHdGh
sFsusgqFTOzce61v8QOr0CaxwUDUMZeBZxXlQ8dzjPmjLKmyEuE8qEo/t0KLW9xd1haGDS5R5GiB
cLHVJPl8m6C0HCe9bcPyJAs3vEcSAg98spBEl9FM9gJ+8oNTpnrDkV/t8MjmZNTTxxgG4rA74qZi
kBPirYiI4Kmtb/Asyus6TqpryE2AmSyC6KVlvzaiOxaefeExSYLO0Ms7ivbwEwKaFyKRXue+5IBa
4AXKBnhe+VwMO+h181a3S7ZGGDF7qhynfOylUsEQ6+UtH+zAWuJiY1MX7quOACjdVyffTQ9Sd3EA
JoMvOHHEfqrJ1tDjnJL9IJ6dGRm264OUmOYciKAljyOb8Nb0+mpHRAahXz4HhAiOF9rPTzWKx81U
lOYZ96zLwLsjr212TLR64SdTkMpj5ByUxEzfsGKY5rnfEstNjngHzM+uY9CYS9OnTrQwWGZD7ljr
2CZkjQekh3qLoLw7YXtS9WZYFvYDOWTHiH4Tilcc2gEBdBZxWXXevsVzBxus8ObbKW7GaiejIemC
orNoIxVL0++A/BXnUji3TLzSC7cVbRxmF/eSRsMOg02BPrM39DEt0mqrWhqkrbCqb61NnMySW0Dk
iR6WVfWlz0raKV7rb7UYXkwYXeC3eNozXbQPhtO/Inz+BFrrYM51+DyKilGaTIeNTdAXsj7buGmU
/RzOBeNyluFGJ0X0giaphR4lGaub3nn0+mhHkeC90WgfHlw7EeDY6rWGcH0ZtMqZTxAmRs7vFvKQ
gEbvs16j9FSr8m9t6OpvXdNkJ5SjLu67FnrCYAx7nunjntHeaYxyHCkL4A831OWFfv2EgKqmspKG
vRmrxruthmr8XJhz9nnErXLr0OkLbCqsTYPKeJuxitjJu6R3A0hkNeEnueeTqqaj84D5RpxaKxQT
Kq3FuUU3trKgamhanRd96JzJuHNE4wWptKaaL5GOSthExm5IdX927UZxxxQhodi1zYFDLSMZX1Nf
3kLGck+KftguxKGDCa0OP/h10j2M6ZLo3dLWRQGItoDNA6r5ikohPQizrHfJhHIXZzYoqLiZviMr
su5EHnXPY5OMR87G9Uen7koSgGba+4sfB6PLFNdQFc1ld7lKc6qwfBiMkwmkBLGCVR/L0G6Dqul0
oMM53BNJ4PG2MiawKvvqtkgA2gayCUQ686YJIWRmsmwOTBeHoB/TkIj55mYq9V4ZxgGhHO0qb/mk
m6YkcQa2KNawGi2eSMUmiWmWQgQkTwnRyWEpkUIlMQdYCKDwwcLVh9UO9wtpBpt0KFueXIN3N491
9ljrdjx6MjU+yY7uPl2tb4T2UIA4c7f3Kyfa91kIuIQkGdhOSbLtm4Ulzih2M3jmA0/Q8g7yLHoW
gk42LRLeD7KaDtM4AWaVy+NMdMntlFhi03mePsyFONBoplUoml05lNE32OQH2fHIG+oy2w2J7neT
OYHvGkSLcL4Nr8Y6PCdR/QCo1oYT5umreXGm61B7sd9ttRHTAmYy++Cn7K7i2u0NB96RXmXNK6tv
1NFFOuCjWMIklWAdZU4NiMNAqwIYrTZp5vsmGeaBO2Yz2nHq3+WMRAeSno7y1AYgqglW9ypLb8AH
T5ou49CT/pPTPrM2DFHi+TWmjzgoJsRhaZFcl3+ccnVBYDzsQaP0AX7U8ZFAzgXP39LeRppweT3Y
6qazl5d6kcluqZyHxC8N+u5d94Dg0dpmNNjuareyv7Yrr0ZbxfJVtKK7GXPX2Cdi+NZEs7UbbWsg
22KQK8JEnWgQjex+eOX8EbXB6Dr1w0pl2VkhUNbZcD+TcRACVu31l7GLZgAGjZI878EXGYmziTRU
JKRe5JkNyYQFCLZZBUEF+zUdSlgwT75Bm5mR2PUiKbTh77yhChlQPuTMXEQaZKV6jVFVbEmh808A
n5xip8Va9Edz03011di9uamtz+NYtNTxrTpKJ7GvGu0/mkPPOBf70mKsSaLpFQQXDBDLouazSkAX
42JaPmZYem/aOH/lABrhUrWYbpFzhCKOri+xTEX8Wuc5T32jzt/cARQGTtquw9aYDPtGmM0nyhdn
Z1lyeoCTsATUQA8y0fad1AtUSmFl8mQqn5b6vLDS+mL84NBWu2bAVZyXbPBg385ddrfyGzExezL+
WtStiaVQJ0QgiphHgek3GFM5GpbUAZnvvXmRycYxRLZ4SEB4fewat/q0yLz4usQlndAhlIrkwcJd
3Z/mWDyBKC93tlg8mtGkBLZsjLhYF4QxdKuqkUMWo6/0Non68ZPoMNA6cDVhOpKtEzTo2Es60CW3
ENKKO116MQffxO+epGU2+DSZrBcwRNCxJd0C0jAZ0R5smU9g8qjb4Tt5hPnRlR2+TBRYjCeLb+lE
c76dGd0Psj2nTU8wXQRmGmj3cB/FXfVAM3nZ4m+muoUJRUe39OhHy2SrfQ/HcJw8c/ADeOPH5Z5p
pXeVoQL+R5T+r29/peuDWeq/ju633zJU6c23n1XpP17za9PHtbFqkesDtQ4R3Npx+b3pw1+xfRBe
tuJufvixfpvc+7/gd6KXi+7oXa3OvP03q5b3C1EJgqaNY8NQs0z5d5pA4l3A+ZPIDWmATYDG2pcC
bv//yRfQlK5iQak6O3P8giuoqLZOBbR1My1Msya3ybt9xamBCmwZA04bdEVcTgIoitlvk4LjhlzE
Swh2HsYZqakwWs3x20SExdbjhzO4YQFlEQmGnmHg5M0+K4PwUYlvZF+Q3HmYpRntmsl35g0XMTmG
uW0/6m4szhOjq9uMox0Oj95EioSTUwWhzpuTI8x025fUcgZsP9q6HLPosDfXU41u08kRRBmTrQ8j
b87ayMaprtwlCa9Ko+keaM8oOgTJZ40q7yXJcuMpqguH/RbREG3mCMs96V+V11Z3y0SAaT61l8GL
3tA98SFDPqmIrYtCOb/3fdySsy0NrNtFdzCj9HvFGHlks4LgWZjIHu0KhxHScpJZF357PFgXR05Q
7tzuhi1DbnrLulDLPIVDfyNCv9jEU/HIihfnaazWiVwBlJSnIX/k53LOzwoFbQg0kWKlm0408T/7
Tni1DnqQgckLCPPPNV0fSA7lI+jZ5RNx1Oa2knFMQ63qYXrB7EoShm6u/zRJijsXb1MaOutbqDeO
zY8GoCYP7uKad9QyBpCQtHyMWj/7UM69+oDLtThIYsIDTk1yj2l5YvLd4Yc28+/tUt0DelqOoTJO
nZrrL6VicEAK9LCJE5zXAbxvnLNWdU+FeAy9BRO23dV3M+LHF5V6T06blIdyapKDaGea6SEy28X1
BUHyDttf5j1nS2UQMSvHZ/jW0UnlqEoCfO75heNJ/2qYdVMELt2VS8ej55YuWiwoWGJAxGVcLzvS
4R8lDKSdbHB4ba1SPrQcvvetR1irlDE2aFYOJ4UhQbeHPnLIJw7oBE4xN4oqIaBHzmz19GkpxAan
vLXE1F9HzDT7PTIs+xm3dnKtcsf8rPjg23ZG9onc3Eo4qeF33gsPcAh6k9m8HjlodFclg09k47qb
wfvZCxlMwG/C77PvjjegMyXEX+T3u4xxCvbIDAVvrsXjP+39v7LRrwlYbM3/WaR1Uxbdn0Lcfn3N
rzu9MIlqs+RKvwI9hX7rZ1eusz4FTJMUDoHNyGI//3WrV1h50ZeasAJQlyqUkL9v9Ur9QqqjjSnX
Mm3bcZCl/g2RllofXD+LtNamOnwl/icZHXgMIP4o0lrl8aiX5/jOrSpfMKrPDcqo2LIDG8PlfHTL
VBb7Po3ileAjq5vIIiUiS6L4rWWJliDkc6sKPJLfQNYvNaIK1pzzijmCnhWNJIV+t5rPZZ022cdk
UfW5bBfzTcto8jeCOr/fmLZw521uUFsfEoOAZLfrXOuqrf1hOE0yaUZ60RS3cZfCzieBd96ks5Pe
VIxVAgBL5MzNxtns5wrLEbyWQOhioTUwN5+H3sJRa8VA8YfJnNEAkOLMqK6H2iIjtadaipFGj4Ud
B8qJk5tsKMerHurQ0Wh6EIJlrqsNfdDpMtTGwQLGC8fap1PIPhgbGB4xk66JQPO86I+T3VaBpPm5
7XGzxr5ImqNeRINnEl522PFsyhCHb5BM2x3zamxZVpk1gIONkFbxhm+eq8zoW9wnVmKf4Iq39y1O
Z+d6FK79yhWZrwG16rB5WpxqucKR2xrq2m2iKd3pRmwqNTpTdWg8jmU7a7LGm1KrLFEZit0ZuV6x
dxYPpyijhhjw05EyOoaVTjcRP4x7vfRT0VCnc/wR1gTMIO11TMJo1MCgvBJ5KvzhOht9JFNkQCFB
9Nj2PMN1q21l2erTIC3x0LbgPrLaN6Y3v3Ar/X01UDDyMSH/3lpFa+fikQhTsXe6xGVMXLmh+1KN
GR2sOveH80jG3ckpesAd2CzDOJizXl8lyi/QXGTpBTQSLaMEjXoIPvcO7fKwWeNOuS0nFGY0/5Ae
WUKcPEQmAKZMaK+E3hxAjiNJqDiKOL1KtqGRwcT1G+DaoFejkwdiSQU8OzSsGe2FR6RKkDYzOdtX
OTaTPdkC7ZcSb9qr1dVCAh9n6EsNv1BpeCCFmXdrbAlF69N1oaPPcyjKTgQ6aHFURf851mro6LIo
+97gCtoblGTR56hRKGm0YqYzkbCHYKPYuvy6m8yRsKMWMV2KshMHkLeevlOCQ0Fee5RiqWWCERUR
WBGE78PWS53iahhN+zZZXcKbqcvU2fH0cirCxeScYM5bNM5feI+0Tc2cJnYW3Toxyudtr5wzY8j2
BVNg+DluYn9fIp45VBr9SFqnjP6FWz3T5ry1C9e+rHf2XQiEe4utstg5tbhZtDvzHCeO3pOVvfeS
ymq4ApX5vSTI5a4E1vcSUfNcN7Uaz+VAwm+bwc2aEyc6aI1rOUxIhQhrkB4WgfaHyoGhFynOlMR1
WWcvdT8slgnaVNeBa4QEeCyDfa6S2kDL1o4f7boc441Op/E8JdL6lNszUsMejTV8p8yUD6hl+52g
t/fdcL04Dzquxj5dNEP6LnslKNAPiKaksDP6ufbp4DjqkaJ3goLuDuWr8lYyvFaRuSGa3v7a5avq
3m9bfkaFLtHLLGZiFZHF/UBwoumUp3SqiaVGhrILB/g8soi842Tjox4rKLmbnjbdvrMjAhbcHvGi
AOz4RNG6Hu2H9Kmd6gu3dfngWfPZH5mW2GnoHyGWVVRGsnZPXmMkPvm/mfeGAzS+9zMvOQ5hWbwB
kvK3mTlb5NHlpunAbVb4J0wBu1k/gHn1rmY5TNuUu/tRGGWVb8Q4W8ToyjDghP/smVrAyLIjyF9u
Tcp9NrCz96b8XGaoNPK4N4iGE0B8J9OxP9nkemwlVOEHmKxJoNxm/AiMhba31OWNlVVpi9RnejUm
WuaDJbvvETO3ILUpukpSpgDtW/KFzkt+t4jEvxsmb7mfC9o3lDTdvdU01XVojOajK5olDdq6SUFF
k9m0a8va/EL52mwVrckHTsNlF8xjLINY92AJAC99n+C/H4uBYAqJAQP+G7cWnSBSPWJyctHOR/G4
LWBtX3kUaRuXyu3GqpeI/AGDOWwkrGcaGdW1N9rxqUQkdF8jZdl2tTlwZf14/kYaavdoI+LSAYFc
8balYUvZK9ocTTGwCyEG62ppiGoLlAV1J08kTBh4ndK2yptJVzqg99ecl6IcLxlMcdpi/k09WHaC
uS2JwyvpGOlNbApyWCzoOzQarSfdZtWNW3nzozmKllOPE/sPyp9AunvddFVOYaI2ZcgMbYgT865B
d/Qx98v6Y+QVzX1By/FDBeTgup9qWsSjtzwLhkNgd0taiM0w78KZ4p2A1jbeKj4tRz/6+N1VkS0D
gHK3fyaqlL5+otpiayR2ETg2oJ7ajM37GjWP3LmICU7FaKguyNNxvrb1nBNM1Ahr55VKch278UVN
LiXuEDuHecrJs9F1uJzWydArseSmEZQhE3cyBMbA0ab/cV7s9miqhQe9hxaBYKmoTfY0CZ2zm1TV
U+hiIt4YNoA6FI0Y+bfeOJ37umz2baX6IvinOP4rxfEqSvlvtTFoxbL58lb+3AX58Zrfa2OLAhgR
LlUxBai1Gq9/s+avMBscA44tCMCm5/E/0hclcClYkKodEj5/7ZD81gZxfgFkafmeg+tBugJxy9+p
jf/MIPXWvFbQmCTrEdfk/9kiTbZaZYYGQDngE7X29zBAvLl/aQZfFc1Jm/nawE8xUsT6gCSY1upZ
guwasXah6HSpSsuZJ/w6N/NSeVMYljRpZxgdhBCKSjIIkvbQp7qbwkPqJXaSnO1oHJAWLvy/YX8M
maX76pkYTo79MFn6vJ/isxh4si0pM0/X2MTodgNjQO+Vn/BSQTNL5Zgl86ZGPWx+soomZFrhdLgH
HzW9AyEZf0eje0GW18f+XZJ0IFF8uFGbnHyQHAdQIQuom81izOw81KVBZJeYc/9RjP2l3qGl3v3S
//lIeZdmX+Iy//Lzsvn1Rb+uG9K/OcdR7+Oh9Tm3+ZzZfl83eHjoArq2a/3Qk/1+ppQr6cmRit4i
TcTfz5PkhTvYc+g38kvW1/0908/qR/r5PMmawztEMqngHQj5rln72R/bQE0sJkfUJ8WIfitVtie8
AiJo3nkQWoq4vLL9yGA62MYLuoDG6Y3neNWJZq5jcRiYDKKqSKTKIeEfjN6QSEvnOrsGpZfo+46E
u8/DuwqVaccpFlF23a0aVX9Vq9acAvITlsF076xqVvhIxVm/S1yLVe06/BC+zuJAUN8QIEBBFotp
Hons8C6X5RTL+O1dQzu862nRjLhQ4xHZ6ne9rXSGogigXXjJl6Ez4peeOLH8WDYljLSKSto5dzYx
FgBYAVgpxgtpgoQuHxNPjrdZzFHf3XvAFqtbghf4uIhjGzpUxaxVeCTOQTYTSo96TY8t8FRxqKCc
YIOkcufIdOthRuxh6GZcT3RLc96PjHxteqvbfhjgbkDQEeYrqjUUuEA8E3tk7MaRawFAoEsWc/5j
ZTvvy7x4X/LTj/Ufe0utgPvoSpEO4gxRQQBcVFkxEZae7stFvy3hPLd2GnQ50ZXbISopL1yLMd/B
SqewuSWE0bhiotLco3oJ0boYcsO4rmEYGBe4XY3hEDFJfgQF2Scb2ZrLBtTJeBE0/PaOvzJEKp3u
OAoS/JfOMbTPtt4PXp6eqXTloWSqDjyygxBWDFCC6oIEMqQY/ZU3TIHbx+k+z4tyK504urMt5jtD
nE1b1Ocp9YstNxpByrFd/PDSrMPDsDA6AhCB5sFEHCpgqM5zWuYMMqO6vR/jwb1QuQ6foMoyl/cF
St4qni7cDyX0pjL5AHklJMCmnCl2CWMNCO5BY+2i2xtFsiK60vBDXE0Sz45jQE0Jp45ptOHvsWvL
c4jf/WCQEAKWmJPu/KGqPZilZPg+4xIBsLrabgh9i1Gt2LqWE2KYxp2Ccl6Wq6KxHBAlXZvvekBm
VyMBaIcxS6MPsirltb9wTNiIyh6fSK7DRewBwdBrnEr2XYzKQTXpLva0icqi2KVWiW5RWPY92Cv3
ijSJJ40zudU9E0s0Ce5ZzBj06XsuENvgVA13fRRZ12IiJlMpv990GtXIpic6+hJnTvGhaWmaD6Fb
faW7+lFgc4HH63knvmkk9RWqaeIivZtlzqZL6LTxqVBT8xQJubz0ciFDxR8n61WXuEwMrOno1mrp
nkZiYfZKV9/WZIcj85B6x4GVYTudanJkvP7FdHT2cUaF8FGOXbI2sbz0Y41rlgYMK8wxuuawYn1Q
TI7dPqlorJSc97HlZwcOxvMduEX7NE4tgsliTnlM81rjTugE6Za9aHAKjpncFysjbjKqqQlKMkO4
iyO9gZU1ZRusK+1WGfUM67SvgjHkUMp16ThGZXEQGWZQ2e14KsFWgpqyrQ8KlPFdZzTPydI86spw
3yabphyjglVxZY9YOAOrWvST22h1nZtzSHiWqjYOQ/stKsMrX7XuzTw2NUujbx8XTqJbuzHLV6fH
YFEhxb+XDF+/rhD3eiOMbFqpdBVNh0g9R7GyoUVklsJMWM8kYxJRqyzRf+qghBUc9lZJCRmqqRBL
oKcGZ34VfWllnHxbcbhBO9RntA/jDjzttI3RTL3APEuOksQyb8OQfD5bE94wBfuP+OzOMlhxKjZv
BVkssKeFgf+LUMFLqluQrIA6fBzNk7gd2oRsgwwmG/MB5AXTETLe9FCOCvVbGo3ycehC7yt+HNQX
fdIzQPBoTe2AhMwPmE48mgyF/YXYtvKaQQg8H5LsqHM4w8K6QddSYe6KWzS+ZDwyRRBPszDaWyIx
UVhEvRy3QgL92rTYXOA2DDB/ZuGdDWGVtyg3GfKgYwk6c3qteeY9wKWYryI4QgE/lLgXHbZXdlqR
11KrCYLp6h31Ku9VEaLyvTTUG94Li8iboeW4WqPnIdlux5gKTWTOSY+2g3fjyzQ9cxpz9EYvr7Fp
IRgxsxJzyvRcms0jthA8UKKBbbgyhZPeidErCJus2MW/1GTv7gxS3GSgYEgcIyO+zVLAd6qHocyA
Q3xMalsddGQTSFa7r+iJvYfaAoQd11n5FOFTYKTVVKdRp/muaUI7u7FLIHZ2Wwy0xs3oaIwIUJms
Od2BAWV54c7NmW/54z1zkOYNyq5hovwTjPAz5X2InFCdeIfz1qIFEpR2ZVdMsuz8HuStvc8gelwJ
tGIBRrFpO7dmcjawShLxWZSHroe/o/qp+0Q7AGK5VzL2d9PPXSu+6rpK0QdYy3kY86jfOO0Y3yuv
zmnHleT05rEFoHVqvws5pDt0cP2jpm+xG9SIQCby0r3ySJuSDULmVRJzS1RWdxh93H4z0Je7IdJS
7ACscLJUhF0HRhMbVygVmkQh4itGkpFV9rmexn4fjV76liPWR9nF4Zht73PsZd+aNGmvpMHj3kRh
va1t/omUX58gZts5Ig4wr8g3U9shEdbe6hI49pWhX30N4avLYuPQ2QX9jDbMLhpO1MlqdYKgUNdX
PQXJDoOTf5RYk/buROWFnc+GoxkP10leAkvOpqpG02YYW+AQxF1VJXhfty1eQfyirVLZE1oJEfRz
7BzHASJ2Yt/AOamOhcrRWFTgD0thv9ZmdcEZSHokQ96A/vSBLdqgl268iETRAIydZJU9k8qa0XXC
vnvrVs3FNduD3wJ1GHPa/XQCtmZcPHgGuARdLhHkalpaNY51rHIkCdKbJv8qi/bEht7I3DAe/HYa
8UH1/hHvLnY8mV/IDL2fmyTed1AzEHUbdB+y+YJmSGzTBM9B21XltlugUCjkEStEUeD8kwubsCvv
ENdAz/YN94nUyeS46JC4RVt8q0PH2BH8lW+SHN2FlVQ2D7IUaHgh+wsaPOyo+VzvXKjmjDowG01D
QQoM/Ty/oxU82L0ITL/qr6a88Y+6iAyGgot3yrv5kiX2ZxW6z/90IP5SBwJKwX/vQBTFt9cuee27
n09TSDN52W9SDIHewjdRYTClW3sQTOF+PUy58hfgRIztQOMq8UOl8duAjs4FzDQLmuhvqITftBjK
/AXNBAIOSPYUEn8zfUipdQD3sxbDc/GncZhTHic+k0SWPw7oAPnj1ymT4VgWEcw8UIC7eCn8wO66
F4ZgXz2TkX5VoiggeAZmlnY4RE1zevIEQZVm5z15g5eeGFWlgNuy8+Ap2s0GatCaYQVGAKyPGl4I
8/sJQQUpc0rCQ8GrKOku1P6+8g0eXSy9gIPfpaKtwOJFGKXhpu1E7VJD4obZYFkbAo2yESlIbW51
2r4MmY/9kkTOuiotWoP6q2NU5jbL+c9TwQkMjG5zVQ3Ni/DiKljsgQp9gfaUh+4Hmr0P7LlfByp/
Xlu9ZCVJU1EnN1PpEm3gWBcRI1mzCj6PU03dzmzqFweW4QbBF2QmY53FRK2FIx6Zw2BQ19L1Ro7R
IVjl0gykOERdLpmMpN+t1Jg2jsOlfM8fNLEycLDgEqg0euYjcBlM7ypPWtR2Df/VQJB28B6IGIcW
+QmxVR41eZx7CqYMfZjD36bqgn6YIEheyfHO2yR+jzDGWm3sM5egyiQykE4sl6jMLj5jrF3W8isJ
UcDgopCAkDhlsbGTgCgrB+33Ej0z/cPx7a7m7LL4PhdQeWoJiM7G4kGNOzNS9LPoNcwMpKANIkIT
J/+7JKM1tYYJTEIIaH/0DuYANEL77VPohekZnR5ZyEa27KsFUc3ocfUkLPTtaLtXnjCe3m+ShMj0
7ayINa9c7gMyDIDOgbRqTP8JIPlASAN/5KZ9GRLeVKQx9fDIo3em+3ZbRvl0cv3OAgS73kWw+Ngp
XbBqgudh2Vo7d9UGkSZPkgf8eOpmoiwQ/txyP3+ffAptC2L1hgzArzQ6+O4X/k2HHGMGYRTbsfNa
mNAlr8m5Sq2g7LRckg7NmnDLpm1e3r/vnO73ZsCUHnQjn5fJto/SHoFQWdN763FPnEwRfWeRc1fT
WYPWyN3pudwq5boW4NPOz1nMvzJd+wqdie9/8rEyVyn2Hi4X/LCnmfCMHZJaVpdLQuHo5QvRw6wO
321fXE6LgePyDXs9N5PHany/GEXFohixldwgsf2al2ANQ9OtT4g87Z0KuWmzlOjJGZTDQ97qinPB
yLS+Qbcju6raI4+3dmDtzG3erCS9dX45RnF77bXGRFIfDD1Zw8eru8XapS6LEqH5ORk1z/OePEdZ
8JfTWKQ3qHDMrTTZCJBrEQcyR9nOZJ2Y2ZBchti+fV9eqDiXoyl6azcxg2K6jd6n7GFxmKCxtir2
0xM40OIw4SDecdJnGaYkRr1/t/gR5MYIi7MzoNeKBLdAUYHhkyPX5v0uX1xSUsuq8Q+Y9lNwf5m/
dyS5zqOBwuj9BljvcJb4JVELwqOZbcwfWN+KUe3x/Wvu+lGyDriNILt0u4Fk2S9VYhtHEtkTxu78
rqIXxjH0wZJpO/lKH4ivQKTMp3h/vmT1mAarOUe3HVgFLQCz6QsGDeZ0a0/2wRv1VwPRD4oztGlh
ikkBe3JClIxpHCObdVpClMadw0jVdbjJihxpq0EQckC1zU6sczBAbA4kjQDiVwc/zshoZE52DgWA
TNVKJ3Cxj2FBslu6QS0x5w5DSnfN2ZyS3DyapS13RhaxKUaCzW3kqzNc8h7D3rrE0vcOcKvmQ9Wx
mVSwoTgU87HDgbcw9sweWSLlke4vf7iZ/LE3Wf5k7d4XLTk3ANXIeORnx/d2wy3R2OpizXo+OKFB
XQUdg8fOyM1UTxWA5YTvr8zMLXE7qPUcNd32LmnryubSzKyA92uNBTXdpjk/sicPda8K6N4K9xrp
w/RpshVv4GZGeG9hpscmWGcHL6y/17j1XBTVOxY9A6iE/UQZWbIXTfPqmYa9KwyOJ2XtfshLBlGp
Ed8bY3/rQjbHJepFpzmZOKkbWZuh4oUqvrPSEeJXMdGR2i7Z8jm1s3zYOFQEzg5YLL6lZWn0V0uX
0xasgg/z1bSe7CjNtq03VvqGEJ/+lIwmX6E0ieshRVQwZ9YmYOmYZNr7OFIOHgqs34Bw6IsAbZ/T
ztwBnW7aHbCKSnAAr41TFfZfDKTIb60/vKrELPtNJKf0u4e9cmFIaSxLG7D9j8euaMo9QR+TjzbF
IHq90g1rHn2BgX3EwowjvPDGH8vFwO1QjO0tJwHPvSKYhW5lxwHAeJkjEj/jPhoyTJq+7Db4VISD
3Dpl2msPjjXvIqsIjYeip3yIXefpp1Ls/kcF86+iz+/LBHj9//0/lFx/rmsUg3tJs9pEHvVO5f0J
fJz5hrVwFu6PbjJjoVji70nKw0UW3lPfAG61GagEKuFO/++/lxnVv/9eBScFbZXpSvNP9RTxcNbs
d1V/JDh23exYgzJJ35hRpvAg0u///betduk/VW9r+CGkSyWABXp/+m3LGBmKMID+mM3cIGslQEvQ
2EVgb358rn84av+LBd8Xkov6n+cpUJW6Jnnt/lV+/xcjyT7/+kc7/o/X/3YaYIJoIsdGCPfjMMD3
+dtpwP2FmQsJmZhufmiz/2e0AhLcV0z//HXgwYSFe+63kaQHfZybm78EyG/Rkv07I8n1MPKH24lq
zWZkKmxLMTOV6yf/eboyiyIV0J/MYzqtKQbfs8i4m8gaxgC6BaJ8zBPz1IKOQOz6ImD8adn+L8tn
PSr921tg0SIY5DNbPrEgf3gLOIWdysNiwdBjNm9D9TKTYdjSVCnyfZQS12t2db/1K0zOKgtvKhLG
MSSrAmvfJ0XJucQ854mbAe1Jbr2373wkKi7pSWu+gLIHetZ6S1YR/NnqVQEESkqKsiLeGOlnTYm4
/uOsUBUm83O7lMTTt5uWbGmb1kDZUcBFDGGofIp5s+DmJgujaaXcminhALL4MHuEE3NPHCfH2+Ry
7ebIa4wdEL71clFduw5mKdU94wbRLXt6J9tdm2JM7i+og3FNFYj2DDgyjv9JSGPXRu4XiEkcWrQg
O49em+MGOfohM4536P22w5QHBGM9TAYxIjXtJrLkdkNXfUZTbh6SrL+PWveak9PXJeqDTqdB7UAd
cOjj4rXpaNQXxWs+KfOQag8Ulzm+FiraRk7fnosW6yF4N1ynLb9sofUi76JcR/9oHP7StBZF5Ppg
+s+7yx6NQ/L2h2Htr6/5dUfxzF/4EShYwTXD03B/Ejl47i9sMg4JysJ6n5uy2fzm9UDkgFoYTDZv
wLRcqX7fUSz1C4NftijP5MFiUSf9nR3l31azg7RBQmaw/x97Z9IcN3Nl7b/yRe/hwJCJYdGbKtTI
ocgiRVLcIEhJxAwk5uHXfw+k122Jkl+Ge90LK2yHRBBT4ua95zwHH4Slf19wfvoKh8Ooz64qu71p
dsBhwHyBMxRm5F2KziIsHBNogR8ZGq//Pfb9p2t183sN8O7rKJeuBi0Xro/rMJUGOPnLWlJVWDz7
eaTR2pn9xplye2PEZgZHLs73/4tDkUGEDwWgOxXHr4dC89gbRi6XNjX+gcw0Bra3ML3IPqo+WCL/
dFZcSu87s4UG0VKB/HRNUWymihUKbtM4xnCr5sqvAcOu29HpDn9/Vu9oLd8voMU5CR2dGArud2c1
9i1wFckFZFpO9vNkEo3X2W8jdJWQGdXaKbGgIAVJ14oEtR+Lwr8FkfMM/vwl+Ovgi6KApxhp+7vz
BBERBJZq251WChRuyRhtCgN999+f4u9XUxL0YKLFgXJqYY369Wo2oWsxYgo6MFHCrnk2C2Zpcqyc
xXuaE/H094f7NRdBclKS4pjqcGGsY0dZTvqnm0fMkWlFBhNmWjQt0YP1N8cy39wQ47+R5Rc2FIsf
Spj/4DJK0zSZ4dPhEwZcyV+PiIY5GYBXdDuMHiTMkLPHzfLKzd+f13KZfipEv58XCg/qEAemEFEo
vx4FRBS1Q5V2OwvIyMrStEtq0BMzX/pjei4/OKc/XcWfj/buptlCD6tQZt3O7THJBljUwz4nFjhJ
yU4nuIpkkPT170/wO2/7/Rki2bKl5cK3td8vZVOU2u4w8NoZkS1OYDqzh1DvMECVM8QsxrQkE52d
fnLXVQaoxG5196ikte9Aquz6zus3HXr5VT046ss4WtphsoUH3aOtCAZhjONEGAtArn+wMBm/v0bS
0sE/GfSMHfO3J85t6MuULa9RPHQCcoAGfpkOrgQtoVn4wRqDqahbDr7F1duYwPCe9dmBrG646pq4
NGsdqtA7kYz211f/3z6Z8o+/Guvz8oZL/vPuZUi8jPhembV4kiN8zZH04zoa15Vrt5umCptPCK2T
tT7YXuaXgN+OY5HUl+TgYnDNR3xdvV4w7G0W7Eyhr9AHB35QuOy3zXCi6jLra9OetcPMJtyHdAd9
1pGYx2jrPHQksj5ANwnWnhVX61pozhY7fIwltnapdcZjm9YNbd6MogkJDBxbeRGJ9BPJiOx3xWQx
lZrTbY2nkI5Reyo9Z95XMUFogAHoIgcZg/Ro0h+1ugIaUwABDuT0lk7WuXXbdOUBIN23dtSe+MnF
9u+f1t9fEIw9FAa89cKzHYci4+dlZmxoDUmqu13cRNcaQnQy3PWDEY/33RwwzOty4z9+JTkicZ+Y
W5aNiPfuiF499q43p+2uDoKD0YgNaWRfvEJc1haUFWI5n/7+DH9ftwn8Y7VBpekt2cLvlrUG6E7B
vWnBkGRqZTJoPYTlgPzQrCf/7w/1+2PqYl4iTAIU9rI7e/eYhh2uxqEv+Qq6vbwotco4oL1wPriA
fzwKAi3KFAvV3ftblqMFzduBC6jZtV6vKsfT9mSduTd/fzLGOwUdKzVn4xqGS7VIBJV8d6NSgogN
W2GBHUej9EGQJlt7zEHiNAWT/6BxKCl48OltEDLuPpLzuisFwTUf/BrWbx8MSODociXhj6gNxbv7
V1WlmOPegfcP4JhOtpdtSVputwJdjUv3dRZM6kdvU+vlt6wcnHPaJgPyLr2/yufZOpLoHXxwB8w/
/k6Og2TYtVAYvq84MINoWhBZza4Iu+Kg13Lj6cjhZujK1wG43nXkdOpzBt0eS482nToFmt+mYed7
LrIwp8i+ZcbYX6fIueZ5eIZZaq7hlqi7qUCQplAM7SVegGMxZdcgkD8qLv58Ah4qW+LIBO//cu9/
qi4Co/byyR24qGhUQrgE224Q4aeIVWytKifxg4aAgNyxW75YdX4kuPrFjZ37pra9Q6eCYD0SJbkI
9L3bcnbKe1fM32ZiHI8WlI7toMKJIVCi8a1osy3B3+qD8shYbvuvX1kei5/O4N3TObQZv3A5YdDW
kvAYzF5xbOVYwAfR/XbJ6LA6NM5Joh/gcS35IUCm//7JtP74FNBK0yUvo+G8f93dibVkkl2zg0mC
fA9mnHylrLpxcCGgotG/llk/PiJPjb409brt+nCdlCYmZyti7hM2W1NvIHrZgmSE2BggRZkItSIO
uMMcvqgaQuMbBBWDpdKBJJ1upJ6Uvq15j2QJ1nujlyALpZHtIea8MAe7sycOFIrv2aNeIz+45r+X
bq7NbhCHP9Jdnd3Srw8Njn8nDRjU7Sq0bUVA1kuS+doMN5vRgvVBnfiHZdumBmbnKdBnETL068Ga
DBcZoizsV2Hx5sWoOC2DEZUg0/2DIy0/6d2TxJFQ93sk7Dn6+8K+CsIO55/kSarD+9SwwsckW3hq
+cRuQk4pAHXdJrwmsI3og0foD19fW1/kzpbFh4nC+9eTbEOiCYIETQrwys9B696MTnXWRfCWOe0r
W177gw/U+77dsqaTvoszwTDZcANp+PWAXq81YxzzyLINL86dRd0zkV42FZATrH7+Rpr3fRkjVQ0n
RXEjGCD1DUkdMI8+OPU/Pkw4K/iy4Af4TU4Qd8Afo573d3DL1teVA+AgIlYL8B26rih5+/uX9Q8f
TQzG6CpoFJKl+H7Ftr0kDXEtcJOnmgmkMoL1jOrugz3iH68vajzUE8vl/c3FnDRGWBpCNTv2yPUa
MXBE7gChaXZAYsDQWLydveh8DSU5RF3C3OgGZJux1y5mfLQfvK+/b8pd22BXyKZcOEyr3t3sAT4h
rDccjFbPmIecK+Kz6/lq6kHxhbmhrVWTk3fntCZGwk7/4LUy/vQGUw1xsanbXfH+WWvDHpZCode7
yRDRq3JqHJRDHbanJjZkvhrsEppi2fEDVtrEPHvVI/+UPpYURKfENEcpI+hpuOoji2mW2bbomWQo
m69//2T84ddkgm4jeMdYumSB/fpKRJobT7Kwq52NcpwgSuLmBf7mDbV8/MEl+cOhUPgIEh7xBLkk
G/56KPy3DSxAp9q1c5C/CWtybuciwj+s2fr/4rSoQSXGpKWl9tuqphjht8oV1Q5eaH2LoMzelpMT
XCR1SxfxfxqNNz9Wyp8HaH9YxDgSbRFKRIem1vLq/VRL4AQIk7LjSDGoFBhQhbojF9rc8HWbVzpc
LDjl0fTB8vHHS8n+WjDSMsAQvLtrmKmL1oskcDVzEXpIwFRxkpt+rZvNB4f6zkZ4/4Wg0tBxYOHB
Qkfx7kVyU1F24WzwiIhar7Y2UPyaWG0xzD7suSJb23Vj+jY1ebau4OxqW3aO3biZRwd9YO5KXq7Y
osd4CDCJP5ikkBBkVaAT91WW2RDGyeh6AR6vXaXEtDZIQTKmw02xUPkLToloLLtktOL1EtLxYOkW
DkYN8ix2TwfjqiCZkXlDZNzbnQkXKhOjNLeJkY/2hiyTyHzy8AHk3+yEZkm4UuxgoguwiBby2zit
o09Nhjn6kBV013ZRbORio+nKOObzOGo77CR9cy1zBrBXou2m4NZujKzY8r+1YZsPdZMikRFeWvhF
2ovwynWKhQQvLWh2nYQ612uoeo51oZV7o05RU09hjSvbi+KHvMErtBrJe0oOYNdDBC5dCUJ3SuMp
3EBsKOrLpGc7ifjKwym7a5rBQ0jb46oGYoib/yLXmkCn75Ar01c55p4FwuWaLw7xHXjHgnZEkcuI
907JWHNIF2+S6WbAnXlXxIKIz0mrPOeso60Osbv2YXegiB23lYuDGEFAiDkc+9xMfGSTeLsCHVi5
yYKl/adrJlOjqpHupwSp8nrM8nKhMRIhQvyGAr/sdrf0ebfdQjoOFuZxprn6uS1szDMkte+1BZNm
Vd6pA5YMUmw7LvTkADVuL6Jwky5kZVOgU00X2nLY9Udr4S+bpFEkC5FZdng8ugRKcw6uWVjasGHi
xHh+YTkjPtY3noiJglxIz1TM84okr/CiWTjQTgu6WXRQSwsg0XMFLbpfuNGgfCEAZw+LW9teyNLS
y+sNyIb4Bk/fjJcI9qG7sKithUrNbgFGGEzicSFWS83AK47jg+lgcAjI0VyPSdpRVADAyfhK+M3C
v04BYVctjMx4niR/pKeU7tI4iBqv+mj6s55Wm7GtSciMAgIGHeJVBgsfDnf2JnDFOdeicWMMbrRF
FkGkxkLqDr4zuyldz8HC8UbVol8WEWxvzMPAk/W2frMX8jfwauW7Cw0cAhEYuoUQ7gDePFh6DO1j
4YfTpDhCzNnGUhmEsE9P+cIaL+Jg70hxF3fTkxwDRokIzIFGBU/5d6pZCPPyAL6CFIEFeoaC8B5b
ZnBsFiAajh8X6RKQtGzBpYkFnAb6Qp2h3PU31YJVazrGjAOktXZBrmULfG2CwtYsODZ3AbPFC6Kt
wAPwJhqwbdMPhFv6A+jW/cV3o9JccG/lgn5Lv1PgTB6exxxa1+g734lxmM8NP1kwcoAQ0utqQcsl
C2TOTY2D3oXTBvN6ubUXFB3/pdyMvBCbQJpyai7daQiH5jNhjU5TQUHB1p36c2PWnzVgFHoSkoOg
mfzOO0czyy+jQ1D63kozk9BFt3b61VQy377UNBsxTOq4KNmzqZfakfasDuK1rCDQ1VwpEnOKzF8w
IfckSI43ZpaQJp8XaXyAjQH23Iura2MwXVib/UDSYEUzLoob/dXWA+pJ+rtq48x6dkFQav2lbdzQ
RvkTlutkkLEFwIusZdGnwZtHcx/+cmGDWv8uLJ0nd/wUYfh6q1WNTnLKG+O5gDfms0WTJ2iN6nO8
hFQ3RBbuWiqWe5d4ms99w8+ZcLZsytasjojBs3U8FuJgCqt5pAu3kLhwHAKs6ngSEEVVT1HoVl8q
JdJtOmrVk1OhAk+wy2YH0r7SLfDt5hHn68T+kIQy3w5kDsCFsBBSFU1NrlMyAJnC2hLuqGkdugpB
k0MLecOu1Ku3KfumfJ+rkr/fxmH/UAUDybUuCFmU4uEiPil1geAtRz9AWFOULc+gNhwJs4ruMB9n
q9KpO3MLeldpD0h3OEVHpV50EZozv6qd9g+9OXbDVUgc7yl2SZgCbzhflcg7L0Uk+KmWindCj22s
MibZoFQi1dFWUXRKhkY907oDawlb9BTWvKqbAubHdu7IBR9K0iF3juOEpyxTvYNniYgoXqKKl4q7
SxO+OqbYnE8O2sjXug/rWzHXxn0Tc72/J4jPE5ozN+Kiwr2cLjQezVsla/Uqlx3murBn1ftplcSo
yGS8lyN5O7bWjTdGLarj90zyuW/Uazup+qmPuK6z41RfsJ9gYpq7iMtaFXlwDOlG7Dp8cF+9oZEn
MVfaQIaVF55GLNXgKu08n74SZS4QJypzwJKKFMwIpkuDz7LygdmAi0HpXAHSipKCFaoLENqVunGv
jEmeYlkGnxSOwmtbduWzHSKKJRANqb+pzYGx8Fmbr7JDXBe2bnWcaj3wQ63rL5bUjz0k6fGTqyWs
i+Hiilp0vErXwlMHtGxGYS2pwAtAgSdhVdkB3g1GntajiQP6H+FohKUyXiHWc4lWGjJArLNC1DDz
ntPGKppHMpymNxcb0VcnxMoFyyk7GHW7POVdtCTKJ6a8i/Oof0AeASV4KPklM6mnZ7et1YuVRPad
5oFAX6liiE6TnRfGqsHh/pQt8bKu3XQPuhrTc7zcbpPQo0uJivJcCSgnaEymrec4GDcoMqKTaLhq
bhJNN3qoTcT0gkjRRkFQLk17AouRqB2gQyD6hMF8jss5PVOyj588nYnMPPSQ4WZc8RFU7Wh6cxRt
PqIIoqBc0W9p8LDa2oDNQysReGM+yTFLaXZwFhFbrpXqmmo65H1vA3bveJJIo6hZem3Bk8aaFZ2y
NCmNdU7+6o1mJTRx+ynjXuuNG/UHm6xSvL1N+1bCJITorOfAPPKheiOl0HgQoRr8fmjAR/VJ1615
9apbVov5rTQTVa9tE78ggmrZfTOJ5ZTcM7CFmlJcFpsvebPTYUARK07Jez8D0Tp7rc5q5tj9N/xx
1W0bFIuLx1TXbT+pzyN5VLcGnOZTYFfxjpTtJUDOtQ6sY169mVze70IL28cKZJ9+W2tuwxqP/YpA
tqnk4hFMccWeONgSi1yziNmmQ9+0tToGwpb7PDduex3kKtz1WdbvhZ1za/hsXlpIh7uVdML4xhaN
2ioE9p9q1QerRaTXhiX/V6OU8oNeWa+4ueVWqIysDkFKoWmN8AN7y94ZXK8VE03hp+iz1Oo7ut/I
yQSgCMFMI5LgwcxCAXKsvMOBfEUSFHo8XYfM1Na1P3Recl3R/9G7iNCLXNUcNrVh0efGdeTkrBvW
zHhdj7WrEV/BqZhkcGcHZnnwRrxMLLo5QQYFw8YKp+hBxu2xn6bMj3k3r/RwqC9JJiwQKKMUotSn
BPQY/9FCffFkBHfdIdQ9Jbnua58J8nl1Y8fXiT+sptoUtoGiuBUXJD6IR+rtha0zlq/esMyZynYb
0Vk+VEGJWxexLRVegkfYHYfwTEzwgEVL7e0yq3xvIJeIaNZy7w7zC/2//HOaw1fkm8NFMjURstCz
w1k704TRLEnT5pBqOo7TQNNPaS4Q3HYdgy+jUz4V6oDpLdVByyfNXVdpNkudF567hoN0MnBuOmyn
KxrT6IicQLx4sWc/2E2b7ePYeRhhWuxol0bUgZRyq3xhGZbxEF3FLo2b0jAPAeTM10gPBlzZmr5r
kef6bgzweOh5GRsVtSsY4B4E4sm+oLgQj4mQu0KO5ZbXiQW4hCG1Cm2giV7meW992pmPoxLGtZd7
M6qFXNxjsU7WIzXsVrJ2XeRBkz2AG3Bup567JHu4SFuHuhCnfh1uCN1Q32ZGTeZahW18XSU8BgSP
hTGsz4IwTqUIyhR50mB6S+o1AwSSkLEYdo5NQS/C5CXBZ30Mkc+1JA4CnxYaPE0yLWfdfGxjLd/y
Km5JykUmz4yNgszprnMhg09ZWlJmCIDuLIG4cNw2PrtE8CJsttyLZoKlGejRJpKEA6Qw3065kmW5
jgbPYGiRzYdpKvsrW2p8dkgKT3nhoBqocEywolsRxplkxrtX1wXb0oxYaDTP5dBfeUGbPOWmIEDG
oAFPa63kizUrWhpdrI03XmBVl8CbcAjwZcC63NUkYHokT54l6Oo6ccZ9AIusd5v0CloICSAFCrhG
kOgwMeDBeNK0gEYSbHxNsjdGzXvymJmyz3mpy6Jb52TUrSuFMjxxigjrQ98aT+MkiDQ3nVfitr8F
BEY/U7FmkIoI6E5QyH1yMqltrR6kfut0+e1kU7FkU20w9MY6tw5H0mIoh8Z9b+Z9fNQsvL5+j3fQ
2TvYj/nGCLs8afDhwlUxOeWJ9g3ibdNNiJnosoxFCI9i8pznSXFrVm5+S5xaiiV7YgFNInDYWWPq
r0WTRF+rQJ/xT0AbPFWoAI6yJm0DbbA7PNVUPNy3mE1OHtk4gHviXQ+ZcvmieKP6zNeS3tmcGbif
0XZbhzKIzXvqY3am6RJdEqZj8zVPy/Zr0zU0Ecg9z99SUdBVaOY2eNabxHhNo5ovfSlg5TXVGDyT
nsgmXAQxiRpqDpqvmlQa/sO596CcprK4y6qRhaEh17zcOmHbl1vhDXQ0gMLweERmt7gviqy8i+wu
ldSYZfAsDcm/8dSY1b6TeKn0RaHzGBXW1KZ+3/BbbhK4wshHUWk5qCFHDprEomgu4lm27Bv1ojfg
8BPzHW4pXvnJs0YmIJnvtB/9SHiTttOmpQRomZAGeGFy7zKJdDh2dk0E7DoLbO6SNvOpg9DXBQA8
ekD0YRcvVqZQ5m9m13HUrrImQInC8p5/XEzZa2G3shhPYpZodJRpjjGTRsh+otxZngzXVmU3MC2+
NwUsQxR3Ev1YscvihHYPyoKYDWZKNLky6AKdyIUYDYBr2Kumui3vJL5mxS1k3opPv+L8UkfSD6mV
niYXDSqGfpdPCD+ucJX0b71Nb3TVmVJFV7ZmRPfp1Jsk6RbFY254zm1KXAceKuXq93hYmgmJKbi+
k+g46b3Z6zweVOX81vjauXn2NBYa879SZmvuCe8uvf9o8unLcBV7reXvzwWhSTG7lxgQAAlDU9M3
3+KkSbKd19UVAwwPvOAOyog5rjOd92c1cDvnfUH/70gAAO5rnkMqOhmRsnLQ7ZomSs1sBZNORfgO
rzpmf/6txvcLOIhORE2BCzAntGScs1PUW/q6WkrIjGzXFmOGGX0iqd3c4BDXj8yk6z2eXmxgoTti
JEjjh3mOhk8DVJAfbfX/E7h/IHCHgLVM4f6nNey/tC9/ccqvX/Jv//1fhyyLCxo5P3tc//pH/xSh
Ov9gn4F6zpAET3nfebJ/ydo9gzxwBqnLTB0N2nd96r9Mrrz5sBcYPDr8EoIO9D9l7ejkUa3QS/ds
Zju6/R+lziH/olf90ywQ5RsaV0LnkKYtYwtv6XX/1MuO7VgkmQEGZKwIzqIII84RVJx9wVBca4gf
NgQts8S7U2nFTmWZERDc0buSiVkDLXtfGznDcbfM7OM8OyLYwHGdCXbU9fGWMJ5c7EjFnrTb1Evq
x4rviMS9aYVYcaCtEAkAQPMSNIlbAZygt7fqcn0md40xyaWX2A7p0kM9H2ZjbsUC0oEemDlWjacN
1SOWtZJmUxMowhlcrXr1ksn58j2DqXU9KpQZRuYqUlnbrCeXZg4h2IMwLz2zBRTo5fbVIFh6874D
Nm1qW6dhGLrCDorpS9pGfKeSZLodI729rkMzPy+BYsXGGUuNgtAdQ7kqpB66AEHUOZOK+K1wqDZs
cqZ9iDTraKoatmTk7sgHgW6IKancyoLYLbOJ+Dq2A6ZNf5TUOALs7mPmMQeKrTq7M0z62F4knkM2
JCdoZp5PkoF105lJDRl3En5kmDeRPTc+PRxno8HyxEOjZTeWo2XXGI/OUh/IrMwydutqdKIv1Odq
J5ClrvHokiqa5xTk9lid+9pyuOxRHF7x0RTXQ1RAa2+7ubvUh01lluV1oOr8Lelt6DnIu7aNRIcS
0gw7I5L+IgMCKYyAMtXWImDlDX9QpDx6AiNsTdbzWmXy2A8lHxE6SHcJroCzNXrjhaUcaBWNTnsi
jV4T5J8vsrQHfw7Hi0yXky+pnlY2/bYVwHjtti/H/C6r03xdpFlzbVpptG65Ivja0ts6S9prbcRs
EPPGfiLIAVNDY47XEz1EXzEe2BiS31RjK+DrfRDez2DcciARFdVEUpQePzZJ4NsqZVxYWOiOk959
zfj7p7AT2a3TF3zyafJ6Z4cu6a3LQruaQfsERETM87XQrHadqF7bpWxIiFLsirNu8kQ7dtdemqkQ
F1NmrqDRi63BY39VIlD+3NdEG220to1gDoNEpysGvtKyeuFXaTrsuiQAaVV1Fzai8KMe2Vd931QU
QXZBG6YkwtpNRm2Pz7hPVw3PIG1fGmddQE6gPbcPmpZtiSA6M/PTt4FzIfrFn1sVBB11yU1k1Set
pcifas/3MnE2oJxsCld9aZTjHPKkfJgW7QY22OfcqbMtn7t2AptuYpMG4kmq10U2fdVCkC6lgSRk
7vRH0XlkfU1esFdDr10NYAg3QadCP9HFZxbD5mQSer/VmrpE9h7Kw1Q14kHQYKBz7jR+HiBm0SyI
FIl2dNA+rqjyPrNJrTaguOpdRsOQsvY4t/Fli49xhal2NRGDVwRNvCKvE+OJyJFBJoSTDyrepiBs
1gLKzZnwg+xWuTI8oOSglTun1gEN3Xibj9m8K1pSwtlf17s5He0rUfcU+NZwqCccwHClmuF2EO1D
Z0zaHswQVlxhRAUvGHSsQSdeTBOZ5wN/MZObKRis/JIS4xri62tZlXJj27N3n5ACtkVKndKAioMb
ooLjE1E2L4VQ4iArosLm2HixVQ+mOqr19rmpOeWFiOjXKjMvwgy3DzISHmk9zKDgi4wOb5TdQMWi
qUUMwArjBFsdyGbPc0fUMmnmwbrveAbjaZyevWlkS4pdqbqjR3NX6DbtNyCGp5ICmiGMl3XqJpQB
sWxqAA+rTOFAipG9TgmdlAeoXDSFcB4iPFWFd24T502V+rAOTUq8Ad4KLQzXANBIuxvjnV3kZYCd
EC0C/tBOJjTGYlvbGjNNYdds8+0UUYWzuDPrGruHKJsaQ+ynvmiP4AOijm+LVn1JNfbxq0gkTBbH
aDDtU1q7tONwh7r7tAO2fDmK2r4d+WDfWXXAK5IOPHqHuu3lUwM1+RjN+QQHiaHNa8vTH68NRITR
2tACBwSTrZxzxazK9OG41ccS58SxmgKSFjxIIhAh28PESPMUgUi7o61oOasatMEuwlVILPg8RJ+Z
Pjeb3hT53oDS/uIidveAOxJUQ9RpKy5Dqzaoi4WiVT8PCKR7hdlpsPq+XzGHIvqHpf2tSIWORUJA
EG/7prmZRhOqg0PRWq+wEytgYPQ8x0UY1D3q7DdfqlqPP/NNxvhFRXhFKlV+Cnrpvelj1DFzyQLr
rFFSP2pkRF/nOj55w85A4Vr2V1l4gG7jyKo6+hQ9CUaMzw6y7A85q+26oX6Y/Cmr3XzlBVxFBGaR
+9D1k7zM7Cb7qiV6Qq5SZzKFtlU83AaVsB/4jngbBfx3202TCUfWcVSAhtuIwgPB4eOXNI49wWIU
El8GUW6RAZEtlE+RdhPD0UC2auX1ZyY06bWVLQC0PmiFsza9fCbWtkq/AsVNz2pgb9YAw1rj9AwO
qQECyUgjXlaFIe00V3ju1wCYMG+ZDOzgn5mefqWyaPgsh2n4FrhR9ewK2giFlnioEkIvRM5cTdqx
NpL+hqEumwMLbtwXoU+I9mkHIMui4bfvHLrje0cb1LMXjoW7nuADHpTRQq9K4qSaUDHnySMB1Tjm
3NJq4SMT7UpnxKqIklPZgXeODURn6go4vhjhg6WRt7GcWv8ceG0gNkWsp1ife03uukzE58BT+o6d
moNxviPohbhSYMFWhFdOMvEgn950LqehrY5G1Nq+rYTuTz04gMzkgXMyNS8aRgEkmLQ6OvAgMCKG
Gys0GrdG17R+I6V3SbYG8B2HPCZ/dBJ1aBxRF6s8K+rPaZ20uPXCrgFXNDblE9ALVWxaNqIV3e5q
/saY3LoK9EH5GFdeRRh5n5yoyF/KsCm3AAT6zGeJD/LVROSGtmauzYooidw4xIhVrrxZOM+9rLO9
ihSaHTOUePMna7JenaGOLtrAsB68NiJe082tEWp93TerosRAzyaI/5rCb3X3NHCms5sGVb8ezch4
6T3cj6qQ6plskvZWegTkAVQz9c/dTAG5CfWh41nSm25FKq3x1avgPG+C3A61I/FSwRODxeIT3m27
gSQejRdd0027PtE0+nU16LQcqeIhCdMbAgTip6pwrsOpJ2U5J6bE1TawSOCETa2Hy9HT8eQvJkIP
iK0vSQU+0ejQVq4ROjvgJZjrZd2LVyTzJgKxUoUPhZgAvCf5wGTB0CxjWhtNrNPFC8PrpjXnzYAi
5WDCCd/NQrb+rKxs2+l6dwnhbWN3df4tSswOAUdnOygicBKsetJH/RQ67adQOsGrLcpg25fAIlbc
TczuqhbdVWSOhAxQZjGjDKSuVnENLh/ZhUi+YpQBS14vfygtylhaLBIPUHU8ZsEI0goWJyw0cA+1
EXSXtRq9hAfcdi/SOvfWoU6NmA+g/5kkNECoqm7vxh4eUvwJ6VODuL1eRcHQM0+IJbGWSpn2Bjj1
fJFqBlg09veXnGF2aYo4/hLMcbvN47Zl6lf129CzikOVhZZvpvOjmkCDrTEC1i+hVTk3Fo7/b4Ye
1z8cYf+3S/5gl8zisQiB//0u+RyVX7/9P3LHXwqUaj/cn4ev//1ff/3DfxrAjX8YJuRcG4flj53t
vwzgxj9cpKr6jx20gzLqX/tk/gU7bptY31+J1IIfh84b+Y4FPfM/MWr+ABP8skfmS41RyOJ3YMfN
bujXPXJVh7xDnlcSAIDOOZmiEuQlnLhN6JLbHJvyaWD2dZVppKAQMfuUhXKBsTrXZtllNMnmiA9S
I3IIaXlxk3X6gwx0uuQEkSfbUgyuP4PbPdQG0beC/MItbXEithrnWi1VPXXVTTIO9Ytn5VcYlK+Y
Ve+YBQd+W0uPKM0cJ3Lf0Quu47dO7+LrnE7EunIUaddFWSHacdEKSGYssT5flJ5+YxsNiJV6eGHW
MZJ0yFRLTNiz2/ityRIsRBaKCKd0rx1r3A2xg815ESWnxdVg9OdglPT14446Nr0i5uFGJNOFHvK3
gCiuxih+mRRhW2U1f5Fw5rLe+FI69lM1NUCagmxd55H1SJ2wj2vXXrHuepuyCcju09xrPqBPaZ+9
ODpZz8yKznqdXi1XoM0Zw7E5ektUwbyDxI+tlTH3snJCy7vQYU0b+vvQGs4LBpm4Y5tSI/O+DAE8
FiMS+xDjEzOP8jDT1VlrA1IOnSBIIeOjGXWY8dLx3ubDMSjxFFmMJcbspa6SF6Te1w4bJXvFUG4j
OKFBwMNqpxuRca8mq92SUEC5K9LjjNuP+I8I+KFJZ9gsuVBmVIMmWRp+uM6jTZx67brTSEFu8UjA
o1iuZZS/sKtgaseOhLYAWZjLsRRO+41WzTdDo9+0JpvBaL4wXES0Wq9fKIcvaJ9GbxZzBEIU46s0
HS9Mbs7eLT2bVjJnSJf7YQ5aKIStzX7fswidbDgQqqLEjzwxX9YyOZbT/MDsP2DfPt7DkPLHqRjW
RVS3PhKVl6IH7pmZ4xe3nC96E9xNEtXxdVo5T/Gov0JJOTHhgKWCVG8y2/3Mvn1fjf39XEnGW6rl
QbX2Yc490nSXeOe2b1ddN1/Y5RSxReN+Yse2iGbmSRjnlrmh+f/ZO7PluI0ti/5K/wAUmIfXmllF
FkdRpF4QMmUBSMxjAvn1vbJkxbV43Vb73X6QFJKLRaKAzJPnrL03Hk9Nbz7jvPYWYSi7KmeqkIFU
FyuYntpufEIc8600xbIm7gM6pJyfnBhcPUdTssMXmD4R7Yi1ZWVYqOnrblU+rsDuC8wQsh7XOzdI
tnaDfh0/JycnaiTp+C9Z0C04C3I7kkZ2bjBN/SxiJgMBs/UNJpUTWavcdsWcxNjuMPdfSBM7tMEy
HTnkTVd96YdX8M3GbZ4uxVbPhm4ro1l2JuXPsUzbntlH4byR+Px5mTr/2grzhqpyrrPW3XT4U4lN
hEPTBg8m+SUOaoqDBI7O3wu3rZ5hCZ/L7545LlZGK0iHNXLgs1vln3HRhRybwatTEsTJXN00w9Jt
cUGlsdBBBBNDPndsutqUBxOsc4FLT6XteoiJeK61gU8/elhzjt6XuVq6t6qyR55KkW4LTolhADnX
qMhnqy3HDY6hOg6ccyp+1RxbhQ0iUjc0F0pguIlo59m2dk6AWSPfBdMJBjAMwC1zMyNOv6XxNu45
2oBG5sGLtsUbQaiu4qn7Zsju5Pr58U+bzl9Qu+/4ezeky4osDkYd+QECr3cALccK+pgyxzZ5wnDG
GdthTXD0OfPaG2AS/xcM7Ttc9/JuQDwXIBnPm/fa4siVY+UvQYX360TuoJUf7YLEOB8T1F+80zs1
h34nRHFURLZp2hGmiT/vTjIIZkfEGEnZQ/4lilkN9XIsCJVZOxh0YOsqaf38/bV8B9p/f8+QDZzG
dqR///k9E6eKcACMq8MyeOnW66cnjuEFQSruQRp6qsLPy1Dw1PWsbn//1u9FSN/fG5tHDa97Fu3x
n9+bjCmpxBJWh77snI0AYqXZAnjCcnEStcgPZjS/Sdye6PuQYiamnueWBKtVp1OMsTpJKnXCfYld
1/EOUcT0XIxElYXyJH2Wb/z6sdFyuVdrcVP53a70pgdkgM+ml2KINbvnMSSIba7raO95dfOaIJdb
u3qA9Pc/6V/cQvhD0MsB+DY9+72O0y6yqKzxbzmkdr9za/POjNRdqYCwfvE+Dlfs5/oGzRFRdGHg
wa78l5cBpHSIJ4u+V2kBXvXzfLdgKbs1CxbhCiEJflv5zZBY5X0xLXdYopX3acIe6qrkWzuxLutS
ReQUEPStT6jb41UkxycQ6LPTTfs0ZLkndLNcJwlJM+1szy+JZy/7MrGb7Zwt2Wk0u/6BeeHz3LHt
j3bmHtE60r7zh/rE+PZbnHn+iq4vn+Ic1vvZEN/iWj2HybhTg3aabJxDuniHNK2wCSzp/TrNfMpp
hq/tUd0FC5Zyts3XjkLjc+flCwNNaqy/v5B/scJo3UmktQ7IR//Lcgpj2pYucHVQ0rqUEzMrG677
/sqQzuHv30trDN5/ZsyICCIIcVXFlejnp6Czlywo3KU6ePn04PbZsax/tWBenqR374GBFkk/+teI
jMKf3yNLW/h+06wOdTRBu2SzzZRcvemVPlMOFGgXH3PbPWAodpZxlG6ReR6x2v/UC/FbSGDDCpqg
w9VHOGA4bOIpdN2qWcobC5dH5aNJhjzKD4UDjyc8R65Ile2vi8zfkj/9MRz4awz3kit3QU1aeNQt
CDyHdRu1zc7u7HQFTWrvx7kBTLezbx4cGLPV/GaCKsm9ZFmHvqBAxXFk9sCGKh0bPZnDQ13Z6dZ1
1OkXn8lfPLF8FuTV4J1puv8lAIKRHcgxL6uDVXBQmNIyW2f4hEAT5fzMYBCcoD0BeRGeSw/1U9zT
6VZWeTsI7uU4rzANr4grjfUAzUeDPKbmixSNs8FQTSfb++cYeGY9xt45jWyB2TwrUVOj4Q/E8mza
8o1p/SoLssfZoTrkQI1DKAaUeWo+LxRisL5ps3cKuUdZ8JB4Pg1U0gyg/Vn4en+SpMYTLFbGRbQH
W32Omm66+fuL9BcPCXuG/s9CpWNb9s83lUzaoBjkVGF0Wm0oceZVIPl2XHNcxU3yi0/Eeq/p1rtF
yC7Msgamgrz73e7YojlCLzZWh87uq63loz8NY3EkiPwQWXw+quaWVAsHpMlmmRKCCjApbvycApA8
Yx+uI2owhp/abeQrPLF0oEC1hL/1uXWN9fRtEZX9Oo2o9ueqdjZO07/h9PowF8upDPRmzG2WOPmX
WOoqlValUOZNO6LbnXEBpVzdToPAjIuP9HK8VO7sbEgPIfG3I4wR+3qGSnLa4VEIBKCG9GoGh7kc
guJqrrFezcn5GuVTNnCQDHOcrFTLUc9T8qkbEvA4uvp4bD4xa7xrjezoOFRrVjASIp8vG/0Hg64J
0KS+IZtx2lku7oj6Mepn71wH8slP9AFCa7tDxnDroqVaMmNxM2O/vwka/u/O8F7Av3jEEPZcR978
1mlLiZELLIrshr55uYYNZMso3BdyLR+Agf21U4PnEZ9kTOKoSjDgLuEBxnjryKF4zxgIX040daue
p8OXw01heZ/TXlbH3PIIKZhoMnYLE0C5J4Ej28u2q08ILs7F4L7YXfar/dj/i8ebWocmKGN77qj3
Ct1icUSLPVx56IPlreqnh95k32Mcx/GOx1rXX5ejdj1EwC4Rld7lma/SYbfIXsKU8bK2dOAyK7Gl
94nFK8PXTTEk7Rrzg2obzeNyYBxvcEDLmQUlbrZtIereWqOIbpououGYsC9idx5dExFBlR84Z9tg
jRHD8jw5lFtm52Bxa2bjek4w0yhCKmvGdDb7YerUfCAJZXYgxqdhYgXt7OGhCzmSRmNxw5TowfXG
bM80f95mXe5sWqlOZSqfRFySu20ZSmdrvflESu+6ZngIOB0c8sw/T2wiHDLHJ8ef73Q1PwQ/9td/
O2y/6LDR4ApZJv/vDttV9ZVT+M9eaN9f8wNDcT+wMcEdozvmztUttD8olDD8YDKAxYIMr3WNk/BP
P7prGLQTd2xSaHuW+13b+4NCCT7AVaIPZOr8HV75Jx02Cor31YwOrOKr0a2zfe3z8fOmMMJDZCqd
DU25kl3VFsUXT6CtAKo0MTZMFYvzaukXFGm0TiQhJBgq+3B8N4pci5ljfpVj2JxNX4OR7VTFc/U5
ojlQr5Iop9PGq8rNXMd0iStVfS692IHIsuzbLqPEXAkewxtlFSHxS6JMyi256v4+88NHwoGKh24m
dsecvpR1R1cadON5mMzutc6zyVirqagUI/9m/kJgeTljG2QsNA+cBJ3azLljxskQQ5tt47f5byl9
8gQkv2S/WED6tzWF3BVppTM99iIabxIAA4fufaxcdndqsm1RY1S/7pxIILELhbNvIy2B4NCfXjsi
mMItI6EMSXFV4IGYG3n9pinx13ow1XnsF3M9OkV/SqJevqEsql7dIeOIxrhwOWUyb++XRiRf7NSG
PSFrCyHyuGMExBrCbGo9Z6E8KyjiO89Z6mglw7mFlytlgMlalp9Dp5zvcfXBvXwZSOyor4JAwoBj
eLWeqhHq3l320s6COwsrcBtfzPJtxgOYgScHN1IImyuQ2uHRYYWEsu/psMnFOcSK5BJaD+TfekMS
bASu3ico7iy+UtgyHSdVQASaCRD8ihN8cB2apV1R6yzFs1M24yOGTswqRwuVFGJOi7ZOHr8M5AZd
NdIDIyd/4loqW6yGCnSmVou7ljR9rlVijZ+KfGnatVYBXsu4a09piAAtIp4ZzekyGPmmL9z0dnKr
YotxdiVwAI3aiuI00F3gudN2lGP+pdVSxwRo2tsnZIGAlCL++SwEvKymHlvieFonuavCqLIOLObZ
Q9rkzic7KbP7SGcerRwz6B6txkZV2qbuybIFY/h0rNMDsEkCnlU3bDtTe5ALfdkkLVHmAnu/GlXS
HR2zjH6XnQy6nW+WCYM+R4bZVrZt9ABapeS6R1NgvIjE8e9Sl3IARU1MKkHUq/zNJcsqAgvCVpsc
53ITeYOFKMOqnvgc84/QEOldMIv+preW9Bh09hRtrVq21yQUuBvDX5Jyw+2KUYrTmlrmhMu50fLv
Vp245Ku6Y70lja85i4qYN+ykSp7yl7myhAtxndCq4/LMOMU1x2jKTH6rKyuhNzhH0yL8h76OZrO4
rkxzroaV3RsDxuMST5p4gqF/WIhSWY4pvgqHVvp3FonUsDWBWjsO+AO8dPQ4Fzw9255ohtc4jhZc
5mLmkwG63n6dN3a9rsree4TxH3VWsjWsB3dp1xwwzbMLwELenJ/uXcoemiw9XU2s2rF/xY8VaR23
Is/LQ9zP8GXZNBUf5wsQAgpkirsgI2Ml2rgNuMyjq3pZApEEfuWdbYtQZTl2zy5DaoJWQq381QwK
B+kjwXD+Ta35lFKTKoVmVpqxXO7hgOyrURMttWZbwqUv7mXndA/FH+RLtosJyNziyF9umL+QbAYp
Y7XpmVIV4g6GxgSmoQyDNeYrOUaLQQe8TQR442sCxwPFEURbk+VqrizcufkymtfR5E6KzSU6b2ge
S3M99OD62wzUJ9LMj1QO3X3NAQllxYdEr9YLkFClaSFMu/mQl69dP50GxTWMB3o4F8TIinJzZ/bp
x/nCHwEi0X6ESAJN8vjEaBvYD6amlhACPQNW3PpSkFII2OTGpBLYywl3a3NXmvXjlDkl/eNgWEuN
RiEGmjb2hZfi5BgegtTK14vGqcbvZBWMVZtZ/bFz+tOg8asFd6u9rZEs4tzyFlQ7AMiI8vRIQhIV
Wi0b9UqeYH+DRbi7ow2Os/vonnwNfplJR6LYBQZDrrk3vMrYu8yS18NSqzONUfixvramVcjs975d
lujBUbSBN0k2FPeEY0hETN3XoE7NY54l1kmVUbs1ehmW6waqWi+zLRxbyO33FCCE3UCe4+mmgTel
0bfET5Yz0loarZPVfVT6hGB4LvxclN17mJjzSADSdXBlsErAdV1ZlI9TEcf3nkbvXA3heTUZ5thB
niKm+5tco3rFHH9JNbxna4zP1kBfptE+X0N+wNXEfDv+sdcA4Dxy6+BT9MnTcCA6fqa/YsZfzuc7
tfPgTTK8fwiNKMCjZF52zqIi+Oyg+ObTZDwrue01jigHFzKx05Aia4xxLUixt1dtWrYPXkE6QavB
RhrODpkcwI7R3Kdv7oWAjMh8XAf5+MBNWJyj2izuEKuQb67hyUxjlJZ1sTFyNxoovCo1bFlghbUx
Rg1gSuuzR69+21pG/lhqTNPTwOZQu+2uv1CcLIea6JxMf40fRrVbMk18YiW9tzQESlBsdPR6uRyq
MJuv/IEtkvw8/8oo6P59bxz+Wyf/sk7G9e5v6+RaviuSLy/4o0iOzA9azES1/VOFHPkfMNHzMZLH
US+wUYL9p0J2QLh9Kwx0lrIukOmQ/VEhu+YHXGipuVFwaGNyXvVPEpGddx13lMjaLtineo+0K/Gl
K/4nTnsph4EU9QxRXlvOJ0P06GdzG29rxyPyrJrUlbwQUih9oKXyCzh1QaguNFUc9MYdhAmMFWDN
dOc6Q/ycKx7vU6txrHTIRHJVX3ipuGL9X6N4Ad6yYtBNXOieF2+Q92PXMFHoiANBHSvC4uukMbCp
HcPndK4FeNqFExsuzFil8TFoqCumjNnVpNEycaHM/AtxRhiH/5WpfvF7BY+WMCw4i2ieUH217gNI
HdzaODXxt0HDbMxQbvJiBEQF8xSvSkNvbpxMn+akRS+x9Ok3g7YGATyJp9sIc3CHQiqi5F+cnic9
mW9U0NEGjBBEfwuINbuvK4wLV8FUJufJsPEqvVB5CbwbEHztuNd2KnIcNlkwIMLkmH5RjMAPhR/3
W2+K01cSeAgHdcIy3PearF+BkxePi4XEm4oBgg7j00Mmi2SPACY80sGd9mZNn3qjytJ/LNMEDSVm
OEWwWhZIG/hZOtX43lLlbCq3jr4u6HMbuPUuMNfMDkGAo25Y23HeHsc4J4mjt2iQwmcj7mnn6NQp
Og6a3a9WpKCFZ1Sh2Hkghh0fpqBsDwngwgEJY88pJA458WdlUdPE95vHtpADk9UQUg8Z0n0dFcWw
MpqquLWCODDR/ShxmzH3RHflBdMLDAMCtdEdQvD2mrluqpZZS4qCiLLTjwfkhFIQqlR1t1Wq0aOZ
AKOV4xOF58oZfZ2Z9cNxEKWeiaVzchcOzTdsApbxYA6qzQgjcepv6M0Kd4UFRwG64KrhreooOw5x
HBbP8TiLq8mp2q2KFqF1/P70pWFadefLDvgK3mtHCm4XcORonZ1VRxy8ZlznbhkYJOK5NfN4nu5R
VGV1AbMPgr0PrCl7kCTG3JV2tFjFVz5dQirJbuoyru3sVqnRX5uY0tbZGZNwcoGTvo3oi9T2ynKH
6VV60qf+suyPSch7xH27wVvt0e3nZCsr4gXWg2XR/Iwrq9kZNSQczLlPIpYdHEFE8x26sJLHG98s
UhyhLnKJkAoYipT0etubTYlHqxXvRJrr4BsCnbKZENguccpNkVsnm9bTDQJ6fGxrF2O16FBI0yPP
0GVabXaws2alx9st131Ev1muJneJN1XYcQe6VWueDfo7Pp4lo7MGo412mPMPR7vsAF0QV+DQEMlr
gmJxdm3LfN96gMUr3Avak9+349EWY/mwWJVL6672vb0vquHBiPp7lfJg5rX4pkLno2WQE1mQ1Rh2
tbtBZouhHtqqJ2O0i3Mh52DdV7BgGV37RzTRrFphSX0WQZWuyJmdCUaldSVkEiIGx1NlGvM7x62e
I7crCJfmwTZq5yCG5MH3q5RYZ0us45b8aEGkqbfi/BkeOuWXDGl8fbVr+WQ6mK2YUOtXAfabmP36
0z60hf3gI27fsDwRg+R23hVuKCUmDLQ4ac71441HnbptZzFfLyWiB6dw3ZegpBuIgXWBJIM8xWAc
gid6LOOpkb6OgE161hTKFJjazIuNNxNpHU2OPFG3JhYNwNWJuFMTa2OeUKDWynUPoxGJa2kZ0cyJ
Mpl3sa1w363Mco33Au5mWd6ey3HK9kFXasjO/mL6nGnGJJt2c4we24vaYVv2OtnW4aLco1+kZaIQ
Dqz9pOBq2w5j0DVFGDGLOBFxzZ0JijubcRNKORZeZ3Dqt4Lsna+TSVTcVOWKg4htbs2QpEfhBuOu
68PyhdNIeEcSN1xrwsf/QozmzvZG4+zlc3VrTbgCL0ViPjFyKr71izu8BlbiPgbtXN2TA5ZsF1QI
u6KBQJzUQIIbFgX0MelsbDGjLVh002x8zFynPoZp73xxem5px2nlNThBdRNaTX+YcS247XVi9jzQ
z+hLuTwywNTJE4aVofOPqMw5rF33XhEfzNQT60n0+abGAHAXF8mtFSG/zWIju8MjOAiZvYQBFLeT
aINPWiXxkKqjWTQoVWkZnfHOjz+mFRT4CqVx/5nyL2OuYEzZtT3l/aG347Zn1DP/VjIQgs1o1JMz
OWCpsQi6FUTSkKyCtv/YJtK+VqCP16CpE0Yxvim439r0gWGN9Wgnk71TtWg2i2xRYvjLkH5q2qa/
cxSN17SvdeCRXu3Z0ecvKbJq+Bad2Db61gxr4+Rr0yZmXHBXIr0d7odx6QXnc8cahhez9XVxu3CE
yc2XxUBtcKjnoMs+MeyKKw4ttT+yE+VmKG5VnU4og52RHGzLJ67VmeZy25iz+hoOk7+N84VjcJex
BKfMnyfU1JLpe7qMe2mWT3KecVDLJRZUCW0dPspig6KzuHd0J8mrguOYGM2mRTj5r57x/5WpYXvU
j39XH9/9XlX4sU1fqp+Tev544Q9S0/2AzTuhmDABhGHwp/90k80PHt41Fi7wSL80evmfWtn+wF/5
eLnaDgkNjkeF+6ObHH0A5YDKoXFAGAZ19D+ple0LW/PT3DpwXdrZoBNuYFk4Mf7cTQZb6FXZmMvB
40C4bEarzqyNV0gmJfEMGcbk1HLWZZl15U4OPokxZLt1V+QQW+ZOtZ0krZF4zmjd4s/ggcl5vrHq
OTfDkbw1ZF/fSt9nvEeBtgGDnLEUwPKOvHiD9qWwUOcpv6BtbTi9ZeDHtDB4JZkby59OpGpvWHb9
3PVLd1wELRgrdM1tQMTYx9g2HARMyJ63XWQ2QvfH2sck7+bqYDL0DjcW7aQvOOr41Tq3aizwanBa
sMGGNhECG4zR0uqA0Xr2u8GI/U2iw76Zec2Lt9SCbCAjcq9pEsaw2EHPxBVpaE/fw0vsbW1I7y4K
k+I00Wq+JftnuMF0xdhbsVCI8gkEXtXDNG9DiMqdCBJBnB0XZT1THaO48ontvIQ/Rk1sEvLoOR/D
jstsEYjHW9i0Lyo/GbcVrjAH226TrR1x5d3MtY5SReXdYDj+jpF/eW+qor4TY9jdpjif2fjB6DZw
AJYjQhWvc5kGOzYPc1gjS7mB2E/M7RL4rL1dTlz7GlHmJysIhuuxdl/YHYdHq++rcB9SzxQbG/vk
ZgVNmuNsNzrPc5HjHDg64R5LFmqLScXxjUtznwXNhN6tK0UgEf0J7UjIWoxp0hEC1/zWM6zfuqX1
EEx3ZVRUm17iCekm5p07jlm97mvbORNsPnJWaJKPKPLn26kX3pqTAg0cKnCvJCkqSIdy71RzcYyK
Lr6OGiwUPHLmb3LX/pRJ198QK5lvFn/UfnlJ/IjLabv1DeaQLKNrE90dvUchHuKRRuto9MEmnrXn
O1L9XDjhtnQlueKjWW9iVZfZKprq+CCi2NuNfkk8oJRvnPMMSGQXZVc6FNYDN3myAgRqr3rwBM51
kbPFZpbOD8P0DY3K+5q7bY3i+VSjfUfkhN+ckfYvqsxwKZgDY5dypMZMOOS77FNvnYwwjtZoZeDA
qfHiYnB1hRBHd26a5mbB8PIYhLpaNtJl22EVvi7weDw7EzrMitsWhMNf7D2OIpCEcBxaTKjDVfzR
2yK+nmn4DjgHJZlbJ3vfLZfE+hjGjChw8bKkg6rCUi5Jg0KmSRo+SH9GfYxxWRSOj7ade/LR630M
i1dei6vkM/Y9idianshOfmcG90PIuOXT7CqyNEZLFM6uimq8AfCyXHj/KTtH4WJ/ihykcKtCWN20
7mLA0q1r1czGZxQJ4krihY2UrlaCn0Ygc672XW10Ex3KzJWPQ56NyD+ShPL/nDukC7/m+dCpasPB
roL/SD1Ip6Xx8dGbULayso1ZkryWqM0KkFwr4/Mx6pLbE4KYUn9RVpKuiDbgxw851iSbQlRhuGUE
PeQJ7F7ovo51JYe3II8QZ7xyjaJxWpEdUB+zoXIocqs4HxhhVX6MwoW8S8YDqTkO8VOVj0CmZstA
b20PHcMuG2B2e9l+/u1k/aKTxRZp/W0n6/y7/J/j713/+/KTouL7y37s0w6ReuyqyBb0dvvnqW/g
fQBjINMHZxG88H8e+hI9gMGA7XHmDJw/tbQcwvb4cri/s7YCJkLQ/oOWFhvyu6EvGAVWyRoghaqA
kX2H5thtRxNo9LoDJt2Zs+ZsjzNpUnf5CQdM7zSbpIM8Jh6xu7WZpePVhOj0Pm2MqWRds7TlVzdh
3ZfmxKkG8eisYt2ptht0pglzBmZoU2/ugxz0M4lasVazIc8JGkRnYy1x/DTblffiV9OXAkkVaZzl
09TGHo9hre574m3RXol1UTW5yzar3cqgUWl/Eb17M0rtrBaK0HrofSIzh2YwX6LcEqB+BpOJqpL5
se8IAQZPxce14YXSD4yt6wXzucQ0aGOxQz/Eyia+rjeib73dsXIwc4OamIA8r5JJoD10SbT64kyE
yypJkrLSiS6XC5UryoEuSH/j80fNYGg7HmlN3RViDsVWB9CH62M5XqlcuOvAGXlh70lce+2qgeP2
S2yfPk1Ctcm6KkKTQ+ugbvyGIF/P1hm+lPGHQZJ5OxnkKSsrlFiHCUzn+ow8XpnV2Jlpu0WPLTyz
8xVe3+rQiXAsN3aTGK/j6HiPIR2ekkaRY113YR+Ze4l5/zPOQHiUTslovXBYZRXNZ5OvVpTpfBs2
hfENH5NojVASvDCd06+ExkLiQ0LuL99fr78r7mysbgW/XtnFwIdRlSQ4B35QyZ1JTvB+xNh2XYcN
yXw1FxkNKDntahrTVTBk9nUSWiNth3FAZH+NxUCaHuLCytUBT67O2aVekGd7Rzl1Tcy1MhhFw1cS
m3o1dS724YOYxh3mkvZLg6TB31nNEpp7bhV1GIeSeyFs8qMYCS3n3VEgcBTNti5s0SO9kuK5M5zi
MW265aVtUgxGKwcdpJrCXerYeOAjA3eOlTcmJ1Qy6SexNATzRot3Mho+bKDG3F/lgwfMqJMeLsHt
noJv23vYfKxyrx3kyo8GLCEEkylVSfwgUQvsi8J2vkkcACG9urKsmQgrDNsTW2T5LhLmkJ7zot56
7AJFs8Ou3AZDcxl8ZcjIuzoQ2yHJ+4e4jJabTOGN5ugySQ1mfFP6ZUbtlMhwb2n8qStS57nQRVYZ
zka9yv2U2mvGGi7c55bZPzI7efGGYrwuqdaqcF5wBJlaajgxKkNtp7y4KZOYORldTn+X6cLP1SXg
qIvB5FIXZrpEVLpY7HXZ2OsCUi5LeefponJMqmhl6UKTVA/3oAKik0hEUMfUbalIc1s6a6nL1Nny
zZVHOggNTF3GSl3Q0nLgwbCrjJtKF7yVLn1Ji6IKBn3DE1iXxi398JtRl8tz6OSnSpfQgy6mp3Qi
PtK81NjJpd6mr+JeF1GbjRupC/JJl+axLtIX9OEc72psBvjolS7lq0tVLy4VPr1Nqn3zUvhfzgCG
0OeBRB8N2sspQeIStcWqj7MDvIT6OHts/kofLSan6Y7KbOpnw/eWvd3iFQUtgtUtHUO8MLcVJQIe
LABzGzut+i2Da84xdJQYYY50DjeTPuhI1AX36az6TxE/v3MFBEzvtSlrzBp8BWkwxiJdG1SoMKoy
zFHrVPgpr8wWt0aVBjg/kr/erbvCTp/8AJwA3+guX9tdKU7Qj9DYSNeYQQsba3CaxP0aYem8T82k
WssF+bAy2y1An43hVxuc62XEZxgrJXwubFwEIjkLDMOrYmjWKlTdXRfm+fES0w0aq+5tH55l0wP3
v15WFrBmHHDnEo1CzROKkx7RL5enqCHk4HFmRvjcYUlD8IjJsjrZ9cSqsbDDdLVPpnrC8kxv3HZ5
HKT9YHloCeohxfES0yi+E0R76kaacqKpJ42oOrNtL+eeePhlU9eKBK+RM0VH2fodd/23XPpFucSI
1KYJ8X8DcieS3L/8bNP0/SU/Rn/uBw9uP/DMUMeC2RbNiT8AOboIH6j7beZ4mCUBddNB+QHIUbH8
aGFgy4RfE0WMjY7CQn78T2oj6LqfayPGfRFsD9b7+PmiV3ovH2qJRilEMvun0m5Ca617JxghW5gW
tOuxN5qhJTsHxwGJ751Tx+e6WpgtdJ5pgESogXbbY1G3plHijuQ73bw11Ny58SGMadWtR2ci0T5o
C4WVbUryVrArO6xE5HnA0CydQdMCxh4uJ9wh2Q19UfrXk9v2b2hv7gc3Czj62UawdlM/2BXkM1MV
tMmmsdXyiNZUWddwyoTRt5FVme2Ks7pQewTY2p58tgp8m3uT6XjQ9Vl/KNpwbO+EEeePXRtHr32h
HHAEpgmWrvBEc8K1OIWUW6IXVni35i0WX23nqLCzPTY1JN05S1VugVvD27yt/NcWBm1jRLX8nE0u
rXSG9bt6XEiQ77TWT+Agy9DCIQljNdRGs89VWVyJsUg/+73Xvti9AwdH1yh6q6PwrZiXc2h2mL5P
eblc8UsMKes7+BNnJgKiwNoOwtEFi8npmu5Jez8KvEbX5rIQzSSTiaZOE0TlipkgvV43JqdJsmoc
KkOVd6M19s9zWiLh7xa5x0RruY96eznS8deoXcZEDv29kR3SQmRfuR+8e5FPk7OdKGxu05LOxuz5
3aGvZwtebaieUhUwWyRW4I7ZQbCe5iRl0BcO9o3rTfYnoy56d+W3tnNbu3S1ooY5YInnNCW2pU6U
U7gXZKM7bi2b3GVDt3mlEc87R1LjFS7kOu5drfpsLGWzC7OCnTBr1ZWb2uoNDi+4SnureVTmEp9H
o62va9wEy72rCAabR+WTB7ubJ8oon5naH78DNLlTemN4dkOaWGbijtCu2inCDvkomh6P0CPQkixQ
OoCYiwj9hwExQlnKAi2LXqqtSYvNfPv3AFoN2bD8ckVFxPK3KyolyfiW/3T8ZNnTL/pjTQ2tD8SH
cLaMNP2gj5g/kOPoA/JLvcwGUUBf9E9AhROh2ifaHOE1Sec2CSR/XmFdnfNOcAuueKZ+1T84fVq6
B/xTj9jm/IoghE50xFbwXlzn+DRnqCmT42QxygGBsoJ7iVcl93hFNmTLIHsyfxOGBBhtXdpPog6j
h6mehgOeZtPeaUlHAZpDQf6ny/gXMlVOU//1rfHDsRNxdrc5Zr+HoefeW7zcDv2rYPKa+jZiwngb
Kp+1nkXSQ1Qw1o+Z5RouhD6O5QmYptFM/bpkEhx/DavKuu8JF2y7bbMEZfBJEfp+xmRJDizYvfVa
EsJAmEAxcTZiymhgBYvdr3kL7Rj2xsb1ByM8SAQwG5daG6c8ixwNnGhqN8i7jyl5IcyEjFLgeuQV
LZ5afbFsGDFB2VF/RsewGy3NNYvtzCma1T3txm0kQ+cOu8/xY1RjDSy7tpxWrOAFjLcU7W/lUpoP
boyhMxPprhGkzYCcQbV5uEqRq5QWx8GpC9IBcA4nJANrwXvSQzbMjyT+IYRxxImx7zLVHdtEWBz/
nP4tM9PuNiIrZ+OL/kRS1bGp/f4pqDLM7qN52Qf9OJziGJvr2ZiMDZ1zVtwCOPashUPYVKc7A099
6jiGCA+GG72ajuiJ7OrreqPyIn2x47gJVuboyRsDmPYeAxrcz4J06bcym+brJFCP5EsUt91CziFZ
bhVGstK3kl34v+ydSXPcSpal/0pb7WGG2YEy602MiOAYIkVJ3MBIicI8uGPGr68PrKxuKUgj++W6
F/nMsuqlXEAADr/3nvOdTLOfVVOkQGLjBoeaw1iuI5HD/aJjCf9Cu4MhRehRzvSzWOLK4PVeMa9t
rK9pBMNlNLSE8kdumeCbO2Iih/tJ1+nVxeBPRrd2qPeKcleLlmApQ7ndukGbsZ1pmAejRdapmH1t
ZS1n65Ea4WDP7bA2ZOSeuOvywnMzRZ8/148RU5ujz6DlGBt6TuJRqeff69Zo7ivBRF8OhiCUodPq
O9kkM/RBc7y0el38gsrg7kDuyC2i8gSvCeRjki8w2yYV1Sn33WbeMsA+qrM6fsp47FcUwOO65Ulb
zez6X3TRD9c+34YLZ2i6LRwkH81tnG9bDTSQOSQWF9RaX2iik2Wlz+YqopTgkVaFCHcDs1c8MiCp
vtPUstfamPMt9fxu6+B6fYLREK+LdJpeKBPDKwkBbeONowqAseEyaJFm/OBLPEMYRCV6MHs3VRui
VKd4PbcA1vZ8gZGQC6dpvJUpC2EiGgfPutItf9rkUR4tBsZQu3fGBh2wreUtiHRlXPjQqJ3tyH08
9GJWzaow8vgyYvhPSNHA3YMjMa/tfhH59PEun0yHvo8X2j+hAA0uLrRB3c9DXV4uLG9u3ywzhhRp
uLMqP1ybHoa1FRZtCa2H80a/R0xgMfpo/eEkQN46tMUq90B3+asfD/Oz6Gfg2kNjH3wXPi1KH8RT
taFV1+yEw48+RoW0qj130ldFNJfGJsMcBMZnoLUA/U6Jx5IEn27jgJRjKEXEan+NDN8+jAZj7FWB
DI+RUw8Y43KqUK2s/KnvDxUjCjDHbCLEwqHpAXRZuUCfaavcoLAfTq7qDabmZPVxJC2b/MbmxdiT
f8Lki+l4pSE4MEAe1og5rl22A6xKfp5AP8yLBw5C8kvSWS1hLvQ9rsJFfK7JRYcuFkk6BIzqXnCE
yjdGl9gbfRGvuzyjPvMHJO397KirwYzj28Qcsq/1In33FhF8BFR6U9QDcoRXjTxTsOxnGrW0xpNX
FT2qI/e2SaZc+w7pFJ39uEjuzVf1vXhV4kdkrKidvQj01Uygx1QYw4/Ii7FlLEJ+o0XSjyZkM2uu
puA1I/jXX7X/7WIDiP0+3YmhV3cETuESgF4Qnxiwmt+qvki+iGksjKBRTXRLdllNfQ9xGh+0iJtH
5gJlsbLByDl7tdgTwsWoENNYYFjD1OWqxSKCa8YYcJIBJ1waJUgMbrRxsT0wBWO5HAI20QsIlX0N
or4UbvNIRCdLRL4+X4LosyDYWNCcM3PcyoFpFXvDeEgXCwYYOoN/8NCxz/OSZ4iPIfhDzwYQEWNZ
ffVxpA6WDuPV3SEmc3F6NJg+UFcjFOgRdFy0nuu+/myB5sUXBdUEvTyLi+wNsW1i92dqoVMePBsr
vxytB+T79SGlWLj1CZln1eKniY+BB9HJrJtRqy8hzbPlOPllNHkhFhXCDAQgNNfRxjXKEQ0LLikR
dW2n15NTib1N4cD/YB7Nm5IXHYLg4pRxFs+MaXbmhhgN5PKKfySerj1CnpAnZVrjhe1IO18D7MeJ
4/j9z35x52TEHm8UyL39ci55zhcXD0+pYwEEWsw99qvRh+FXfNlUPe0IPqfqwvIW35BjxRiEjGYW
NmleGuNn/AS+tZsUuV0bKIH6g5u2bbmViwPJfjUjTa/GpMheTEppsxiW2lfzkheLgVraW5wFr/am
bnE6kQuSPVAU83PFTxiE+xuNCJ4vk+7eZWPo7NNX05RFAte8LpvYumpebVVL2X6Dqxl3QBtXj/BC
2l27OLGwJvF7ha8GLeJAykfLkQV/Jv4tc3FyoSDEJiBiVVx5sjEuG7Yz3qLF/xW9WsE4dzFfz70W
tYsQZvaEcvdHoxnuxpkMCytP6tfHFDOLQD3oaWgIsVXF6y4PBzzWlSy+DAvUt1rwvvYC+h1fmb8L
vi5a0aaCDt40XyJ/QfM7nnMVO1WMf4xX7DJhruls0JajKAcEBG/TKWyMH3ncb8IFP4zlQj57WNQR
vMwaY027GZYDpmOqLUBVH3nT3EK0XbDG3ivh2F9gx3SN4R7XSQ4xdtRmQYGfpv2lNGZmgsMrMVm9
0pM5nqhvZrowlXtr4SuDegNg+kpdJp4eArO/wJj7VPEloHNbyiCT3M/NOIRxyKeVzJBVlVveHTHX
NpQmAecZZIh74amMjTZmiLn3mHikVxAzsnHN1l7g0vHGB8XI/gsuIvEoQy/dVy62Hog7GXhEI1xY
eUKWe9kolL9aVOjWKjZmPhkkW3b7pKiNWxMuZnH06sSHqSvq336p2wn49Eg/1F6a6+uy6pFaWGRk
bkYsT1Z74TJXReH6/8u6/6eyzkdM8kc98oZofvWUlC9/jhSZzi3/i3/VdC5tLst1bNdCEuQxVKSs
+ldVJwyMpLqwqc/IFAUl8n/bZDDQ4dOYqIUoZggzoIP2Pyp5i97a0nYTkNp0Kj/xT4o6lvi7poOE
Yen8OUtIOYL9M93PBOXEaidtDmA6Tv7Wma5Qqf1xN96rzt4sQXPPWYaWGGPBz5wtEQ5drkXLfKwP
LWiTHkGuzAFdbun/aU7+G6ssF/qH2B+ZyghijVVE+dhoj9X40n4Wbf32Xv19IUsD8o8lRFLZvGss
0c0noZ+mZCPn54+vwqBmP79dHkc9tBzU10x4QYn8vUoDEi+NeqkCdAPqJxA4iOKJPphbMbC0E2Ku
pWkWIqTswqOFImk3Nta4ReJr7KexH/ZJrdQDPX7LAPHapBvVihPw4x5VVj8Ol75yk10FL3pjtQB/
DFjHd3waliFf0aX3U8ZMR6SCSAmXKDWvqh8xkGFL9BpstUYfdMDDObHH8Kapb1BPkDiBHmXCmNlV
KzcBKOCqLj3Eei4udIrwH1qBHBslxhRf6aT8XHDIp8DQtWYbaw4utggZFvNM6MhUgt0lKRHzV8CU
+SYmlBTVpfzpmoU4hklhbSHW9xvCIWmNmc2lDVLwK9gt+zTQpN1rnci3laXSg12g2c07w941mcdn
YayNK0/Pii3JauMKmk7/xRJoiOzMay8FbKRtNXvmxLGvMa5CHNVBlfrMxKsuPoVpP/z0WzyD/cxM
mJjmUaxFT8GsJfPLgMzje1wzRt8gaJq/ugPtaSx8xotSIygdp7Hb35qEJwapO28ffHOJahnd1j71
1Htrsdxgx0aBPjkmU6B2cRFPjstpOWzhBYcWBBQbf3WIvBP1TYPzDl+p4MOcatdpZL+0DR/rYWq7
X+k8frVn88XHLvJjNNE4252WfG8zRk/6hHofnpM09uVgv8xtpXxGLXIOUkkBnOY1P4LD8PCh0/nz
ipG/RzqK7Fj4TvOQkJlCHIoUF4SVxld1MYRby1H0DPhQo4s200NUWgSXKZKvKDb0PVUeXD7HdaO1
H07hlmmljp4g96KjQ3JNQF+DBcwZ6KJM2z2joyxInbS/Q0rQ3UFq5F9WfsODgcnvlEf40vU8zI5k
Q+Cv06pu2+N3vfFIfYdmbhnhplBEu5rsndctMXnpgclYsYMXSVN0xJwYrjsVGl+oEqPTFCX6XVp2
RNLi3nRuzNxI9zF5wXvDVuFzKBwaRKOphdfm4IPizmIhmG8aJeyXMLRvpliZmyma3DWWH/sI1lhe
Sk0YXwwm6gfXr93bULMIxa1j61YYRXSJ+OEhLOR8aikpOJc5vR50sXTJ3VKMPbtuRKTNHCF8brFq
0t4YGDhaWqft4f15v+00836DjGe0i43xQmG7eo6Jkd5GnbSxToPNRh7X+oRA+Mv9CBHFb4if+ZXL
hjvZ9BDuYsaXgdEYU1DAJ7gEhWvf6xjqtiFJYdC0kX/vIVqpvUO9/N0zw54K1YlPeiH1oEet7W7s
bgTPI5LeWhWoU34apAgdZdEV1x0ijCdlWeVV2UX+DTWsdZ/7LWwS6nxtO0oGd4MZTbfA3OYdtZx3
C1S3fJpiZzipiVyhMY3b67GR0P1GMV010ncustoq94Z0+jX6ZveuprratPM040/WPLSUurnQizAB
xeD2wRQrso7KFV7mTCC/cp1NgiWGVhjKQwJuW4QveRXDcO/TX87sNoFB1P0204pmz6MBwhF9Lp58
ktnbasCL3dRJQ9ZETI2g2/IiH1xKubiSMZF4BcdoBDD8mU4Yu5vUZ8BjinI+8reN7k2jmo9TNskL
2oQLhylM5Dp1S3K3nCL1Dx4nhh1HaXcj7Mg/OI1foeMcK6TgS0suzhJcLq7FM+GhndlxSmi3WHfV
QVMgxlax9KYdJ1OUsiF5eVtTz/01uG/uw1jNWHk5ed6WuZLPKN5btrE+O+Xo9PdxqkN/YRd4BCZO
JnQvRIB7s39hIjTvzMhzLszSKPdDleTeakmCfGqyynimc9NMdPmS8HeD0OFhavDY0pMG0bf862bp
OtizbHWYxqgwqQnFcANybrx51ZD0HmPcLc/wK/EAJKkRodN5XTKZF62Q2xDA00Eab1ZW3urPaPia
b2Jsm00PQA5Jj7K0bUKL5QqWe0oUSGR+scsx/JHacfXQJ0WxJ3IQLYczh9uE0fTinMXmIXUfGUCX
Hd2qe6JR3h48FNoZ3YHUgWmU6QE1JjqcSfXXBBxy+8oYm4Yy/AScEaW9obXQzSejGoNK8ylMvdqw
DtSk2Ax0ry+OGMrGDGMK7tQNGY/of8ol2Ewf3Tnwk8y9M2hjfW+bfj4lNkPBVb2Im5zaK/dicNHx
zHXHsmj6w+M4e83KUB0aHCG1e5D/6Ie0kZ/es5gPVsJShw4i4i/Umch88hRLnHKdixCj1j5yl7G8
jKhzZah5e06j6mDVWvYw+PT/ylK6d4R4alsHH//ao7bdR4sKDMnlHKD3pENL0Nrtq+KKMFh/Xfnw
buMQh4RFmMOTUUhSLmoecApNZD080WuAXvhjbL18SfmGH8xGb+5JPZwfeJCiWzcmOLRNO5+UB6je
0FmJIld1iabYcr+3HEjRhSZmSJRNCXesKUoAWiGBcG2bzZjM9P6lL0Pta7Fw8CGcpsbGA5Lz379T
1o7h70lHHjbaFvIluzau0U9o9xEWilsaJNMxzU0Gcc6Y/Ci7xjv5VU+ABl3nb1Y32d96tcT9OfV0
zZfK3cUy1jZTkmgbrbbjQBDQcjVHmvoCkbzcmsjutmBIRrQ+3PXWKeJN1Xjejbk47suy4sPXpBeO
qgwQiAwOy44WVsWDuBuxgV8IGZfb0k/bQzG11raGCbEelU4uDC3A6diZU34TekZ0MGiBZOvXZ3n2
jPkEWgyEEPXGxYwH+hqWcrgtchFhmKbftXKcMrvRZVociDpwv/shbcs21G0HZzwfQ6pjfv5ZzldZ
U81XBt0b+o8gkRmzZjFbIHK6WEueVTaN12wK08Gsw/JGqHlGg4WWCn5MDSONKp7Ynhl34ozzZSeM
DOY9DkIwISK9wQlP7W+Z2dHuCuciHWYmBWLQtqGqxxspGj7dEO2xCspKs+jnFyJDQKJCiPQG+H6+
Tf3BVzT9ViERnldDS8T8uhRldd9VY7nr2HA4A5WCcYRttjeSfsZadcT5RXE+X00DcHMZusPOMg1t
gqJSaveNrmMFpC/HidnGgJv3bBt61PBqtk6d0idP8Jt5PYhDmg7lvjVKssw7HqeCOLuj5SfGsx7Z
05VdMDBBDK4/QzSA7Doi4gNbjMAybngxE1qIx3kc5pMiVfHoDjbSZtCt+BlNpCzAZcGEFb5Lj4AI
PHa6EsnfSXdH3nn0bECLQ/7LPVHFEaxjmvuXXathvONfvU0t+jpgVmQYNBA+9oluzQcaNC7UrmS/
XBF5xvAFZxJAr405MZt1lxR35giaGtV9uZ3rWNu3TtWSx+BM5iMZxx5iz1LeYaOa6FIm2kUU9rcd
My+ox5LcvFR78SSTf9LpvlsdyJmcPIlLLiPb5HrFzulEjdp5nhq2VR6Z+zBM+hUBD+0FCAlFep7U
xZYTYnysZwcvM9m6Zo2uP2vc4ifgq5/N7NyMiAV25jgUy7lNHuifEfgzJ/dDFc/YE7QoYLfacyP6
tbEE80Uhcwo/875rJR5PdAMIDAE1hxtvWHzbFshl3Wu1A2kFoH9EzfXSq0V11pkuQRJ1eTXW4RWh
1dE6gweydZO8StAy9B3KgTR+jLreCTJEFkTidGNPjvlc3dW2a870bXU8aIUZX8SpW9+WZVZ/16IM
ork5FXTP6g5zi3DvhKHoFuUoGA/kfMxHM/GzPTySLtBixnGbKpL2re2p+TaNXHVX4z3c9kUnJqwg
CkLq7LpbPGMhGsM43pM1n+56mVGS63lyZDY3dSujJatLzcWFgUU3YJDm+OTOVhHKxJ1HDHZ20ZTP
HO+NH6NbeleG37X6WplOdeplinIEsPpwG85TdWin2N9jGmh2LQH3G7MoyCnIaEzTx1P8ihv6k8+E
/8lh3WMvvrGNNj2VDlnvXTKpH4j7yd0bjdi8nqCg/WCkJ44ZXfxv4SR0GLCY4R/05QvpGkW90mMv
Dsay7C7ixLOv4qJpvzF9cgJchgPZzlF/MWhT9rMlYxdTtMGPWyGWv+1FXfwqGozcvWvYT02TVrSe
mRweDXQPl6oFseJqFNgwOkqbWrdBfDFprf3VKkWxzUKHqM6Evu91pU0vWS+87yZJzFuIsCRxRfm8
c+C2r9O+mBgkxjOfwriISXQBH7JxJ8VOluZpkNY9aWBIvPl5+doeJ6oKYiqsGTmKR55bPW9otd5r
eQKIB4kRgejtisYNGZX+RFFs1N+QP8Ovc/MhWem2kIx8OBnv4Y0X91VWVJftnJsHpUKOUtuomMKI
DnZWex0RVc2gFQHlkqu9TAg/6Wrip0WF6z20GvQk6k5vTxWzhO8mJLxaWnvJRzG/5aiYPo2GVX1N
ZSa/1x15Zvtao9O7SsiOzJjCLSwP+DsmxVRbnmzLIKu6qZLxMVMu5LAOS9exN7sX5KlARmnvXI6+
V15YnGx/ljXMjglCAnK/7HqueuZ3jaXl+zYTcj3wU11mfY0wlZZue01OaXSNXBa+up2nzdbzHHml
IpecGYVbmPf/F65chhF808An0ZteWWE7HyGQdLcZmoSNHeUxnNvG4sOFdMggSv3U1Fb1bIEat9Nm
eLSn8W6GiWbvhEtXWSsHY5/KmZ291iwinzoCiHzBOD+OpSLojZzXdUg2iYvJh4l+TwATTzyTkcre
x0i0CB8Dx7TKVIcyB3pJAMknekZlQHYKOyEDBI1xdDSKe0odvidkkzyGBYybOvK/2XiJLvTaMPf8
KSZcGdneYdr6JXJP3fRg8J+jOewJhhs8OGvWlF75hCHtyTXjjuEE3jOOH4nW8bkpVii+iT6275O+
YrbcJbywMA1XQ8mZaorJl3MIu2mt2LylBnlgQ85uxnp2j1Kiy23x6m3rvAyfKj+b17kaPGK4rPTa
BdxFG16jikFFPwYoKCSC/qH8UjJD5oSrnYqiaA+tNxUnYl7dWyH1CE2Aa14b6GZ/GxHe8Cod6q3C
UXMMQRbckJwcXwK9dO6I7/TLaE3Aj9b9SEsGyHHW7Au2221fWwzp2lE/hWHn4rVHu1RhINhPTHXu
WnbcVUcU8tb3e32v8u4+6uDwjEJ3j1ZUQdAd1GPslyJIo5gvFgdBopSEFhSW319ylBPHwYZQ0UQy
4/xblb87hOcJwMj62ZJp/aPxWsKQVpGMs+dKT1P9woDkeoFFL93QLRl42BrzvjO1cVprhFD610lO
kuG6KqWES6eq2tnJcpwpzWLlX8N8z+/LgqDqwpn8fZw0iPpoYd27ZvMyjm230lFvrZW01FGfh5/C
oWpwcrNYc6iiSJL9hMc5Sw9F4hsLnyLQmI8fef8d/AXuQ0EGAwhhwBicCnOS4b2fjYkiGqUHoZIp
31dytINudJ8EJchIppej9BNnKJfOGW0irfOMn7afDxd25VhbV1o0UjIYE1FoBL2vhb9jBLy3qCDN
UzP6v+Voaw8Rr95X0xQq3jhNJfG/KYySgD4WZJ5T7cGFdwgSJKG5bQSGqaQD8HEj9G0XlFgp4biA
gX0Dr8tZrxWrmVn2mqeCwaZ/12s04xIU1UUh99Tjxf7j1d50dr1lNei6+A5oSS0Gnr86u6Mzck4S
KpgqAir1hn8khRi3eVTnm3++lGGSGuo5JvKUc6WS3rg17UeDC4u96J5Adj4ZaW9c6S20jI+XOjcL
4RFCSybg3yAnZcWze0j4sT7lFkuVquwus7zNAleR/hDy8K5kNBZ73PLTZ1qsN+1rpKmGZVj04dBp
nS9K1CkyV+B0wURM4YrEcr7SipYdNan9yfW9EX1xfbzQHipLgmyQ3P79q2Vs/nNdayogA82CthvC
VdWklx4yk44mECt5W08GHcR8jq/INR4/WX95Kv7Swy3r49GysWgvM5qzp2aK7DrWs6gJvEKjAV9y
ga4cvn78Iy4Xcb6IZfJgOvoyKzoP0hkNPhetb6qgbWndiiHmFBEJK7zOTZKT5wkGSd9BuKjIPNx9
vPR7z49luo6p+wxvjGWm9edb4Tv2aBBlpZYmybStLQeDK24metaavgRuRpzAppikqY+Xfe/Vt2yU
fDa/LJNhRl9/Lms1vluJhGWFTMkuKfqvUDnmIHJ5an2Y3f/GA2uxx+g2JnrM9Obfy0VK6gbqaJZr
WudemnJP8Y8GA4bPJ7uMsdywN7/lAp6nAmej0c9v6Dz/67d052742bw+m1PY/QIXMq40CJ+gTF19
73qz/hQT3IWZjFb8x3f3vYcWAK2Lf8ciM+TNSyOsdh4iXQWWiOyTg0zmqo7YYj9e5b0NlZ9wGV/p
DD5fh1x/jMpswik7bN5sqMsu0EMEXJN4NwL8SetPfr/3LsjWQZbbZKszYlz+Kn8slY1dibxxYEMd
JHKtoXp0verx48v5bI2znZQ4NdPlQ60Cw2zB56q97RWnj5d49+Hg+UMXyKPoYBn9+zp8P/UGhSs4
qDm7XkWdbh5NLArAcofke6yxw8iy1xfqCOIti+k/wayf7WhvXz2SvGAee7x/Pq2Lsx3NdurO0iof
7pUBiadFcLiGaiIJOEzlIav9cvPxRb+9r6wHQ9nnHGUa4vzdk5RVHkY9GRTlyAHFnU5oBsUnR4m3
z6LFDB3NNK3dJVX87AX3I6MFDpnLAF4Mes4anndV95ciZZbx8eW8sxIX4TkC/Ytj2eLsMfGbJJmn
yasCtjayDLTmAszwfa3Sh4/XeednIsQFNTa/FTvXKxr6j0ferYvM8pWogjnRtyp/0siRSbNyneD+
/Hilt8JqDxX3H0udfWPpUbmEOrJU1/s07kubxNFB/DdSttvKHu/c5HAeQ9Eeqo20W2+jY0n5AetE
A7lOYGbK9HdvNrTRCmXRAC/sOTs6XlojToZeHQ3xfBXm1IFENVnAl5gWUVe1hGfBOD6KPh+vh6qj
gz11LjlodByxBSfzJxeK2eh8b+YLzlwPGb1jwA08e/2gVWmWX3bc0yZuv/nE6F4bvfdlct3kqZg7
yDp5zvw0D3+oMYt2AtwxM2v34LpQvhwms4assed1X4uQwqh1Sa+sChIyPZKSaCwRNSK3TTbQb0wA
34UqtZDdDhWCpx6OmZZqsOftyoaTPw+btvXMNeukG1p44jKz0TKkGdqkkf1640fDehbRCAy3yn3u
lokyjARK/Vmg1frko/XOs4bDEySMwzeLI/9ySPjjWQtJceD0MXFfUjhuPZiaA7/6GESpQvUKeHsI
Pn7k3h54LAtvu+1gdkDze37gkZXd9wNGycD3WsSwSVVsJZqpS9eq233oRe1lTOv1HlFz9EnyxTuv
L6c5fTFReJj5z19fkhR6Le7cMqDNNX3vXQimknnPvWO46cs/vkgEHuxG9Dr4z/nRkbko9ebUlUHR
K6YiGCoU7VqoaVpaqoPbZKTFNwzYMT2ZNO0/Xvyd6+RcBRgTjx43+dzHIaDy0HYqSYMiqW4vh/I+
GiOkHumk/vExwF42KUOgMBI+mU5/Pzz0gJoIkFwemJ73bSIgb2N6I+i93LL+8WPKcQPBFMIoqg/9
3PxXYy4gn6rL0RV0AywhGq9WejMMDj7ozP31T2+grVtcmLnYapBznH1RoiSvSzuXXJZTWIFWT2XF
DJGZTpMvwa8fL/b2BWQxjjYcDRwG2uefL4k2JHa7givT7PvY0r7J2fuVjtZ9NLifnEGWd/nv8ylL
UZa6XBp7vnN2XYAlk4lAySyw6nxr0Sv1KwfIdt7PCMr7I23Kz06j76/ocxTF8sdLd/55weNHVDkr
SqM/Zn79VE3GvaUARnexm2MhMS8/vptvn30bhAa/3nLqYMWzJ9JpqDvaUGSB1nVHsF6BbWdQOvVP
lnl7sFmWoTSEF8Lp47yh0Hs6yS380QGgVO1eE+h565Ev4scX83arZBUDmi47M2jCcxrIqJkjKEwj
C5RFR4tOzzpPu9+idE+pbBmok81gTdUnu+TiEn7zlCwbB+QFYl3e+GwBI7Y+ZV8W+A4a6CH3acNB
/JivRqIycZYwxG4mbEorrbKBZOOYqRl76WLfjjI65MyRIQ6I+3ly5Be/y7JNVNccDpZjgaxM5wJZ
nPvVNwc3iNrmX3bvn+N/Ri9YM3NgJ+X/ot10W0E2af73f7z7wyzgYYaBS0Du8v//43OGJCHOmWyQ
lj0wkk0nPyV9iz7nxz/Mu0/Z4kb2wbqJN0fOwpZ8RqIqD8pWIByu+kDPjHtPtJ+dWt77KSB+o6p0
XaDKZ4cWR+QWOZIlG9FYWwhZQpKOXH3cfXw17+1AuLNpw2Grptnx5p7p5hh1WoZ4CCIKbNxFFAPg
pGny5z5FjPzxcu/dPC4JaLPAG4mH/O+fyGsTF7MDr+iUhb+We6cS91So8NvHy7z38ix+QYEkl8Lg
/IsxNlCD54qXJ08c7zabDEZsofOLYUu1U5Hj/RzyOj3QLWw++VS9t+e92t1pHL1T9NA61WE79hnp
uuZNW2rA6aJdnT7U6XzHi/jJau898JQ9Jg87leWbJlnONQroEFlQRzVgEdfBs2mm2ubjm/maBHr+
6eAmEuFnL6mI5wW/35kjSDyZBV436A9JrFc7cMTo0VKrz5nNieFranjVuoOHdyOnMrt2cmHtYzLp
t8D+XAbLADoNGeJXG4DDxF2XflbdLjioNzsXoZ+vnAALf+3Z66LCRneGouBrM9qMCVr5ZLQgf1CV
NYdEeN/AI9drAX/2Mi+t5CEb+uYQ+tVjjKID5HNL1ENhH+gi+St30mrcYlzHxzfynXeNmTZHUDhS
NBfPP4i54O+QjBy3h3L+Vc9Gu9NrxJRhjn5levp4rXduh/GqMXaWRi2n7r9fNNPA+ojDnaN9aPzS
aThs4Mo8AbssA0FCy5ZWefvJCeOdl84wmNhxouGL9eaI3at8Ik234vJS53ucRNraRLXDHEPNK8uc
5FepBrlBjdEH//xaSbqDs8nJxrDOd0obMADJ2U0VUKtdS3DXdKXzE9146O5Z9DCRAfLPz20suLQB
TIPq9zxzlXdlaBtbkoCuE1WGRQ1VQmm1p0H6RVC4FNIfX+E72ybrcYZaYqE4LJ6dbIh+s+Ok4taO
fcTkwlbDRpeV3FgoYv+dpXyAGx4J8vT5zz4INQEebVFSohl+Vd7iRZxXSrTuRdIZxifb13vPqMUL
tfgQlk7/2TPaI4krZzoDJNd2911cvTiOvAddoIi5kyevg6/7z2/jErJoOjjcOSGefX2MkVmb2cwE
kpozGj8xfFGd2tT0AT5Z6J2NmZa67lgWnWdsHMvv+cdJpJ4HFGAhJWAeOd+icdx7s7z/5Fqstxve
X2ucPRO+Bo/fXpIcEfQbC3SsPjZO43wxOzJ9w3xouIs6uYeDqmH9pNHXalDYvxxmtXCiMpp/HWrI
MmHSa8Mp1oDybAdvyoPEaqEk2XZ8Mn2Q/uXUhz/CWi/3RYM4i+p2WiODDQ+x4zGk0Mfx1jEUWl3M
XsYXyKWIrUqjyXZV0ai9DkOOlCykozf4mTgdVrCzSuyyNySMx3sYKNMhd5Bo9lZcXPXQHwMv8++T
KmvW3OFsV9ArImUMoWCAOBFmyDDX27CLHcTCoMoq20qgr6Xd7uPb+96zaRtCGDwnAADP909XNuCk
XZ5NZMJPcmyfvLi+sS1tZxXVNtQw8X683ntvOGduDnu07xkInb0LTjyVZF+RX4ujdek5XQ9mdhja
8pPD69uxmk2vlMEWvcwFSXy2DPi8GPqND3Bfz051nSg0g95PmX1lCH2FIGXdOeZjpMpPSqbzuA7C
95Z16dJyRymuzw9kfl1IHMIOPZFqmr/HUPdXnrK1E0YXPd+imaHGkU4Rbtusl5scZgPD7ZKNXJr9
wUHl76SDdrD0TtsZrV2uQ4ShPHD1nnknE2w/fXYMfLrDiBQwE3O08VuDxDrM5JvICO/MzG7W3uyA
3G9Tm0xNwiu2KX+fTZvXL3g+jFvyO/B4joPc4eji/17Mzjpu2nQrNGE+SMv57Kd47xd3AQ8JIJJs
FAti6c89ItEbpygzsg/09mli3LuaBh0UXNt/8mS9txf9sc75waive2It/KEMPGcxFNJvWEO82H78
+L53tHEtQbVqMm9zzxHTujTrStqK+OWu8tYT/EGK8W9VhjE9bqZPTGfvLka/kpoFyNSbY6+r2IzK
nHdFi10YG9W87+16hwIULXWbfHL73tsIXNr+fC2w7L05/ObTZLkpKipYjupkNqQNG+H0rcrVS5ug
WYjdT+6k8d5zscy8KWCREAjz7AM8N3XO/eWclo55jMvLNI4w3IaDSS9+U1laDI1Btuux9q0vCbDh
YIowNUTUzFde5MEtrOzpq8AShD0jjOz5k/vx7l+PDZE2Ev1b/3xjJBSw0bKYY84g6xfLjx5is7/L
LXQkHz9R764jPCpFyt/FMvf369H02hTX6PECKtGabk77VE7asKk69cmH9L1jK80pRBuklANeOHsP
rcHHwYH2MmjxjMQNEtehPKnKwS9t3AANuy9y/5M2y3sP8B9Lnh9Y09nO0ejpRQBOZw/N4MW3c8Tt
7lFV/Sc1xxuq7LLzUpEuWc+CifD5698unn8A1AXbjDk9tnH9e0h8ElZyw1vTvo3WWq0lsHL0cpvI
xWugGYsyUyH6gxf7DbhV/C2UXhN0Jo4FXG34jOJW3ZHiQ3R0SXQjHCpvN4rBe/Acdk1CxAj7hv0+
QoRZWpuV+VsfQI6KytuMtf6YVt01Upx6iwn+JfH6YVVMVrIluM+8qxFd87E3nU+epvfeYn9x6tLi
4Lk9H8Dm+X+xdybLcRtbt36VG/8cDvTN4E6AallsSxIlcoKgRRE9kOgz8fT3A2WfkChZuv7HZ3TC
xyaLhSYz995rfUtAPMefcFjEclyGxQgH3f7oCOdEz5SQJaLUf/34/uwWr84shDIezda3l13kRqJa
DkOHrA3IBhFjJ3bE9vgbK4lLEu5WTfqvP/FVO/GmTEcxY/IFeV0oM99UwAlZn0xJy+rgVksQpfPo
vrNTY4pqC1Jq2pTlvTCBOOY2yslXu4AP2/y+GgEwDkj69tpMrNNvLsNPrjuHjdUCTUIC5cSbE3fg
AjwfTKs8FEFib9NOuVd1yrFR5U3/Me8MELkwe39zIX7SxESVQNdnXbXJBjO/XzoS6SyC1EuWjiVG
ymol9g5BqrXr467fQ+eyQp4UlJNOuQ0ABxF22Bc4L+y/cuf+sR9p/WQNW33hyDEIUWPQ9uYP0ZFG
uBWIV3zLOUDfV19DZpXLHdrq2jlxZbzjkKNGxmLVQ6ahiWxopA2GcPmm29ma9Z1Ssf4ptTl4m8Oi
f+JYXO+hAb86pkhHkoGzR5L/BfBcyJI9bW03T7dohe1Np9XDIXVbbyvT0dv4yclsCutdAVr/htcW
Exqpi8vH1B+Di1L3HvRRFb8pzH/2/ZmA4UH31gn928YR7baceHiL718W8l2KLO0gXZl9zAwt3f36
pv/soxBeozXAjc628WbXZOjUtsBuqkMAx3AjWn9180mgw0FaJh9//Vmv9+3tm7Z2fy2qV7bBt+V/
rbnlOFcZxcHkxDATGRhj9lpsYw8ZdtrUXmmcDIIAbgdpztemqSV35kB+BnGNYi9qGM2vf9B/Oae/
ofJZzOhYUf6DEvgB3/AON0H6fzZPRTPQPwPRB+nv+Px//+evH/ybdur+gT6MKTguQWSbCP7+Q3Gg
X/cH8kM0M7Ad3oQdOn+8zrZ8a+29Wqs26W+Kg/mHTQWHDGs9C/9bNB96wO8rfearHKt1nbYPz9w6
cf1+PQv0vh7iuNVONqlBdxBbq+1i4xWo1hQub50s61Bgzsg5yOha07qMNbcLOCso64IsL7Wmelk9
smSjHfxDkemEfsV5XiNjIAmMoN10WxAOlgjrYBcUIPGaG2YTIDYTJDabJIqBlfMjrSBljHk5eWM9
yWPoKMqwf40jg+BjvoMvlYZCmISWWkl1bdNhfQ/IOw17D56yGrvymdzXUBF4loNJY+SPeT8e71Sg
hnO+pqPBRiIojdyt6kzM2njRCL89ET83kXK8pqtNa85aXtaEi+FlPFbIXLf5mseGsTuAy0pGW47F
3IXgrevXncsMLcS1FW8muUa7eXKNeYP4pGhbkP2mrylwwmmdS73zD8DAz0JHBW3B676qCI+rY0lm
85onl8AK3RZrxlzb+vFu0Mmd44Fptv6aRdeuqXQZJNoEvxJRbUN1WtbsOs/RvIsKIzCeL5LtRtsT
O2km0Krla/Sds6bgIWB91zp1u5lVek/Invlhrhz3SBN7eqjXHL0Ut/RGVyvVFkA68WLYnDNsnq2W
GvoJF6W1vKs7qyjGbTY3vva5KKVBOkZTjtpCpElPEOVYN/0S6Q76CwxuQzvglMvVubVq/zqAUqXR
+WlRnHUrcnxfEf9zMD1H7gmrraF4keB6I6s1uc4b9AEEq1alQ+gvvTXBW8ycS/B0EKMNAtBxUi4a
BTZpkyuV0C6uNZVhVd1olQQUvW9gk3XdVZOXmZZiU8MR4REYbU29F0RiksTRX3gka7ndQ2PGzrlb
MPEXRN01GQ2vkNjsLp/v4qGo9jXBal5yY3lYPOYdBjt9XICqim44B70ylfth1sdef6dNyvWTLV3i
sgoi0sRHae5QX/kSJnfhchCXV3NWE3G+w1Bfj5FR6sZHUPnyDhTfwj6Z1625MzMjx+ymoc3hkIpe
R4OJFGwzhCX3+MBW78bi4Tca3EpegXTX/bAOWoyYSbtAFTLjc12mmohYSUg6B6KY3oN9KKprLVem
EVVC6TfoAd1pV2og1iNwPw0Z6kNdk4tkpAeQYOz6i2cl0eyP6l0Xp16Cs7+TH4usDLDvta71CA+N
JOykSm7aVLU3bpv522EScCdSo573/AH61ULrYVslLZEodbkc0AWIW7fvyAuULQoOrzWoGm2VE4VE
051AgTyn2+e7hJIJT6Ol2LPjhckgnTW1YVhC3YDiOEwc98PcATkTGlNqblO9H87j5NW3KG0SHKI2
DrDJuQlyTPRxKeRJlIKTfqsly8N/N8T/H54ROnWf3eGfN8Srp06VT/Xzt5vhXz/012ZIFApGtVUp
pdNfpVtOZfM30ij4g3IcIS5alXXwzY73F/kbTi2SJ456gb32sr5FGlneH7zC9BuZPtreGq/yb5BG
b8uqYJ0Zr2J5JhT0zd4e82odQk2VEkvhJYazkG1v15cInNSHao1IShLnd1yg9dz47VGPD/Qsz6eE
4y//ccQ6oICArOmqg5T0f3Rtwuzuztn+m5tw+/X3fatcWHsMbz4Fh9pq5nCoFX6oFgekK1PrpJIM
Iuy/synbu6IhMynzbLHVtZkXsWfmY7e5du5nT3749cc7wduSae2ycJLlnOOb3OO3fWHCQXxAst5w
AJVWyp1EuLkjdw02CMpBciTT7oJMT8onjIGVEYrYIv+lExmtgx7Z0bsGjW4SNrEP3GMGdQ4xEY+u
v8zFTpkF/y126KqKrFJbplAKaBmgNXoI5HjQ1Aut9uJs5X6xWfDnHlIbKEjsue0FI+32E3gNtY+n
CqCCSAzFCKDlsB8ygVyIgZPGe0Tq4rqbUWHA/gExYAFPmt1ePPlk2ukYHyf1khKmu5tIuSeEA1Bp
n8v6MjZg+GBVByg/N2Z9mcY68+BMiQcS1PjBWWbBZd9Kc0uLKj4HE5kwJE0JvTlyqeoKDqLOz5K9
YVt7kij5mrrXA3PCr/1eNcrfeLJJbxysiswpAlTX2KoxnHpZd9eUE2i9aXUt5gN5mr2LVHaxZEZn
vpo3Vpx1F8Votnd9NcQXaFTl3m2N8tiiu90a1jDd53o13bf54r7j7pBtT8N1W5tOGY3E2X5Wzcz7
4FH+Z3OtPuDkaB7AwXJnWgqQg7vypry5ww4/1MGlCzr3QNaoepkxjH/QO36EeNz+IxFv/mUsE/uI
id14P5YLZfsw15eyaYLLqqK634Blt/PQrrCzEm2z6HhySrHtRVxGcz2RpNeSyy3IOwlHI8G5Zjbd
ZzvmH5MCxTyZqAzjDppEWlTbYwtqktfZ1wa1d7OxPDY+N1d5YgaAl5fpprdwPEFE7MujgNJAK98p
AK1ocq8ZcXFO0LTvXD9tr20UwVEZJNOXQge6V0OeYJik6ywaRvOYyXa6Z/6/XAXtxK+yUrUX0IVD
Q/KNg1kT13Gxvuxa69xoiT5FdsB3ce08CIcgraIJfy1pwWk9fTGKTO3h0ts3ic2diFFTkx0s1KbS
ABJuoC9xXYtEPHll4ERgB/N8M0gtq/Eax/HZ1eP2M2qs5aqeU/XBpLLc1/jxYfa2xQ6E9PCs567x
HpjqvElXc7OhcW37hPsIpJ9LvT6inIqnLwok8m7B+JuE7cKdsF1MlRQN6gWUoXgoEy++KPviYSaF
74JTJFHi/os+BvoUcqZzOarHlQmt3nmEvgP4HxfnfWLybOJBJv/HBBOwse3y0Y696cvAefZa5A4P
pTSnSKbcKDKdhh0hPeJGVJZ9EwyzczOq2HhfZ714GB23ecTFzdPqwYshJK15tLBWnnIARe+kr3xC
InMfhEk9N0+JDxIjyshnwaJICszrl/NTXoK+6bWzVKIeNpJC4YqxZf9R0Jc+q2YwfGLvuD7GYIBd
KfMqcmc9OwyN6QHmiGW2BxvSfabLzgnNrorRw2rrt5+MDPIFCB0PI6VptdeDC+nE/Mg0co2Cm15z
4bJutB8yLMrExVGM1Da+g0WrtyjP5/FKtTNZiHNijfYZSAnFgi3VB4OkpYiYWNLaDUeio28Xd8dz
6OjhwJS6Dhs5sDSN9fXYBCQp8YRd2FpxO+g9yeN6edac8dquRLXDTO3cLR3DFceT1nXnJO9iJ76u
MP1udIZeh8Rc0mNlFh96lDxb6J7jdrTVn5lfjVt7Gp+L1KyOWp18VqOdHtMFgURtjOKyASe6LZ1J
RkwMhmcDAMM2yfqTHNp4h/3GAF9TBBtDdYDCPCdB1Zdk1/YCQ0MLxKSiDq6Gm/sXWkGgeVa29RKK
IG6PCFHXgElpRxiMnbDKCoZ0VVm+JGIZfIbRtQdlzFYRuQZnVXvZ1qy04JSDs7piZj1j4eaFhYFi
nDKFcWskkPO4MGeOTGPSj3qtTYfKg7QhBoIdm1kjQHiNkZ7qlfmlo9w3tUo/zU4WHMbEeGdV1IlM
G/pLow6skgAjOXzuxTy7kUOfFik/+G0yecthOsC28HauMT/WAPUux94syT/SR0wNgcHYMCCswYnX
mN+4/2w187hPnIQ9jw3c34FWmMKUVI1tXrvtGb2SwUm+6HfImFOQooUG5dyXj74z4XiwCnmq5eq1
LYviAdtu40Uu8Y77IJuymfpc+JvA8ZFbTrZFy8RCHGGY/s4eHcs7Mngz9Y1iEYEOVAizDwXv1ZVd
9uI0LzEgKFM3j4gI+42VprxV/TZJEOHWFD6hGgznQrid/LDMVh51K8wHVcZhLjfWpDUXRucuT6LU
HcZP1fJe5KKBT9MHB7k4wbEaY3WbFRb5i4RtXhQQriPXLLE/uwWxicTVb3vbsu88ugQcDlYZXkKQ
UKgLf9eSW0dNhn1idix4+YGVf/LcBG6MrmYg6QpMQTBpO9jmDc6R6q40NPZyaInHLLOkFWIl2CRa
EtyDnTP2ZcYT71pNevQnCfJ1ju2rhlEYYWqzdq4G6V8b7aIuAHfDfKDbA/irdbvqi5201/jxvMtA
YgSL7HnuSJlGSI1qNS2uBIGfR4H8oIXA73ancomthxHarA3mfMavYhK2cUpVUvgUwLn+RWCtL8H/
167c6Lk+HZe2pbKttG4/EvXyMJdjRkZYkeWX9pD0nysrd/Uro7cnJClGDeT5AXO8joW46GFKNDWy
TE3WdBNSZ/qzIQQrGsp5PReI9g4PernBvVbTiQB1fYLnjpEFVEdOxrRZpUcMZd1l0PaNjeWESRqY
cCej/UBIAeHvjXOjzDg7LGkt/jSFrxE0JVSx3hs9fD0i5bnFPoTQEH5fD12dkpzFWQzPfhbPAvEA
PeWdXvRsONhh1AuNZR9BjRafBWN43oGCY4IX6yLeJM7IgSjNqqhNhXOzwGM6a40QfN3MSncj3FyY
G0gjoopDXkrughR/SjEi90hRH0LBYXfGJwQd/PXw1Wam8R56Sv8sIFr6G5M4ds7J1TpekUpRf2bC
fSdh/fawaNoW0hOE7U2emuWRSXZ9WYJCOth6P2+qhtSUocuTnLRyE/hM6vRs7kHVaOc6Ccb7zLSS
m6TipFE7rrhOlte/Img/WQDJszBu6eCEzlKplwGYZpgFHseToG2NW5bB+tkSLm1hLYEV0HNMvHAT
FqKw6vhzVgjTPjW08T7NdO6d0Wo+8WZVp/ZJRdYYqad8/3GaN8kKSGg4bD1gvKiiXq3HX+y0D94g
S/hcfAUmHSiRK6lecN5le7nEzbbOM2LfshnEm3Ji3QwbYZW4qIP2N/I/42c1hIFKlHoJodoPwujO
DIqGsNbhkGhmexEz01yPw14dtXnbgahbj/cWKY0TN+aRuGcoKnPNxR4H53cFzdoFflNQff1LaKYY
/DlvnepjYzWVQCh/sDNO/hGeXOeGwDtzmwzg1ZTNgTANuLJDostbj/A46AwO5J2heUzimgezhkJP
V0qd6lm0n8bRtm/AJMoPMyfu34wufhjcrcXXak5GBIdc+QdbPeOMwpsIxz4Q+0l6T1+775TgRdON
HNL8yFPHVsQDZkw88dDzsOGxT10UtWyecsG52YNOd/XrkvB1QPl9SQpiHRPx+kfh2Hqr1E7gaJhB
hgG+qqzWihDxrZCIsb1cZm3ad92Yblial61i8gK7fOQElQuKV4+M6lAhgT7ns91e0JSGqRs7zTMo
b+/OdxPoHwNk0ljrGhKNBud3cmWGiz/cfNym/moEoaG/qqn499+o75xRw+OicA3T7yVF0cuIDm/J
aNw1SrI6ZViVgtTyXiZTTYfMt5KdZphPuBY/AquzUF9xXNKcOdmMWNWups60H+ig1UQ8WsVJ1yvr
0cT8IPFWi3o6AXXyj7FrFBvY3aRrSl7oiqXkkATQR3UjhaIiK86rdB8vOUAuu1pa6oSgc950LYam
Zl1hTGiu5ynp3Hea46mXyk90CAu1bZNI0rPGgkjg3Ds35XEcWcDSuOHMTrFMXZIU/EfkWvGEdAAa
gb6sZ3U6qe1djZGJNQXuzMYGWPmJ7BfY5kSqvLOtQmxNGRN4hub0Mh9bzqAGLQcgg9N9smgkJeN2
Lx87ayzci6FcPODr8ZxwkbIsYUvqB7l1kiLVo1FYcQnQiMY9/W9It1pPfiLSRPO+iSGY9q0FO8tz
lzI5AtHPyN1e/4+YA3280XsmM1Gc4YCYEIr75gnJTw9Ox5KC3Zgzfaeneb0hlYZvnBAzTdfSoSKB
+cDTJuFBaopDPuW0js2fQqQn2/OjDosrArrkRL2jgYurAoGJpaNw81Nb/Knysdh12ZDtx4nTlV7M
PJHLQEGR1u54P2Tlo9dRPy7SEA/+XFrZplPZRFHJtQtWts/FsqxDWSfVzoCOrKPBxnFXWFO2jzE4
1BHRGOVxcPzmSRIw+WQrg7OhWZpmyGtb7KzB726pRP1L1erQzGaKfres+491RS0Did466pLVaFhr
uzoNyiitBqD/9lLKKcQTP+6MJamOoAmpWmrPCjk7eXeV1Y33ujGaW7M2myen77I9jnR1EgbV86ar
F3aAoTF6iPk0lNq2FNcDgQq8wTaryRDXKBT8gcootm0IM42z8I70+gjkWRr8y0Ff2s9NLbkqBLeG
wDoJXMiIeUVY1l60oqUrRwoNhF168MBMK5ZLRxH3W1Zm+wlvkH9pzLRZoOcGl4lBHmemvPrSJRRu
jwhH7WvddMiprad7tEGU97PK9v7aAUK6I66rgv6Ql1Emo9JZXnze0mVLGKp4YMZ1O0lP/DmMA+W2
7iQ3Rm3Dd5tTJFs2v7TW1oPz+ldLO6CJ5aOo7qIGIcylsubyaKyvqlzXd50Q3I2gWfLo0BDfQXEj
yDhHxLIdp4zOyFq8ZlKngE+l3d7pdcedaXKOIq97saiTGmRJYipyLHweVQ699HUsmE00Vvl2padO
SwLxVE50114fQ7AxHCSSGhyvHDXYhAkdD6tX7d1rx4d5Ubmas8vIBasYwpgsj5AUM9LnOFCVCH8u
x9hFsbi2B7RE4zLgUyKR0OaFf23kLRlY2ULQEJrT9IWsL3W18LrVkVQJh5F55Vn7Cd0rXcji3Ao0
wSEHYMZ82FyxdsAPbUeQi8AeucXJTFSPBLMbImQzaeIsvIKoDGnBxW5K+6/QnUiMWrMlnYF2Bo27
efsaSczMDiZzAVOWA4/e0fhCZYQIgo4gRMv202IxfAydYW4/w84xt5AY1YcaFlwYm1151NbmChZv
ljUq+vjitVMD4kMPfY4aXVQvGb+pMmn2tAtLnGXw8a/9m9dNUhb0busmtY+arn3R9WU9Lnsat6+s
OCy1PYrjr49mRutS2LSGmJHGZ90o60vRmMUGz6Z/6Q99+6kx6KEZfUJPDT9LfTnjsbyZbCqtKNEH
FnfN7J8xcTePMuGw0+ltcDl7rLPNnHIJU6ftPuuAteFcFSSE9ZRP297leE7OUnC5Ps9tty7DOHn7
U9mXdCSDzOPMW3T8OJuoOmXoS9+na9ebc8m6C1CgPRo+j4S9jP3z2MbNU2rEyY03Em5mdOvzA80P
PB99yNLl68Rr9+v1eOsHdEjBHxbnipio3WKzTbroo9+/7g0Gea4Xo5+kNx5LPn0nmqiT5tg3XqI5
bBVz4F+2AceQVhXm+5lBYhRUgH/dhpOwTTkcpW5uvBcuwM6MUfARJk15VKVeXwJery8dk0Nstd6D
lOPhQ48LQOy6peFwPhusZnYy3auZY7Io6M/pTWm+16qaxZZ17BO4VvGApzS+oH/hRq8twWmgaenD
PL1IyJ5kjMvxs2c1ERFlTrFLfMkT0sg1n5pip+LFBrRm0QVtSl4KpU/NI7knNKhnesZWFlMqDByc
LbfF6Exzectmz8PzusxKj6tB50idOgIkP1LVK0FmaLXWE72kC9VZ8rajafNBeJzaNTKgiPglyerG
01ne0on3qAgsdi13EtR4Fs+apsdnOdMvM0tZZceamJyLmYHZk7culTiYzW1XWMUNaHto+G4GiSUB
eG21AftDSsuEd7KjO41LUV3hZcR623rjF4+h9n7gTw9rDnhWlAUUIeRdij/hp3LkaPuF6M+alywT
WXoD9fpxmhyu2uJp1pGkKV6VqeAaDKVONTTN7SdOJbkdjlKBeASfF3BuGZ3seobSTHZyy3GiaWJO
kGpSm2nkhisfQ2lh0lJ//cfXF1NVOVuMZozdZ2dmTxVsKsd6GeQtqHa1q9I82xNezAudcapMPIdF
BvFNcoPLGM3h4mTLlXAXKrLZU6QmFC+jvTTuNu0pYF8bxV4PThDs+3leTwFKtpRkJLSOexoJfOP5
6JU5sDXffli6JIVix2F2oKGyHR2PDyua0b8Y4uEv4f9/tTu/0+64ryrxfx5Vfsx6DhJ9Vn87q7S+
/tTfkZruHz5OM1wT5ir6+nZWGZiMHZG9khPA2G5N3PzPsNL2SGZZ+UhYxRBYexYzv2+UO9DU9IAx
nEn1gI79X4Rqfj+sXI1NWB5WhzgpvKbxg/yNOM+0GJ3UPQVJ0x06RpQ4ZeoOsJeC1zh0vfP066Lt
Zx+ISIlQe4O8TMip3xc+Bd9amAJOM6JWf2NM7HVE18tbt/TB/hAv8Rtx8feiu69fEKUp14vyD4vC
G8UpuZALmWGeffKa1H3KAz7AwrP+vndYon791b4v6F8/ilvNvQY0wRD57eC3S+cUsoVhn4pqdp4y
LydDZVjHWXTpjethWYJ7r8iN6y525PnXH/2Tb/lVHIacl9yst+a7uS0mRY60ferNnDUJagj2d4ez
cAVwuPqNc+xN8fr6RXkCEXrRE+bY9tZJIckihk6Y2ae5IS4s9ERH2TPnsIKjafByOvZWLtIL1DQ9
Rgt0ov0n22gYjEkUNZFuMs37t1/fZeCOHMBnhg8u6E01jfQkHssktqFo2nzdoGJd1NcK83/5WWiF
HdwwjMFxQXz/ACe5pZepUjZqtdm4Hm1tPVFX8jzmpvgqEflHce73g/31OqPMgwrnrPrsdb7//Udl
g+g0kgPs0xSnLz0glu3I7OE3d/PHR4cPcU3SkfhfVqk3LyTNO9vjqAXhHUj7KfcnNhLfFVpkLAXH
/V/fqDeUsa9fCbyOAf/F5hK+FVvDDDOmRTOsU25mRUUDn88kh6x3w7Jj+ua3hfNku4qXNAvkGcyD
daQbaX0Vo/7jhf3JE4x0hGVPX19VG1nI91c2BnMSxxwzTxLV3IWFFV8jtoDzodB6nlAsshCcC7Nz
ESCPilnK+vI6os/2rCDd4dcX5Wd3gPF7YAfrnf5B+F8wp5FVIXh5p1iedeZ00HXH5mSLLtj++49y
XRBhBuIYC+jZ999bCr9rOq+1TpnD5Q2ChFdWKwlhiXyXO/HrD/t+qWf5tqG4waDAXcrH/fD4inRo
yrYV2kVM9M4SalonHmrkxQ/L7MvbqVasDr/+xLc9VT6Sti4qGNflaQbIt/5J37TVoIDYEB0JgtZj
aiooaBr1f9fLsztr8pwxOiZz3iEgIPVz8z2tw2Bb0cI4eVpNLetnbntYWra/1xUEfaToeQDMDBVP
qi0GorrmdxfJeVWYf9vFZMViNeVBDHClr5aA7/9molJyClnLvuhLvdrpCyVOk7naLsGgOoaNXmFM
jcoy7wgCanKcwFtAPe5d12lltSUPlL8xZqKQRbHDYHSxquFZmgWPLsUS75XZaqy8epeTseMYzPhD
Iwnspzb15bl0yfmiDTU8d2AUj+R2Ft2mX1tFMBrah2HympOf2NZFl3MBQ1XA+4U+pHWMsczgflhS
wgJSpqgGRabDr+4JgKQcClK3APacEbiWjJnl7su65TN8rrTbp+oWhSozU5tCFOp2RnRGnzY8IcKm
k7WGzS57LV4Cl2LCak49AV3dOlmvU0JH0uG5yMv2wRO1KS4qI1NnvEXyVqOlN1FcFkn2aKiAW+Yt
lruGq0C6um+pHh7qoXCfiszkabdz03lSRtA/94ZYd2gKiKeKsvAz8QvmYWq99twR2EMWEVM1L0sQ
pbL+okmeA4cdxlAUK/RqeElXLYYdF1pkSZsrGmfxPaYCqj7L6p+7HiCd1tATRxPD9WHm5537PiGi
ZHKYCgU296lC6XJvoFx6LqqE5puLuhetTIzwBC5ocI/chf9Ki5V1ZFLDbyH+2Hi/DFw3e9T79uuO
WrNT70RPaHDIaKqjt2szeQuVt+pS7NS1VVjVavEu0vVg8hq2ktBxvtRzU57Jx3Ex7euaRhxnXRrX
pFbx1BSY9588t+BqqjwXQzQ1vqqjSUf5dCHW9VKbvLbfMxlsy71JsEIb0bIn56yjwfrsNinvX6Mn
KtlWi29cpzhHuJVONfjojX1KNIaU7DdDEcfMxWqLZ3nKteC+Z1Tc7yFlY8fSKEyF4bMXDWg65U7h
gqFBWGPzZJKeIEnyyoWJb1Y5T1PTOk8w1REp4KUKyo2jDHxg1kLg1zIn3sZMXPuxniZygZdMXZW0
FjZtL8lNyTW6bDsj02n3lc10TEqEzmFPCxeJ0NKMdIFj9z2cvmymoeQTjeGhT77GXqWfGMM2IqyK
IIgyB0q8dDQ7UvWi3heIFbdjkwpxUVBHczJyizRckMvfDZR8BDnEY/WlcbrhxacYPDqmN15D3Bmp
72Uey2gsWJnILWPhmnXRcRE0JT65ZdH1u95R7me5eAZdgxr9Vq93yQ6JoDeHwSiyDWLgGtL+2Fyj
ZzVmGk89aRPoWAgMGsSVclN339YqPhlq8Nq938/ug8iqYYfadnl0wQNeIA5KyCeY7eWRRj3xyY65
RL0xcRv92JkiupD1Y850c6DQTsl21ztvvx5GmfjItjc3XVdp25YzYDhxeNlVPiFzLEwxs326B2PR
k5tRtAT9duRBKGdUX+KkmUnmyzRU9031CT2GTQJ5PYSiRmWdk1ceouV+QrDP+5Et2iZmihyNU2fs
KiLRcxI8rom701n+rZg0h6IjPpg2UWk1A8nCAUCesHM9P2nWOy/mS066/sG0DOVs6gyrn71C7EO7
DOKNPSZM6xvRR+XQU3A3SkP+0YwfROG2IprqfsfsS2FZ1j+XXt98Isqa9ODAkLtei63NWPJ3BPFQ
3bErkUe3sLxfunY7IxPUuaNeYuYEKwX1rT6M4hYnEg+1hvoDv3U8GNeamfNK9D0Vw7YRJGWdAOdz
wDYtdC8Rq+3wnHTEQ5P1ExhEyS88spC8g/sOkEtCEop09C2xbrKmFdnqU0jCerkwEtCah9iw5S2Z
elrkqRK+cx+wH/sjwUqEmdnNqenK9bcZEutukQ0sQazGHMxEw2orqaOgMXGEc6fFeD8Jm1cf4kF7
sCV+zINjFOJBCB5bwqSmht5RWZcPZgOBi+nNOIeG1ZgN73zai+rRyVNfvCgx2WE/eRCdS2/oGQvb
85fKn9skcgrN+Ri4cXDs0qA/oNSk6YgeJRtDovPSP/tpYMwIX96xsySJCPxr+08gNUftHQlfjXXw
zdS/nro8i9wSB0AKrPeQa+6yU0gFPixBUnkhEJX5w+R01ZkJ4ItZLp+kaRs3xWAOB9ZVGpNm0KFS
GoX5nAxp8ow+YH6XjDQub3njGeBNBWldduKtSdlptloxyt67oF/aE+oMz4mRuMs6HhVjn8wA9aV+
gtCirlocaGf40pkWdqi9jNDlLuQRh53gXqtxHGylMZTMhjobUcJS3iB/H89V5rcRkU/9Z3vSCJ4c
FutPUj1ItHTFYqL8MTM37H3gE0XakdhAJlQQgj9juQhiZ5NXPtGB8/RnLLT53TwkxZ0xjvpVlyXO
YzG7RRJ1ZYojjK5XFrZ4FK8DW2VXnXSsC41uqhumU9I/mdksThU4oW2dOeMJEa8Wh/ZAr25vsOTt
NA6z00YiKY5Jkow9uUvBG713CyEOU40zhCZefKmrkXBCuE1hMCXzA5FL7bjV+97OLmRGtCpJoLrm
hn48+wXpEfos9kE6Mo92au0y95bmg54x3scANFY140VPLw4jD8/1zA7/YkxtfzUKMe0lG+GpznsE
MCJI0V3QOreOKYvbvrBjI4sEJwuNEaM33SXmNFthnceO4LksuwdCQi0MKKVzKTMar6Glq2CI1gQn
Gq5VN8ZRWTfmFe1M+n0qaA1/65eezYJozF8a0x3jXaDRXUebZh9tuzW3r7PnfvSyc18Z7YcRrci9
Xyp7OyFni8DFIQ7Cu8lANCUDXS65t7HE7GU4/Jf0Wa8G9qFBp5Mda1OGpodLdTuRLrXHNeEx6Gzi
7MbU6erq3axdOdmAojdjWL7zNQvUCoFqpEn0nsNsiMwgsCs8uy9xmcqPAlDB59mJvefZHYhs1YVL
+CiQcOS7OeOhLowJN3zBn9kyeEwXNR68QbygEE9u+5w5Q7hkpDNas0xJ1CG9gkEUM7LQ9rqOPCYS
ILSSRC+T4HD0uQln9mRRcMj1tGHU54ygfE/FqCvMQN70KXVVM0YeM5wb3QONHsaiLm/qoCSaqzal
dpeSdxmxZ/eGfQDjUcrxXqYtHPCvFex/e6G/6YWurFGqxX/uhV5ldf2lf2Ni/Oun/u6FYs7wQdxi
YAwssp6/8W0E3h+mtXZHfdhcNEtdPusv44Yd/EETlGMjeQ7/j70z220cSbf1E7HA4Ezg4FyIlGRJ
ljw77bwhbGcmyQjOZHB6+v2pdtVBVTfQffpi322gLzpRVWlrYAzrX+tbMMlcn8v6n1qoTdqDQOTv
zRnu9Rb1n2ihsLiu99+/3MWAjnNRhZjoQ4248lX/4S5mM0wsYbeYp8o06qwlZ+V4BmtXleCiZSfc
Kuqq681ij/TMcjIVGHHxdVK0wu6PMzOvNjip+zODBies8XTJ9du8Fo7zKkLYrDGL0Sf+gfSlnJl8
5qnnfhsZYp+xng73LM9GsstrCQuMk7N/Tif+YTR6c9jsDZnB2RxkdQIcvt6UM6W03WB/GhM+xBO3
gBmnsGcNt6PEqPpiq0T7tz3de3gfCm/STEpL+1rRC2S3snrykV5tbvAX7dYFexnizxLbnWlHmW/r
d/BoEyZQTaLhrOycWV7bgTfaKT7bJ5zLpRfZVlUrEupJ/iKIcW3SjGNy1OVy9A4kcFDFMM88eY62
DoQrM24HkjbYcNnS33pNZLQ5LMfRsvYoQcQ/bXXvST+RN/wr9hl3YFJiQGfYNQAt6zYdatJ2EMbH
rChQDkxZTvgKfCNaMclu29AK52hk8hOvmd+6ZE+N/lGYhXseQ45OYtC+OOgw5MI2rGHyupaB/9T4
bvLcDYsVHLpksI1Y9o1bMMa8nmUoQ5NvI3MYqFPERRXUIN6DZty0tAMdvbAuTkPDIggLlEYMpm0J
oYJlmU7M9q851LTJtn7urY9tlTq5uU+4xN4ogSN36CA5WMMEYGBaq9gPljGjYaeVu2BJkhunLq23
ZrVxJqy9sT6HHDwcIows+jeOYQbFa97BHXvBeo6WtNUV01yykbh9+35vacnR+8C4tYJ0Lgs3Fx9p
z7CIT442PReK0bbsnchieH6hQ3PazmZCI11YiUM+rnRhJd4W32nBwb6eJLcZnKZO3ZaMRsMBOsDQ
B5srqpzeKNfCkE2PFK7NAMKq4T8r0nalax1S3Z3da9ffykGI2vKL066cDl0q6Waaw31V7SpP9S+G
kT3MxLI2HT9ml64z/dPj8i7MicpZP092ybg8mVR2UVIMDghHo7xtS8M8NC7R1SFprWMIQWCjetFv
ewOQT+nM+dHRRb2bghqvabGsB7Pl0bS8wnqhQPV7NQQ4vUXqb+j7NSKHcqZdXfnDcCQ0Jg99Pn0i
kRXHjtLrU+v5Ol7XEso9jikaWKPeafSOACfvj4GNvDSqKG2N0Ng0HEMphMx+ugz4sPxgnk64E3qt
yRzc6bDekovD1KWX9JaeKuBDhHj2ODmehtygdrXOxWa03CRyUGru+e3lSbqLwS47D82Buhv9k8nq
EgdUv+18HrYbjh2x8hsOKOlKKKptD9XkPrV28Uhl9e0qkj2nVSKv1vqce/S9mX149NPpsQ8Z1a6l
FeNi3qa4cKlCy6JgdF76lkvgMp8ldnicVXredU0xbMdkhfyQOK8e2eZr8Vcfi7L4WThYI6xqonyY
osGn3ADu0woRhQOjYkxzLIJ5cHYaOi8lowD6akOxAZjkPFB0W6G7dVXkh+PEd6uBNcLn4e2tvuwj
Iwv1TdAVX6vPjRnneHiksBICfkfLDsR3ecnCQTIGhaLAUyEe0qx9GCl2MwJe1FpXlzlw5EdxXc2U
Tnz0bNkbJ2LfzmNutR6Z7SGL+MC6XQOi6N1vszfa4HGDW/OvbCjFTer3NDUggWwYgICSM5LwqMkI
b3uW9YeBysMN/trwoKT/mHjdwzQO5o5lIjjV0pj8iBLa4Rvrio6t0U9GLk6DvEhLj1E7qGFv8kHt
zLrVFzd1s0d7nkNO1ebj2hkDLb4UOyIDRTLUd8tc7uj9olZZNj4Q7P6xp+eHd+hqZzTlDuuzza9X
Ox+Zk2OTy9gdWjD9SkB1l8NzUSlvZ5Vr8jSp6dwYbRdxk5AvviFfXMx/m8IYP/o1fPNS/Pfa5Y5H
2IIMUkECwJp2WBwOtSf3oSUT3sXWuVgibfdT0H1VlNFt3W7tb6D2PDcwrfkCk5WOy6wYT247mZdM
2I86bG6LPnv1FHWW3Km2JuynDSvt1jPC70449RGTgkhd19LGCO6D3t73uZwfZz466opH4JUso8F3
laTiraDXJu5sn0fNcJKN5Y9nfxm3dFUefZSFnTu21qkj5rFpx4bKa9JTWaSWIthzIFwPWT3cDA29
gnmi9rgD8igN4ajmePjZzIpoTUJ/wwwpJMBHgcwXvajD1cRjBJdlNZ2HrLwaWPyuPeOQNyIuTzRm
Szf7BK7tRJOluRe07AlT8SKc8aYi4xCOKxurDMOt1Q1P49IjrfnlF3c6CgaWN+mrYjvyerxZ1SqC
1JOfRoQ+wSh25+BTtaKUVunLjJ0I/TZpm1ivmTi5uZvuFsNeNr1O7fek1s0jhguaQY1uoL0uUKxM
Y2lX96kx9iQbOixmOIKihqwdNWO0zwohml2lG31r4QWLcstqbkJtYhW3jZfMmK7bMwbT2gs3RuBe
JtO3uIwW1Z2ZNuMcO+hwRCGWVerHShrBIezVepxH+8WZzeYTSiJFqklJyf3O9ScsNXYhwGY6To1b
j33W2o5D+FUa473IuM8MzjQ89m51P1WGEbWK/r8l03cKFEvf2d2Ohrn6SCzpW9ADoiLFf7QMMWwF
Ly+2uL19Z3l1biaxJB9yFd2Wm0t3oODD2sp6zPYe9pNNQD9qVHLNAwg8vocpNLbKDIwzvYPqtSEI
xt2zD355kIRj7TZcoTO7+CDBvzz5E5dPpYN3W7lNRKbQf8Umk8dG4pmR5WfyGUOdiVBmXvE94HFs
e+bO71wfIj4wuSEOgpknwCAlQ369tOvLbSl/NJ36ZHLrM4upxm92P9IPqrMLxhU3XgBgbXzZCAyh
OXTVCG6As2nMrjj161pjcNIOZ4QqPQuruEFDVRHGXMwgOqwfA7yM6ERBph/IXgU3q++134w1vKHP
a34ee4BDtIxTwB2S87glefijVcEXq3OxazGAx7pL9EsuxcmDj7Fvwm6J3cnIt0njsUGA54qRqnBM
uZZZRUYtrUuFNYlbpNveStFTXTv0y23pTOHNVIuZVEX7ReZfRJohMJmDZhRPLJD9vLW1Tde7N0xZ
sXeqtN85paPYvHqjem8ZnZxwIbq7grPgqzl19oLzsgjoq3IW+6nMbPFZFa73Sf8r2aL1WpeeZC0u
nYIDg+Y9t+DD470h8uCU49HXq4G5y4wr27pLuKjYPLcVN/cj/tW45OQRZcSM0wxkmMCXeer05O8U
Y/Qnam+HTpw5aEUl1s8uXA+eNf2oEw8VFYdPXA4N8S/cXYcEFWCzzm64YZPc86kdXQmhhKxUExd1
LXF36u/j4AyRtTaaWzhSoVvUyaZDt0LCqMkXV9izkgbVMxDFjT1QfYCoPx4rc6LY2r7ITNovueN1
+6LxglOelQxvB1xDyg+fljXbFSNFo+iuzt4Un+iQHJgk1jVZJi8i7cpN0VpxYjh2jBcS+qrbbQJ6
so6dt1Rbv4WJVvG9K0nkbCAaiahmQhblzhgHSIYsJ5i5aPcaMU6TCVtV9n0K6UjhgL8zA95ivMwv
c03mB2NGg/u2PE1evsQwuMuYq4rk62EQvkj9hj2xqA917TyG0K335E6+ikq/1M1CqNVDEyq5p1iD
i2NqqogINUPcOAvFpI3bnSFLjFjwDOuVCCB1o+iNLzPSU0SHJVvdQn2ZFJQP2zWiReZC/bBkTTls
ub6UbTPvCGki2SOS/FCdiMXsU/xOYHw7F0x+TVCu3hwkL74obttMO5fOQe7RbfWLwy+SZtZvhVzr
KIM6w0c63s0EOUCo6fKlcySdn8jHu9apwq0Dd5JDd4AqZMjiTND2ytJU5Y7xQHvxguTT7DuIoDT6
7LNJzQ/t4hu7sPdEtBQ+px7RhHdmIy/VvOgLGdeorKlHXvtObTLHXC4WiUwDQD+c8NomhDeOGz/0
p1umpT9q7hsk096tYP1IG2/vi17fcs1deDPUbirWQxKocbsaxr7IfhlBC4ne681b0cvmplXdPZVB
hP8ylsesDVDac3PXNFxvR6uz9+S891btig22mhNDZzZQaR5NFbzgSQNjlq8fs6+/Ep1+1rXi+1Pb
D3o4+3XyUo/rgCmvSr8bBqZ4jdsS298apbZ/u4bBW9DUcReG9V6xOW6IuhJ4xkxJB6gpbh2neZAT
pzOjl2Y0aESvjQpS86KSeuJ4ZtyTwxqDjSrnlS1BJrxcdoJ2YxpNhuwLc73jG/wdf8pPWzHdtJNp
2WS21XcAeUhX4n4t34taAtPNc1ECjLdgjsy1XXDAY4oek2mvHqarOjwaM1M46am9zI20ixqLQEBU
q6F5tyY0xXlicti5Tfsy6aA4jOQXDpyq1SGkmH7vhJWza5Y1PQGD8XaUZT4vHUk7UId3YaDlfZUb
4hcisj6tWc7gzQ5g3xSLOmoCizt3crpnp1pAHXbWB3d4eVaVwwU/BdaypiMuzjq9tWffjjTAjDPo
W3KF6zzv7ZqsiaQ8eTeSTt8NoY8FmOBEYlfMjSrbidOZFGhJHfAGLe9aLEvQubJpgXMo+/AaaW+t
rEjuPDF4ANSWT1K8SMyWjwO04B3jUHuuNJzQTi4HCMpwuqfxIsqaY0Wf+ezF4XfoFnncBr6NIM2U
yGjcimNQt8aT4q/vwynSPDspcw++riWxS4ukBdCyqJ5nuctIHx84Nx7AAEmm5OW4uwLYtqzmlF+X
brUtsAFJwMhcpgJMOgZqrF+guNizfB+Z2F1jBaY6s1WzCzGeJcnfhyf4kMGmgV4dWwnwHwqLImPk
+lELqz35S2+SZSjym17R/N11jQTa25unQbXDsa/tX+1K1DosOkA12Zu15hfB6r6dSUPcy46PsVaY
9UMFJqEopsiYDCT/Oh9i1QbGaXLkfW6VFn7O8px6/msdoMxyvm6jueHr38/zrhLmnuqyMS4Gl7sM
bOZrOpG/KtDMn/Lh51o3D149nJdmkUjWSbwSG0JluFbH21VU4kzeTEPGy8P7jOM5MrOZVdk1k5sM
cuwWYzr69rwcJ57USF8Ti6YeWCNd0ZGtHj9HX34S+aKOoL3HQjEfcoBGMVfIE0v0K3DDivDvvOWq
xTdZ0No5jD3GFgasFzqSrH0wT8goK5supuVD14jHRRqHQOrtOuIeIJhYoeZna/WtdQxkk2magp1V
iGfWzkdrSRde0ThslTdx8wqmKGXMFw+GCeQOszuKQCySfDpmhADp1q4+q6EOH2Rq8EEGV4xXm8Xe
bK8vgXDu6Yghpt8IiziDCaTL9TcODeaAGWuyX4x+FnAivnwuk+xnINpLv1onFXgftrB2TfExiHKv
h+BXd/VUm0G+bKn2kFFfhnELwUwwH43XdvzVDDDNC0N9zwBjbVvHutYBGpGymFIWa3C1LMgwjasK
LSATK8cWmYAilfddxgId9brz5qgBjXOHF9w6Gpzpm82cUnUzjVzKx3YB7aXZyZtREQ01m3Zb9XPV
xdng43L2Tg0hdRzUEXy0koOYKvQOFSelWUlTxr4Kv2WHXlp9C7CYkkny5OGG6UN3yIs2uQ9Y1YZN
3YvOLTka4yABebZ6w7PheGXPaLfHBd0ZauoiW2RIbYxaeArL1tL5TjqhaAkW8R65SYPmQILEvNVg
Ej97NftqAHUS9igW/zN6/f5nffkof/b/5zoI+OJwwTqXDf/373/s//vPNP1cKX5/+8P2d/TRg/7Z
LY8/e6ZTf3pyr//m/+8//IP+92+VeNf8N0p83+f8Dzb6X33J1EBc/7s/tfjgN8CBV1Gfbq8/BPc/
GEqh+A1qEe48C6fan/Qk/u8fortt/oaDiqF4CIYHgqAb/CeiOwL/3zV3B1QTVViCFKeNB+6fbGLI
wa2L0UodSgnqxE8JLpFK4dlYS2JvLjPBm6F1QfdYYmAjEqQ3nM14heHU3CVfVmL9HEiJBaGaK1o1
NqFYCE2pxCLQkBMd8BcDz1mjOoaivcz1ekpyf9E8Gw0DODHAV/EJ5vFbssgtGQD6y+/MFBLbto5a
SjV3XWaH/Ubion5srw3EHdaMfTBN8/3vlJDf0Sz+6CTH2p0xqngVWRt+TeKONCI2HzQ7rjuAUaQR
CH4eFg0tbeNlDmfqm2Jp0EufmOdp4xhwyhKcEcFA/xhTO/V2U+hzujXHJM23pU7njq0mM9z3zAyX
Gqw8x+7sVA82xurNxJl2um+xkGQbPw2m9LKGRhbsatqF0kdad70d+e0SyFmeliarKWNzMzYy03YP
wrn+mynJLf9t7lRT7ZEuvU2KixZc8pKxciWi99NYTMFqBxHAEYEVDPNSYvreBpX7s1yX9G70l3pb
E1pCIfaXtsFt1gZvq54Hg1VxmrfkqQFqeGs88CfMQSNpCtmOF59jYx8pM7VvCs8WnMOtOp6SZHzr
KJ8JwmJfduWVQhAU+yDcNd0YSBDRHvsNp4LWaZv7NlMWX5iG8eCg8zoyljB5GL1lfmEzU29mtmDa
KaoMj5IGUZAr96dRzfIxICe6IZTSxlVohLuMefdhILf7DlCAjYf6nTj3u+qQhxUcx4S6KyGKx6yQ
6mGccd5sfIP+wmpq4ftMHgeA6jCHyzNZL0pXjDDsP91rQKskdBnP3JIPKqW105yAMPpm0cMhchBB
17zgREwyrDVEtk/nOvzygGAUXAo7eT8aXvuRjmy/HAIW8xIuARvEIIVxJNbIf7WYlfmAh3bZT+Bb
Xm2reJZGY717mBnSiDTwV4418tULeKicyXZ2bOnOIeVqi0g9k9K0p58JmOyPFfVwGzY1o9cxS4cP
JL6tXHPKh7PJ2ahmOo1O5t4Vqi929ojfkKNQUt90qaMONbDRM2wQ8T5bOrgIvwJVYk3DIZSKmJqz
hJzy6/6513V6Z09ufaPs0j7BFJovBe0GN2XauJQ+ZDirx0a+tVUm3/lEi/08a/uk67W40VXVXDB6
Fl9NOnhJlHSpf8w7e71v3WHkYkN+v8RUCCO0CXxOFQOYR8NANsdJlp+x1NkP4Wp6UE14JG6KuUuQ
74M8P1ZcPu80osTt2Nn5t7k3ySnZy2SeGzXm5yFT7bNWenrKc6/BNZxWWwP+1juKpnztRm84DW4N
9xixWh7N1V+tnSiz8t41w+QA4Xzaw0dOY1OGwa5rR/eXO3btnmTI8m2WBN0QIzFDNSWZ3ORMTIlE
sc7Mq+WQEVaVHqywOS2uuSBr2hxOHf1DV5O1wb5c3JhUuGwqlxuTED3h97zyd1ZmAjifvfaTqL4+
me2U7wosHJFXOdODrLl6ZlSl3NSdth+SZVredJ2vX24CwpU3JLmb60Z/Q4UX0ehMZcxzMsR1OUvY
K47cN470WmJptXqhpaPY87HztBjXegpfNT/gTgz7FdRDj2hv2luwyg6p0G64B/lVWaiTy5W0NWbE
Il3r12pljFFwA4BfNbnMIDo8E/Mcz1lS3jdohRerttI3CH/FfnXDdkdCHccnDhPz7OXKPIeDCi8G
07OHZR41GwUtgLd1LYp9WMx3Rasb7EY8qEetUydeEXnLKJkGDq5KpMem5lqRBl4e8WZUZw1/FKcY
Sw2K58nwXHm0Wkc8eQsDrsgcjCTqW2/5yuQ0c180Apx5upfypl/69pNpIYM1qY7sJeE2aWvru+Ta
fCh6t9i39OA8i072j6k/+BcLPY7uxJa4G3Tr9qWvdIjc66/nkcPhR1NrxrRCTI9FjnuKYVzv31bT
tPwgsk0ZvUpb96aq3OlopOW4T/DmXcahs4/kuKtdkLft6+S6PQYl7gAwD9a9nc/ZAztb8+6Fuv4M
hsr/teQKr6g39OkGU/gPFAh5DQ+ipQ0NfTiBPi1z78a+MAfEPn7PKMQoD79XSdyQfTF+NCU6VTRa
k01+czXk8Vpz+Eq/0LCtfWx5cPfzJHI9qX5Vjmh3mGnbb0Faed7WqdPy007TYF9h2DhrkQSnEes2
8fm1O2SY86hpJAy6WOxvKGpDcRlwnt/JoOyhmC7DVtOsRXmjMZyTAQerdBR6deFzmxwr/Y2ABTbo
Bm2X8R0QN1Cuk35o0j64XY1w+WnautA4JnO265D3+FRMg/GcZa733uYU4s2KAQvnXrpxr4s2ZXHr
mlADYwY1SdPKvlBxQWkvNfCxwruDlTRxg70PBvb6nZhyG9+Y0YKMocZtrv3gQ5krXSC5/eHovj4b
aeU+BYjRG2HO9u00hDhY0sW6B85vRqA+ztcP8NgWttivg47GpcqvQDvrrINBHlKrxpOUVbRTppb9
4gfDuJ19Axm3rd294UmExNCztwETmJjLMB2/td0cmGf0D3CynC9Ss5hoxNCssZ7G8Em4mAIqvJs7
M+vEs5vIzOG+2Dj3KmnJT1rjHD4UKVgsKIp1NJn2bZB0Ex976Zg4GZBI4eIcw8EKtiI32p+ZzjF9
GgtScDK0/g3DpwYjUY9tMln6+2YtGvoPGwx5mWXdzBC3IrKSRjRNa7juE9H53zgLWM+zHcplcwVK
/QpKQ7+XEB13iWre3Lbwt4YMH2wL1gCvzxw4d0wUQlgseelGDjLDS94ZBw/rQx6RF+sSNu12/cqb
rmyZxSbT0dJz7NZsb9RHpXw1Ha40Urn3CWdTfMFs1prEiGSy3PkytqnBlQzaHH2xAZFw8e1eoaaX
dyOmjSZKGBft2e+q3eho8ES4dndGLvwbTI/BnS/8mV3Bz985oHkovhJBu12SG93IhCmywr/sC0B5
B7dIRcQ3u7gnWIpPoHNmiX3XrDm+jv1C56aaHr3uau9b7engmUt1hwrBgLKwvY4vR+gjba4ZCqSy
9spkWcH8wmF65qSKKdQyp6fRLNIXU9XFC358kF0YBpyIUVN716ghJBd07RhP3eRgAvIuN6lJBApt
gh0MyTg55Fhv13hObXmUAxYLxmkCX2aehvUNd7+0/2mX0u+h/6phEVgFAOzcJiPImBnAxNEtmN56
Rm+fEUmXS9gixIYqT6MhbedjVk3rNuXg/7aickvHe049oCTayi+4DQWv0jmWyhffwZBaV2teEbUJ
doaNX3pvAuT4YaH9djNOmR23mvBxY68fXQZwzjceggZBLyTaHBerIMTeMp2pBxDEJuUEkcLoNnNF
OOWFKLcF7WR8LPYODKkTcVPVsV1wuDGKnEB9bp/h2b2DyEKrHQcYYkoVsVIBWmBZ8MaUWC+LEnkA
f1SzqX2nOjK1tpm/BbssrZYjQ4e7jODAq91VhYqCuS4j06u6nYBqG63GvEaJ0vbVgswdnMZ7HwEF
i5203xfDmhEeMSWUYYDb2IWE7WUqarxKneFVqg+Dyhjr6nYph967abCgHhGwzXNWFnmM3dKJ1qBj
m+uz/JA3frBb+mGNGmzH0eJg1m3qIb2QpWFnJwJy55q8OMqoQD0TkcAI3Q2Igbgs/uIfu/9v29Vf
ibPXENZfzFhcDMlS2uBeHVhX/1xrlCXIB7kO8oOkpY0j3AwZslsDVmkX3suTY1btF6UgROHxOaj4
X//wv4eyMKjxwz1q+LDLE9kR4T8kiXByMQlZm/wgZligq+zIu+dFdheoUD3+6x/195jf7z/KJkd5
DRQS8/P/MbSU44Ty5owAvYDPUm15Rhai7zQN//zXP+efOiF4TdRBEjMTBIcFMWXe8L+kowh5LDhR
/PSgG3TjLOicg6d/53LmAyAHBVxyDDOm4otTfjR401NWFXAK9PpeL9fM1artv/6V/vkjvjrtnGuJ
HUGJf2pQ0uYQZAO3jEMLC+hsXpFitmTMeHXfE7sz06z7mvXI5yzgwP7+s//Xyfnv9aN/5+TskXq6
fxSPrv/Rn+JR+Bv58z/aJq4q0Z/KkfsbIDPqffgW/z/pyDF/8/AS8DCRzeN5uv49f0pJ3m8m8UsE
AgGG+NpR8Z9ISWz0f18x6HBh7+IhYpprE+P4R6pWR/FDq9s0O66uyZSyKMDZDRtHJhYCrueM7yY+
/4vhuvVj3izV5eq43LRBacKgCLXcCj83n+Sg1mXbWbO6yzhgqY1nVLi5/G4/h7l9HCr8+eWYQxF1
gxnVpQYjxxBBMSdeMjc7jcVU35opVtNNbRW3DdLJvV/bwb40w2yf4F7eO4pTbJSWBrwylrL9mmfd
AWupd9b9Vaonp0OeTC8YH8sJ3BSM5um7grXHnuknaWRD29tLIm8Y6OvkkVo7h3YHY5oP2vxUaq0/
sJUE51XZJPCw5w1s/1O6nbCS7lQye3dTMlM3ILyQur0rp+uAb8K5UZ1lfE1s7L/8Jg/vbFkFB1oh
up/pbCUtdKdG3OdZo68Uku7R6Z3pKJVvEjhjV4CcLa2f0qxxOLjXMF/R2Mzhl9S7pGaVnvpmNb64
YXecNZvauhgELQ9L3r6NCC+A2Cxvr7JgfMmaYXgKwwG2DyTu7pPEQPqGqqyQDlxmlugZUmOFCteN
DqoDTgkf/yXm/0Pmhspn8iu6j3aZJ43oMX1jlWcqoavis8iH4SZc82EnuIF9raYubkl73Rlr6h5V
NzTHLlnXE0xo+qhcv9/58J4JMDG3zrhmaqvj80zVG64JDFm8S5q/jQ4xZDS7OC3CTwhjlB4vdA4Z
0ohE34rcNaBSmtl+bpPiua6c7JsacvZmVEGbETCI6m3J5VJgJHHNBs+VrYDP8N3D8ujos3bCtYds
ZNpqs4gx2WUri2ORYvKMpr7KOLjYHOYI806/cgxmHDdmuyJmVvTrvpFZdZ977rxxGCffpl29xrCy
9MbqgvLcDIa8tQxbcIcsJ3xNqBjMOTgBp68J0gX5Ue7Jny3ZL8gijcvcuGCSXjd0wtFQRpaOoSFz
POpFLmvphg9psmTRFBhbUKQYQ5Yx9jr3Qu3D+AX7Sx3MDvvRJDF9xmOvF7we2XxaV9yCOxkO1UtY
y+QNwnNKYLi1WrkNK1/8wEfW601mTvpxhEmTbMdFifcBqZahYNVqMitV+71bTCsKm0l8KMxCjDyX
YblS6IvgBorcBAc+4DSaW0sPMZOgJvdaGD4bTcby1R7N7NSamfPJwJjST5TQJY38DqmpSavgu/RN
/6zceTFR9eh9XXG54f3CrHylTxUECLlK1pCPq/LDTbPwBdH50yCgEntNZ5+F9pafbtNhke6FqKtt
EiTVm0wZURGRBazOh1V174OPRYC0pmwOQVIPcLlHztoD2vntFdIbMzt6QPsMkVBynmemOJQ6s4MT
MGnWiJErt9KRmp3ZIfjn4KDcrtMAgLEW/tE1+2vhTSYD3geEm1prVjSsNH5khNR7jxC6Hi1QSfs6
N9UcG+GQOFuCGua7pTKyqA6L6WiZDRDkqswld9umOKQLBGrMVBrFvbaHxy7IHd5Yv5SUfUiSHq3A
KcliluhDQqMM4TJjar4jEDcdTmZuZ60Zpgm8saW/c/rO+KpdH7NoL+TI3XcxWFxWQGI1N7sOD60z
Uumetd+9aZl+kk6d3henEmeby1u5HaY+WIBuLV0ShYndcpYOExUDVyKhlk10g1jGZEXCbJ5S1Tcx
x7gJo2BHrWCh2tir/KPTLKDzae18CKG0cizOk4OkVGhbC6fdz2b5zEVd7yk5IMfEmQbvS5eToTEU
kdhwGL1ta84rAeyRyp9RgF2ubY3MW2ejBXQokHcziK5Rn5yi9eiNdrqpyb+tRsp8fOFCoMy3YFHc
0jH6MJUYIHouvbxLZuRJC47JnZBTsltF0T16ZWE+kihM71kWqcABVnTgGP/KnLN6bKGhPWrRJ4T3
cpm8TnDLgMBiGt9U6LHHDBDwa1B510nyxGMV5A3xQz2X95QSIszAkL1q4w6tO5hx8WhgocOfzbLN
bhfN5ZJftBVqzGx+yz24L8uLDE1+XU/RfNsXDPH7ghKZSTJA2oiu925bwa+Pvds6u26V4AJYh+TJ
CTrvIHM1PTMLDFrCZExX7dVY7ioj1eV+MNr6FikwuYQgeJ9wLPuHlBf+hbFzPUxL5+4JQYK+S9r1
OxfzuY7W1lhvUlEsjBsXLDn4/rftAGJc4R8aY52L9URHnX/IcrSYcpL3baG7jdta9l0C1cRhkVXQ
l9bk6nq1zt1cpzWxWQf+eqDr+3T1qb7g/Xzu6lncwhJDFXcMfy/BoN0pNY4YIqyJaEZIOisZwJjl
M9P9TdfODT8HTtyRCPbyQM5+2ofLf7F3ZsttI9kW/ZX7A6jIxIxXcKaogbIsW35ByJaNeUjMwNff
BdrVZamq7Oj37o6oWSIJApl5ztl7bc879LJrHuughAworX7P82RPmArKGoGTgw61GWBp+eB4xBrz
R4QawvDUeTBEzoAlMeDQM6qDPhwDPFOZeYtSIcAR7Y2Hho2ROAp9uAGV9UWUsfdFNoZeko1DYgW5
BdEnMQQppHqt2hVGpMHT6llquP0iNmkzM6wV0HhnG/dJeoeSdvgEGmxYp620cXLG7q0+FTx50bJo
klCK530eBmve1LWul++KyfsY60XIih0RTH2lGtXJlShwYtL6HbynWAvSdxZDX3Vn1ww094bjKeS1
tp3CV06kEifdRg+E+FAWQsEBh7q2+D248qU+ky6kwvUI9GfaGpHtbCvPdlZRUTASSMLhjBUWDX1b
w6rZd60WfbQqw4qfdZtHfDXpKb7sesAZgayTMIrZvpZypHTflSHhY92RW1avURX3Bb2JZxXMTxx7
iTFCV/sl6Uf90cNT8iBVWB2Vih9U4Uyb3FD5AT98tXK6Pl85JdyJbH5iAfwG4/c5ae0npxu6z0bZ
cIIwgeP7jdU9OeSk723Hze6UzDaDmWsnvhyd9GkIpEXaqm/GbPU0ayq18AxQc8ZIGONsX9MLOBvW
gAEZKWik/KpG1Prg2l2N316fzxENNBzj5WDl2vfi/H/V02+qJ6qKxTX27z64x691Xhbtz5P3Hz/z
o3hy5B+mw6jbXgB4tsec/T/1k4OfjQqdesikXnrtgrP+WCL28Ec4CxJosbr9WUWZOslGnqR6ovCR
wjKd/6aKetON0BnHM9oHOWbwIqYpln//U5PAlX03x3RW9yjk8ONADvaTUBnfb59/JfC8Lfxd4pn5
jOBRl/gmKMivXyWgpteNMqTjmRRA9XoBzc8dydooWuJxctsxDtmM9nBdwrn4DVbprcsPVZ804P4w
cOeyOVzs1y8OhRE1cep6IDI8OLdOjQGuH4GI5HS27hMWjufQyysPhkRsrJt5ir+OxGvjk6ptg8gT
CQ6jA/bX9m62MpSmjl1KiE7jJjiHk4yuWTvVgDJD4BRd4zD5tbNh/dNN9Q/NsX/8EPQ0PXLchMWN
9OYKitqsQL0g6EbKp29Gs5y3iLrMQ+wM03tlkAYTyJSgEC3HHcxkoXoaPHAaVhkukUbQle5oho93
cCldX/RzvEMKB1/ZZU47esA13X6QD3ncLTSIuUV0uaAsf/0ZuGVfNfiW78F1bA8M1MK/09+4LRvT
4IjjMBaI8TSva0QDNE9pATll8u3Xr/RWY3J5JcJ9AZ9arsUB6PU3bvWSLALJK10QzFO7cBNtVx1x
UKozHN7fIdLePESXO8wTiJd0bvG/J5DrsimKXMt4vTCuz6wojT934X+HPeOz2DQ75GKNhWVPMteb
6+exz7oZs8d9Dc6YWM3kW2V48T5t3IdfX74LD+vnViyvZOmSzZ4HjwSwt4tCEkrdo0IHk8H58zA7
MHgjtpbdNPHFTblBe1ZG2L7Ksk3vp4UYTHZNipcJ2UPUFfNVblnqTLTyIo7p4f1W6ABBgkiD81oG
ALXMwJPG3Jvv+xBS6cpgfqL5IQ5JLCMhLzJWRPJIV0dzidnyw2DP8f7XH9Jwl+v16lNCHZIsDeQD
uDDuraW99NPSF6CF7KK5HvdDYtDjCUuAm2HQHLBNpYhomgXNU34bKYPXVoq4k5s32Wd50oElr1rI
xXV9U6HCZMstGDfYhfgg9TS+sbzJ/OQMef7BUvamloP+TkKYQtkxZMhHbVoDukgRntB1XtMOHd8z
EtDXRRhPuzTcUg+Fn1jO0r1NPXgbdrq17wFDX7G7RPu8ClAxMRXZa4WHOQKt/SaCW7FrjNJ9gDWY
HBItydeFVARiqjD4ErHxrPImDQ/Erve3Fb4cyrvZMU+5C8anB9K8qXqdnBSz6lZ2ZyOeb2WIVqMu
08eWwCPSc+hQ55N2a3kVk+iJutoFzbQJ09bYWYGZIJayI+YWaWWvNWc2z1hpxEPVNfkHzIvpt4ph
6OiniJioKZleQnemyeGX9AQ+OsB11k6ug09EknVIpmQ8zZhSbqHeQPd248LzjTwebjviXD8XuFyf
hcL9R9uFZlb6VUs19xqnkrbGoESoplMf89zmXdtSbVLdO4y9VtyUQYU0ZSyGFvY1jQ3GRDsU9qfl
eq7LjBEl/UrNb0q6BzI3noBkDv7ClVk0MznIp2p6r2XAQfi3Yr6RHYFXPlZe6NTsLysmPgSulZ57
6GbTeK4Du7lLuE7FoSXMaoUn1XhIzW0RVdwRPZTeThnGc6nqcksEkrY2qtHFhaYX9XtAaR1icuQj
8OEW+W8Z7oep20aRcdYDggBY2/pDCxQF5RgzNabB+otR853XtqzOU51dxwEqYQ1mMmVt1q27IK3h
njNMroU4oikOfRFSvCfeGL4rkvAaE8uniI7HPmpbcR9IGqLgrz9Mbfqsk7e6HpizMrW0YYCRLr01
6lqenLEbjoUFjpuacVzlAtREl3CiB17MtBUlGktUN6zkotQ2k3K80tzQ26UoVFdos4MndPkTb2ak
y6Wn5ipKDXSxIKl7bq5+cNZsQ+k2RqNRrBMA/+sutPVd3WDttGZMHS1zX7zI1vScDI04d3FDZl0x
WS51sJ5UtzPAIZapRpLXO0kT5seY7aVB4eSUPC62NpWCFFelz8TU6gNosgjTkj+3EYZKkRRf6t4M
PyaB7F5sp5k+Gn09HHPX7Q9pjze6DyvzVGMu2OEZROkQkKvTMYG81aYUQXI2TaHhCwah8lAQvjKr
tVTMVXNa0v6ozeN7sxfF1hB6dBD4QzZmRiBOMnWB7xldvKOfUJziEZJOIfKWNh1/m2Cuq9Yx5cuR
Nk66hhU5MfEnbUMtkPAgIVQNLchQ3ogpzNZBxaFghs3k1wslvNJzdx2H7ByX2Bpyo8hx7AHI84nr
o2OTRDLUdJxREU1XcyuaD7M3mLc6D+oNohvVrdOghRwvyBP/ipkWc3MmZlztSf0lcsZwi6LdITKm
LTA8wwTXBOcLOGwRhTLBf5cIunJJtbFDYm/XAb4i5XeSiMBR2Ol9FprEdWBwhSk1D+tY41yoWcjb
slTCpzPJnauWVIqyhd6twG69zCgZ91kCUD+hH+iriuOXje7+OHvA/6fJqG4MyFNHh77NbhognK5s
gzE0lCwCP2pA7ljholtvCTe0OkOndUDvw7TM8HZ2KlAxqTkvsV5e1nwIbUj2GJJ5JynZdLu+bxcG
C5pIvyXtl+l1mlgbkqWt20sSHtbdeFe1Onk4iZ2tPAfHGWcVAPRMq33OkfWxpwQEi0TAIWfg/jHu
yekzSmJqkokm4wKU13dS5GoXFJpFYUvwz8QLRGstY+edAwecmsUE4hMJb7j2Ydy390zs+as07O5r
oat17UTyo3CtqyYlfMzpVUnKpD4PgCqEcWWNYtcqFgWJBOqmNxSuFBAqhzwldKrPkmhbGkG0KfGn
gOzUV0Pbxr6VDhagA3FXB4XXo00NEZ9V/RTtuPxO+gWPjYpOdZOrnrvZItV5LLrJbyF5Y+TV6+Dk
BTl8HXOcEB/RHTCjm3HQx3z+zvz8X8H624LVNakw/71g/fDMWL8I2/I1xdq6/NiPmpXx3R9AVizu
anSv2CI5Gv2Y+Und/MNBu61jpPhp6MeEUOgmOa380EVM/le5av1hmUQeQVgBn7tI0P+bcvV1DcEj
wrCRhGdYMlJAsTXfnOzncl5kHZ19zvssn1dFPHZnej6tjRdXNZ9+ujD/UHQtv+yvA+LlxZCq0wYF
X23zcWkE/HxADK3RJKiixQgOhO+pMBElTQtt7TsejQKnegqFYz57ffI7SOw/vjTtNuG6tsOy9EaP
EGupxGUjzfPsUcoVXq15jEIGZ9w4HcGbhjvic2lEDT+uCZYh0a8/+esCavnkjg7GdeGNA9zhgPj6
k+tGTKxNkhnnLEcRTie/hz8Hs26ujnG5vNzITvgbqrP+OiTpx4tyq6APkHSzjTeXGzgVrsHK08+W
XugPheEaBz0HoL+lHeI9ViTXnFDe8OIdTP5mF4FeebEXSG+m2VwHxQa0Q8YAjq7RahqRxOGYz7ar
M4eCXSjkVY8OAqrrjL7Kb/BZL4RqbMy/odK+nkp//xg2DRsUJZYUfyvT3AGx5ehE+pkzIvdKl5mH
MesgWbrNKB+yeCqvxpT969ffmPe3e9VZuks0PS/8+bcCFlsTgIKsWp4Bv5JtqlGtKaeIvolkVOdJ
zuO9ZUIQtRzKflwPHDF+/fp/fzBJ1KYudWzhcd+8fVZ6DO2pSkeJtssGvbs8MNMCeg979TvGu/yH
GwX1DE8WJT7Sg7flPWGCbSFEJ8/mQo3mHEkWYR9LjnvBQmFFpWc+98Jenk6B6rdyBh6WCwI1wUzx
m6/7nz64gbXGALKMROHtXaubWukpEXACZTNVQPyCrDzpbU69GxdIbH59mf/pIVk6gjyX/N/5G79b
VomINaPX0f7Dmi0mAs/I2xrLqw6V4FVew4M3Fso2XWrucsIs5U3OyD1kgik1OIwYmNE39+M9QmKQ
kanQ3VPLiRZokg0nOeo5VhRY89jq3QLPHgKhLtv++kNc+PSvF1aUG3x/dDMsA5vpm05GAry9cydP
noMgYQYFYqPeX+6bsc2rp4UhSoDQwLo3cQGh+nlkv2IxIWHQU/tqIuvWZ2JF8QpxCDSpDETz4tZi
vP/1+/yHVdCh/eHSAOHNWuLN29QwNfQ2cWFni6gRRErLZZZVTRi3COSDojP4m/SCZQd9tePYAu4Z
mfX0ipGz0IF5ve7mLYBQkU7NeVhQyFYL4zbwxuUPBkVbJ5bQFsNubB/ucFBzfmfm7w/D5L2L8YOi
tSym9sUoOTsnJGsDxechYHjJwrncE5dL1LBr2MQvEnYFfLNEyWDA9dXINtEdPhCCgd8xr/kEbz8W
n4TvmSO2qdP5e5sgMDN+dVQ8heeSu4TB/TTX6wRd8C34oqndg5IlwyVx+qQlM5Pz7Sru8V5uvSiE
GkYwsSHA41beSsc/sKEecrZEkxLrSA+KIRMJpZMBMNkK5rUwgHsCFRy095WWh+1aOERq+UPISZm8
bAdmrdAFT0bSDN2GLQBLJYDp0jfdqjgjX4+u3CZHKZG75Q2ABCySblmLjsFapn2U5GzdynLKvhAw
KtdITFDi6hMWVN5fH71MFmDlYztFxTpu2b+PyKpyY+HC4VaCdJgTSQ3WdFH1izV+ecagveNo1SOC
lYRwrcBx0MIoTCAqCfEM13qP6ja3whrhqu3h96RMcz+D+K7dFWCmNt3P40xPQjEQqg+6mmINd780
Ybx0gJYrkj1Jw4IQMTB4RAhNnN9ZGwxJ7W+BVF4h+05hXxBuXN05TFuBKKBuCtZuAqM6jDq23ZR7
BPscjxzJ3R6phREzco4G3sbBS8e7Ky3ruSGzJ14VLqsNR0AW4h5uyD3MK36MqDXY0pjMNXJ8A+Bm
0LIy50TCZNqxM8sIkTBzvo7i5UhiXjJd03ZTJ/o7rtyGU5lHqV/Fo3ugvRPd4OFuv9Axsks/pFTd
MfOu156Rhze1btbbGshRqaB/DyRpfURBER/13h3X0LL1z1NblisrBjWNqi3Y6rNRfsq9xvpYLpBk
ZVfRCzfK+DXsgqT1Z7pya9Hx9dBmaotdjVdpnUunX3FjXdodQTFiL5g0bfLdsn0xlbBhQcdh9aBZ
bpxe9YWLY/yIxsDLH5we4ZXHDZCBPF/nTu6Cp2gnk94k9GHLC3T+LGlEAJwhEAtTmB9P2mTjwwHv
VH3UEC4bvN00weGLXiJ3t5pYDj8z8SJlmnKlyZ4urwTAQYPVXgP67g5MBJpsqLDlgvF7P2oN39gF
NZxTIGMucDzWFTLn4108cVf6+KfZTM2Ccc2KYUr15NUN36xNzyDz4wQljBAkhw3ewO0FvYWvPu1Z
ssGnnXH3zu1qnmzzObAGoAwxJNJNC73ljvaY9TwCeX8caI6/NDNxZ3QaWXjQrpwcM4dTV0eKTgZP
qLsi4JNfPylr6VQZVnnFsS547OzeXRNxX14RCaY/KLEkLk3EmZ3atmd9ZjkLCLnD6YNtUbb8k3Be
OiiI9yQQDcE/oERlAuTC636udXZqECJMZ+mgyeQGYRFLDKJa93QhpXvLQJdMFDb1792IZY3kDIea
nQbUQt6q91DNm5cFYdjR1jTlQ9N0/OXl3eb4juAAKZOhC8dOHSdDPN2py1kkzXBZ35LZXu/DsMf8
NgN/7k1OhpPOGKaXM/woPZnuu5hyw8gIL0DUyPbcArBeT8vpcdK59pKeLMg0nt/FJto3L+Qnj/fJ
8lcMVkBJhwmnT5FCu2dy4G285XhUZey2ygvVEzxnTr8jTv77y0FhTsGDH8cks5/1hXOfNKQ31Io3
M+pu8mKCwuBaMDI4lEoTNyLikbbLQNyg107LE7cR352+vNuiVGw8YDP2C8v6ntRpDuFlqbzNhRSN
iIjdHP4+0QKBTjyB3cwk/vUl2NeDamreec/P9AwYhmk8Ka2GeX054HTLUSWdk/ble/FjLHvylHh0
PzNrAmRITr1KfAd6rYmRZnJPUW6BS3OYWezYdniDtBzRK7paAY4Wh3zwOdMiXry4PEKSBvq47cd6
OQax87Treji75tC8AFzkO6oCl8Mdf+uFkg2YDDTWNtSexiGNclprk+RgwAT0YPNN3xQNaeh8nPKK
6HL7PsYJDOAWJ2lO7BgWS5K9SQpabs8LhV+EUOlpO3X85qTHM2K6dASvqyHUaPxHATWgtAvuWsYW
LhYf/nci/pob+Ht2RSsBSI997BDIR2t/0ypBLhtuJDSEEW3zKB+4pmNFAub3RSDNDFJX4oKrglXI
O9mTZRxIQ+GBs5eXzwfI/cny1GetrJ6SJQ/jkhzFcV/tVWDwrcY66b8ZGznXgRjNK68gEkHD4Xk3
IgZ9vqRApGIB2hOsgVsLBJ53quuGd3K5E3G4yOZqiFkCLJmwYMg6Y/EhBD1s7rwx0AeI7MsXlIDW
ge9UBmqf19J7jNt59FA7zNg8ZrxsmL5c0iV8fQjzd0SQWM+X5Cddc6kBMFCxNY2ufBgMkjR8Q0df
iSAw8ejixx7muLDiQVeYlO8un5CdiDNyY7MC1Ti7dpeCdx4Wa7k0eESZ2DzELN34NSlpH2jnywfI
7nwt7XJKm4mhINR9uTsv2+Y0C+6oKsMObrhLbOxsVd6p0Bk5JIDy13XXUcksV41u2ujR8ZbZvGZ2
xEO/pBSmcWA+Vx1KXODzTBYzopbvxTwRgewYMzYVSM0uUp+Q5ShOebh0ExWOHzW1ZfgRtzxqMKTA
91EcYA4biHHYT7FFoojldZl1P9ZQsbA0m4RlaIgNn+nPcdfwX3uPBTo2ghA685DiTCI+0yN99pj3
Nj/NAE1X72jiDtwiAYMSmHosZXFyWftGPdEQ2EgWeY4i4VKS4+YDuZW35dXlAnxfi5bCvV/ylC4L
K/5edpzLvYuOkG1tJBhpPzrx9JlRfHC+3J/ANIJdQiMAcI0y02unc7lFXNGhNbTS/hiFU+3+uCHy
IXe/VU4PUyOv+5owDBBN+PCtZ9q68uFyV8Dj46FI9UDe2CaTb6nQuSbW0m0gswDfm41uAU2OxaB3
NRGVtHIU7rNdbeHE8QlRoKoasCH7cY2PqDaZmOwmDkL1mtpT3kjCffbccvjrIpsESZmFPFlOoNhh
HN0wtmXFTdMlJau9EctbZpYzusSZm1poEjhCO7BoX1ZAM23B8JcIL/NVG2jL9o1qPfQNZ+CxWTYg
dKUhNuZV1bcspGVYIyQmw91juULGMHPDtTxmBoh3AzT5NN7n+ERAQVKqPXrjxMHPCvnc3dS73N26
2YLKNetR+jVnofldT5rnuG+7vohuYUaJ8lCwjN7UAhw+RSMSLnZ+cFVrAeSgfmitjkMIYAEPnhsR
8AWSZT6v4w13Zqc77zp3zG+hVnyJtAA4ipc0eytTwndQ412RX5N8C4mb9h1dBb5hU1KTSmLwAI9s
jwnuJXSxMRi3lpanxwllsh9Rp3Odidie/dIa5nGndYmxRYo2kdasShRvSDYxPlXJtWEi0oUIZiHk
MvRxX8iKaXRWEa0dENj+zRszzgu2DmYdxjV3WN3orbsh6awVR7Us/scE1O+8ojFPod2ZSHl1og8O
lxCYgi4bRIksGLR3YaLz9dR5xR+VJ7lIl2CiS/yTa5AMzgSPdUn1nHHy5Uh3SexJQ/KgmZRoYMgG
npmlUE6xil8NhsejCqCLUaqoeXsBIsBH0DKcD8xg4J2Ol80kiFi3sVeWKakjHktS6lXeJln2cKmh
FkWdzB10KQxDERbVkeQhZgh1y5pW2rgPruin1XsnKr1T7IGxHypP3oSj5T1KrW1eEOa5a9tIQQtw
O2FwQ2cKRzZhc+vykNVqtmP9oeeVV5d1EzAAiyMqPmMzLclLEH5Y1C/ZMjmK4pypFe2rAVnzU5rh
eCuRJj/Xikeozbh54kBLj1ppbe1wWZnBIrIDUdtFe2Kv469mb4vmyqo6njjYQJCAUhJute8nDAg1
ncbOnKeFax7AOQrnQME2kvZAfeO7XVfvmC51eOZ1HfVy0zJohpLzQKojLTvcBvGKPg+XxCGzhl5T
oFNJ5DYbi91P9kNExxruD1Kmyhp5HuYlhvf7kdkS+TeQq1B2EVQLIm1zx93YU6tveeXoIaq78f0Y
2fMpwq7/vupCgmF5QlidqXbAkWR650DmyVG9T2al3S05cRC/Zq9wN0ZtjHs9tLQvXWVYL2Bk568Z
p8pvZTY2HLeHDC+XPel0LhbIG4eyXUZz5aPJ260ZDUP/95UqErUhe1YdLaAJN7EDNSJM7PhDXrXh
O5szPtE0eYbjubHEbnItnJtGFcANZeZTqonfZBUibjgpF154NxcaFWsmwkGunFYAMam93v6u6/rf
hOc3Ex5uPpvu779PeG6+fq4pu55/1iT++KEf8x3P+oManznN4ntEQbj8vj/nO8L8gyaUELYLaP+i
O/wTzG8w4zHA9tsOPCDXWrp6P4xdSJH+BCD9GKvATvpXcSCixlf9ITpdNNfo+9MiEoZt8cZet70y
o9MQfkf9ychnr49wMqF1ohw2TJVMxal3YnOCkxEvkvGoW9Tj6SIktxZJebOIy7PcRWde8Pav60V8
ztZsn8aLIr1dxOn6Raeuc/TbEsfdfTQXGXt9UbT3i7jdQ2ZyQ80DQfqifa8WGTyilWYF9ti4IZLM
WhFDobaid3NU+KK4axcxvXfR1dPZSh/BvA9H86K7HxcJPuc9SlYRaXRn3NK7zyI3v6/1FiQL8v3G
lQj5F0m/TT79PU6B+h5PdbDF9I52PmjHDX2a9phW3gxP0GDXs+W4MSMT320MJuahg5r87Di52vNI
B5AiZvq3SlXNHQOl6IMiWGZaCRLk1kbY6/TSHPnOsVR0b412sukFvSBfE8V4qsNBP7mqeY87uCUu
jjEeIqzegHthVPND0XbpSsjxczqSWeYbfdrsBekjJxUXuOWKymo+xcU8sIrwHb7P0iS/cYc+2mpt
NB/rHHeqH5Ems85611klBWHZEBO0+E73mmSvZeEt5L9ky/QiheZvwVGjYbUXQzmcxqjoTgStx6Cl
c9tlijxM71DzddsUa86qxTxx64Is3U8Yaa8dJYaT2RTTHjOs8Qy9qTwC323f0frJEKjgnd8UegXh
GcGMe8grDFczsvOtko62pqwqzhpn93f0ZNonkimyb9TY4kGnUlvb6Vjc5o2lEVTpbEML/wPXCoMM
RlbvTjVu/tGo435LK6tYF9js4R6l824QlkagQD3ia2qaW6AL5SkZ23HlGX2s/IQbh+MbyKAvhpHg
5sIMj1Jcm40CLzoM141pF9G5aHqUKran2s0U5LOfixLsYcMcB3/Qc09/64rInXiHcrC6MWsZrjpE
IytNn7tV1ITjdpSaN256zUtO1Wya+yys3L3gAP81KcLkTlQY6OM0nG9TWBAVrcFA++JS1OZ+EDbS
89VgAwhnGtFdFbHtsH5F0TFOUQFyJErWnFusjyAzxYd6TMaT7aViE5lNd802ghutrFR/JjZ+flJZ
pVtY6KvxqqJN9kDT0Lp14VPVbhWiqXDwr4mmxZuErCq1jBb8Qz/DtpOycBYNTEdGfUvqgN0QDYdX
omCiQREWHKj0ggPi2fpgTXQtfMj0eP2DUVH3AH/IH1lGqruJlJx9ESqxwWxlbWKtEtdIJCAAQB9C
xY/VagMsQN3S3wtv68jU17ai6ZbhaqNHp9XjhyaIHCoSt5veYVwwwhW5NNpmJpJ2b9lBfuxm/AZ+
rjlDsOo1ZfXbAnzTbUIQqgTXXKT5jQZv4tGRdJvY0pGlrUylAlaSGCLHnJcvGc101+/sfLw2Zief
+GqsGNnK1GuPYd+QYZkgEiZ7SAvHNcVCghEmoWG3HfE1gFB3q/GsZ0J+qJug6FYhdNJKbTO7xCR7
LZmmjXC8jDDHCr6t+yrMvVU4TDYG0VF0jXgXAHac7Pehw95/3y7eU9IGiNgtjnOlE1Gxal0A/9Xa
7PV0eFcnY+h+McM0iIpV5GRisN7nfTIoZ+NWEHi3Wte1ycvkVJVMIXnJumbjYnP73zngd+cARDrM
j351DuifX16fAr7/yH9UHmz1zLeQ5HOiWDQVf50CFnH2n/u+zr7P7AbFNp0MZvMcFv40dONSEDRE
uSGXM/FyJHiz7//qHCB14805gKn/8jIoqPFLQKhYBnI/KXKRWox9UVfGtRM0zuNEZ+UwGVLDSjVn
Yj1FuVIog8sjAAcl/VIqpkEzWPfBhhLVMeg/ocPr9I9WNKc3JQZWnJ5jD/NbrxTLRlebE/5Ps/9I
CV2v23BiPakmnfW4d9kOq5YBFCyNot91wyTvOwrPp6IP+tu59ghnXHqGHeDM2iEgBwbONgZdvneQ
XqINS/uOtuPU7mwUG6VfRWxoqzAsTQg1E8W9OU2OvY1GOH17kA1zt6blID4nHWQcH7pv+qJA1NyS
xtbnjPTy8TYISjRSSHj57HlFXKlPPljqHMqpNmecgd1Y7XhW+bdGA77+2LkhDWZC+aZDqBUg/3Oy
ZIEM8gYJLkUlgsBU0Vo/625Vnj0zCe/nJO1vVQbyI4GSux6i3CVOrymxmw+1s889klxXCWaDEGdb
S3PKJaByrdENIFDSSPX3bVW1zlxB7hNlq/aBtOJulwd6aDg70B3ImZ06FrNYj0leF2JF7TXeoJjL
C4lrotcOFOBlx4AnVCQWJDYZvkW6id2MmOIPTZWZjXHf0+7Hvoq41XetOOjHm1T1phdsOLDUHrQS
+OZblj2XCalhGjb5gYTDBLeBnLQtUxfZDCuraQ2gFqrrnfbUcH6J1uwDtlPuRTPI4EqvARuvldn0
y43jzMzVEguE3JgMgGyIbM36Y9t2XSVu5JQnrUFGUdP0AwtuSo3VyI8h1Ax9fmJxnYr6pR1Um4NN
Tec5C87/W/AuPNXfL3geYptfLXjD/+2f8wqBW/31VfVjwIr4D87CuRAqOASy4umsoD8qH0f/w6Kv
pkMmASexhJP9tQRSL6E4Q3+OyOWNvE3/A9kN/zlBZ2yeujD+myXwb0YSSitSoV2ULbwLarDXCyDk
4xF+JrdfWqDgNmZmxbodPv50Uf5B1vZaZICPZHkRjyXfQq/Cn97orNqy1yqauPMezJryR6eZ15HT
OysQg+3m1y/F1vCTnuH7S5lcFsdCQSGst+KYMucIlpDHu2cq0foxWZxXtMEC8o8qeA9h3O5zWWu7
cbZMn3yU8jcv/7fLuYgUEcs4UkqMd2/3E/JnXGuwdVBjxfCg584HFx7arz/hsiX9JWXhly8vYXm6
g/SRQuJtnDdWgqlDDaL2lhweRst4bDxZrjodHIiY1ddfvxjqpr+/HAAVl5KdwTByS/n6BjFCZdoj
0V97czDUkUaSrFYwKPNjanH6zEh1ovunIBWEqhW+ZcCzJ5XUw1bDsJE9j1KRPF095FQPHyA9EHfh
5XRUew/aOACV0ueAmZCoqWQ1YAf0/Joq+gCK3fisJ8OOA2gL0W+JZ65boT9OjVct4NUuX2OVNW4i
1XlrcvXIwhXT+DglQX2K7XCgP01ZGa1NuvcPNpizD/HkEP6Z16Aow9K6RY6Q3tvEqvq9SVxFF4Kg
osUsfc6nAdiJTuGnttQWu+J84AR9Ddu93xp5/s10svsyNr+QGnRGJp2vBtPNj5UYP4VgLHmJxN5o
xLz6OfF867Saif5UFuDHQq6tJhm+kjGrDk4S3VYYltaxV9YbU8dnQQlq34xYB6Ef2sGRPe3R0WRw
TBC5o5wgaCru+6+GrXkPI3rv9SSTBASvCh9am0lk51I3k266djA+Ik8N+j3M12CTiDG6Lhr05BG9
28CdhisLVm+K/F5rp+UsHnrwaBPyuGKagA/KoSUccfha6W7snCqRJAQWVjKQ22Ksa/u9WTjahyjt
mSiXJM5t3HHUH0qZ9ldksnd7TpG0DOq6zflWAdYEuaqvywxDtF6gqs8HbOec7zHHl+W0SoZCojTt
dBR1mXg0Szw4U6/GlRbFevfU4QSgwBSTPGmzEz7EkZoJgiVQO4AHuI4UvUJ/iKV3mDXE3kEQ1edq
Luq7vG5OAYPyJ0B67YNJVMseKrq8lqNh7/OCewFTdrzF4zPuCvw3UVpbIP1jIjXoVo97s4m9swAG
s9OMqr5G/lPe4bJY67BFrhmzVQpdUSa29UCSfWlbFNZQW2lnIMjY1Z7ZXQH9S31iVO27GNpLEBgl
9W3rSN+TIbzONAICYH0Y+/Bo5sFyzhzO1ZS+ZzpJo4SY8p1JDswVc8bUj5mw+32H7VwLBrlDLiv2
sCay/UTOxsGqGjwnF/uJCK3yNr+YUroQQx0qpVCcjUBNz83iX8l4aE49nfqrdnG3GKMHpj6jTiQd
gb44BEZnrcRiiQnTxR7jAbZdlYtnJljcM+Pio3HTtlgFi7cmDILhakySBC86zht78eDQOwh49jGE
66agSxR0tEIW146BSfU465E8jbTjcY/Y3mNJWA2NEmxpthM9QxP64C1eoHBxBcWLP0jvjU9EJZ40
NwvfpaUA+OBwpUn9OLYmia394jQijbFdB4v7SLmSqKs5udYaRXwHUJx1oeYXTD3kCkYI3Qj4DftD
AABiIzVxJu1k2y5+p4SRjV9CeNnNKb82DGz1vpaaAyChGbR1tfimOkiYz+T0knYV4apqxi0WEOPB
YrCKJCwF4Fw4fXPXaZXxzLrtHuLFoyVkRG9laTBEETEHPqrY+Sa4GLuMxeNVSjc7sSDNBzl6nIt1
66lePGH64g4bYLUwHcIx1ojoFLrFLlq8ZHn//+ydyZLcRpZFf6V/ADLMcGxjjsh5YJLJDSylJDFP
jsEBfH0fR0plFNUlde1rUTJRxcwIRDgcz9+791xzxFYWM3UpSqu67UpxLkb7U16i5GKkCLoG8qFL
Ujl4FCBQkXasxVjXIu1hWzCzBYPtvg2m23AecPDo0Z8MN572v7El+Hep9sSFPl5MX/vkIALkDNsX
9aWmNciUVvLKJrRMRlc+NxCJKVP2PaQv89lSrfkM38d9cJbMh2EYWlsLDyNzQa9wYPzg4vNBS3Kf
+NM7Bwa4Ftrt12H7ywFfvniJB68kBIxKd6rQCakTPiWgXPtCuwcH7SMsnBRLIc3CkR6ZME7A3/xt
2wa/BZYTY5Vi+rNrEVYQ9yCC5wIZ9LHSvkUUW/M2GOf0hAEMu6ePvxGQN1nk0+CdPO1+9FMrPyVG
HH8V3r7UDsliTvj4tWsSg2+5A1qPEKqfCzTxsbX1TAvur9Hn9pOL+dLXLsweNPvXafSTWwzdy+cO
s2a92jYz7eAcLO3l1K7OXvs7YXXJDQmqeD6Z/1XaBRppPyjQ6+7M81GdR+0WDVvQrv4VURAcwBj5
dcNHXfHfrsY/FPnEE2iD/r8v8l9SGadV+qe+xu8/9HtfI/B+sV2f36NrP6GNKv+q8YXzC9MLDUVE
n4/LwaHA/r3N4ZBWjNOF5hqFHNYS84c2h/8Lvw0DMX5oYTN5+I/aHCzyn4s4Xp5+Cr+Sd6F7J38u
4sTos9HOsXUSgpakQvckcGaGHirIub1OFfDsKvo6V8JD6iPi5BNevXjrmkiC0ySGQFuTboeDzSFq
L7KivUQjfw/npwFxVGnu2MxUGBH5uY365wgXqdjOQ/tGOz+XhHfzAX/qpFG92Fry3ZRaqTIixXr3
CDK7qrW8xJ0RHUNhQawx2QjNnAbXMkcRN3zp/dr4RoQHlH2eoNO3MODUlF1S8HC3SR3sJRQhEU/Z
FUDsRhz9MarQ3LgxTIHYIFRr6G3LwmVYG8+G65F4ttBv2TeCcW7AjbbpyrR1d4HtTLeWnIqdBBP3
tYBvZ191EBj4WGrbPlmTiq+zBlErQD165iZ4CVBbAGkOtPThUnX5r265VFcYHgkkE4u786Sbf4HD
XaEzilxsylj6ishRL6vSDhmrhUO6wxjB2aQBgMN8+DhFCBVNDMSv2A6xoJLF8ykxu2QH8gola7uM
bfCCBWXst4E/oc9agO8S0pJFzIqikMygLXtvb9+RqYWRxfDQm8hWsNc3Lv17HsHNqxujz6Y/Zz2z
metPGbNevGHgbj2HuccQe9UEclZC51UQ/dNgOSxQEMkapU3nOEgMgr5D6eHQiy73whuZuIiESTNS
npYqQsEXuvpQVa3/WqC/BS/bsBvSEFkFLUnJz3jOnFNfVhiObFB35Rb9efSSuYLBt6fFmv3oUvcX
SbxYu1UCIOocuWPVoxLC7MLwSAqOEixNpJDkk3AZJNeAUKIcWY5THyJ+SpiqN1PB5NztNUWd8c2C
ZkwLJOeSOTtHE4QNmbtwQYH+UOyWcLUrII1oLQyhVUnKanEuYPTh0y3HqHkt2OUjImuJwcESKZ1s
JyZSlHciqH37NhoB9x66PjLjc9+MWp5Sox9cZW1pvvDn38VOuLGLY5Fl6MCIvxtJiMVVw+vRk9J6
Cl9fPApXZCWLnfMJSqXDP9aJP4k4uHxwiyPs6iCY+DCukCI2XEQ02OY9uF//en1FIoaxAqEGxEpa
WKzNljZ6StmNwFXJHFWQ43rQ9lxlA2/HaO2+mfjIBYI4rSUzcR+ghkDFi30D9Wiaee4DhEREkU6b
1OfUSWW3j/wB6UVrp/z+2Cm09FH7tZKo8D8TgTwbL+u7JIFhiE/FTJjiltMzb9ZrfFaZYTvWbShJ
k90Q+4CeqPMV33Neju3y1Cstoa0L/ZV+iGoRKZrdbT+HiP98bAazrPlzOKeoUkUYo2EiXyg9gtFj
QQBCSI+BKtihVgWtW5rWfEjbpvi+LB4rMvMNvaYsG1E+qgZRHuthRPsSWISokx2cT1udH6R2fYi9
tlt89WgqJMZjhuXIYaU5TD0HxHAFhD4e1C6JtL3AUd94IOM822gBltlMUYayihFKyy649bWqIwPQ
9YJ8w092uteDjHbuETHIrnnt3aGLGFHa09PIKqY5KsrDguFxa46xh/e8737LYCs6m4KHzktBAsGT
8A2YULZkYdtSSS6GD+Dah3PB1ZU5FPel9qpOK7sKZ+eFFUoWPrKRXgn9ppPCl/hbS1vWIQuiRi7D
uR59kI2g/BzH2uVT6c93npLoRQYBO8jQ1iMvWKo7ZXnw/MbYhobQO6SPt4QtbUoQMmfUHc4RJnkC
W5wnxoMWPD0WCG+BZudFhs4KHAFsxiU4GNjBv7lB6Vwi2aenbBTWe0FQwYuI8bcdTLbA6xZc5jcH
aOTz4HnzuSkhhM0gcbZ1anxC0CRfYFN0FP15T+ZVKFJEcRzxiTAvri1gDPy3qTqYoiRDKzaXb3qS
zh2giu6Kzk1AMyALZndDojHc6zzrrnoi2zjpQU0CtCDzG+IZPJJKlXZAA5zDOYIQ6tqL21vpy/Ib
nZvE3UO7xlE9IZq/VP0kboGoPFolGO09qgSH7CAxdhaSSnbzh8V1kjN8omM/Qk9dRmfcdW3e3Kih
qje5MUT31SjZTWZAjgwQh0erAreH0AUPeNgtjDGH1Llu8sq0P0WYeF7IOZVPhXLvE29sHyGRQVlm
qgplwQqeqqBPNsUw9eKupSd4SoMCV36cmF9iW0007cXzwrnx80Cf/1hPXi2PnqpqfcABuHoa5aRv
fHXCHMMMorHvu44Wjl82CfW5mZjXigiV7RzRDHroEuijk02IfJFJS9PkJKnPY580+0KRJrNLokR9
jZqpLKjyBy87mGjYy9PcIv7cGpZLcrHT1rDKzf7ZZo7/mtqh2fEoJCFwyNyBwbTRnHEpsKqVk32d
eLxfqWIYbhmIf1VStDdNt8AzR9Xa+NugimjFczrc0cy3n+bQcImdyKyH3PL776M7ya8zUtz2berN
YnxImePG+OCJUYxRv245A37BehM9oLyLdoAUaZUiqrgee8vZFsyAx8CXl6FzjDt6H5wPbSeGmBGU
34peoSmHpb6PvNl+yNJ+fBWpH+1i7ED36OO8O9gWRMbnFROnDWqZ5jaAXndjRq1d7ZLBNB7cvCYf
A1j6no8roGdFBELTldXXdOih6dfNp4hZwSU35UvPI3GfZKxTxJKvlh2fM5V118bsuV+UignUCXKc
PVbUWfuIqO8rwnpJywGecTME8iQGkCV5YCNbNC3wEEHdTO61YlbGFQqaQgm6fCL67KHn4WcgX2Wp
mGlyXZIqr/V1n6PMDTZx4Zf4iYBMgECBHUGzb2ehtWMvbNx9MoEliJ0QB1XMuWlT+TzCD6HrmNPG
thvngXwE/x4Jaf9UA6rlQV+NNdeT9Nt8mQ5G0I83tcy9Ddq1Tz4toqtKGunOcqYGbCt5viHTkCfE
cHDtMsqPg03o0m7CKwCi35yMzdD7Hsy/LknuSYp3Drljzs+mlOPV3DnmZ+Kl2aD8uL5hBxqZRQEQ
3PUlERC9OR6basDX1dtuc4WAqH1MvBKo71x1aj/UVQrZg0ziy+Bmw0Oa+oAIIv8M6llc1zkEIvJM
In/jlcNLMiQAP0poHp4lKCjoBX0aGyIOgm4iILTtnIvflNNpMmN744aEJ+Bh4XvoZab8TQnwedkK
/NnyMOeJx51Q9mD5J7qWbjrwdCwSvGltUBbHhh7lSxNy4WMzyacoq4NDBzQ4AxBiqRMB9oRkatGB
wNFiTtJ6TCK/wqiSJWTZzHF3VbuzC2AkmYerSbr1Qdn25Bz4mekmKKcEcTH7zTt8bP87qB61T3Pf
W05J2JOjFKD+Dplo7gtdWjXg9jfFCLB2ccnq3NId8NFGtM0+q0a834MYblRDWGI0F/2WXuC4y7F3
XiH0GW+XTjTOJ55v+U1fFU6CxDoELZr1xKB0OeDtoZxi/7EgTXlhLAfZdewzygKk5r/mlm3GhxBl
NTeQSS2Y+1Z+h0zyKR6L6Zqzd7fHeBZO26wT0UNHGXBjo81l50VP9CUooWHvFodeRuSGr/Fg1Y9L
pLIGr1NyaJE/XYO+9G4JlWoByratsRtqb7gQDtxfTVY7HwX4gHvL67vnRJWXVrVXjVimXRvaSEC6
uvuNGTWsj76VF2v0Ihxg4oVCTR1AiuzGQLoPIFcKekgj3pFDNpVxcUGWo6xDGi7LjDNANtkW1hUR
0KXtLwyUzebXKS+RZLLlkfDeVCVajAr1aeVEy3U+SKP8bR6n7p6kmuWOPEyZ7uMm9QaCexqASnOV
Bxu6um5kH0tSNLD7kSHcJk7wSPTR58YppuSKfPQgunYq861XYXMzMYdFJsNaOOcqjfies5kucZ4l
wSPMVs/8nJb8m1QbmVfRfU378uChEcEnsfUa9RmzVr11HSni4D5mkn7P0+/clzxB1emHk/z/MZn6
eZjCDMWDEIiBAiKi6/48/opDNcx2rPXGkrAC5XAS9dLEfl7mAMeNtP7RtP7zKCw0XVzrng370HQp
FX4ahQGvnX1wyfWpKiU2soTSvWNjfsuNHjqAXQ+/JYXpurfxKAbnTLPdieZtZ2EYuoF6XrDzcWPv
YfVg58JbgATc8GEkSNsKX8akh9kAkZm9Yql0+Frpd+9mbDohB3q3X55s38Dp007YwFJGy699g2ml
9kbVPyG78roDtjBLdVtSkxz3K21V8uwjMXGwiyOMOqkTa88CO8ZzGThYHou5e9cRqt8FKqQnJ4yp
6Pu24++vrAqzdKeJruWE3I290+SABazmAf/M0B1CJNvdUcRYtmb+orxz68byjzjj/GnfWaJ+Xc/C
q9z577903e34cYIWmgg9XDo1TLVMmjM/zTxzKmRoWWZ98qAWcdJMM84Gg4V6+Pz3L6R/0V9eKPRd
ygCXaIKfVxdiUddoEc+fVjMUzQk8SX3V8v1w77lvXaodM3GNehOfIBbS//TVNa0ghF/imoxff55F
NgbIeEZiJOdljf3sKwWNCU809WMhT/Vk8Kp+H3AI+PCR/P2LW3ou+OdrF6YeHIYMHtEu/nztKvOM
qI5kfeqshkPhqGL8cUHeYtXLOo7NwDu5+NWCiK6RGtUkl5qDXxUHBdxMwBXrG/pve/Mf2pucnPUQ
/N+3N2+/qf+5+Talv9V/FjCsP/aHcMvUUmzd4gQU4GsZw78anLQtkW87HCMZS4e0sPi//mhwBvwQ
J9dQsAboPmqV9R86LusXB3Ukkm9Nu7G5Pf4TEYP30x1thmyrDP3B/qAIC7mrWYw/yLjazC0WFVfZ
tSQKeH5za5cJZOUGvbs3Sf3TPD/FnG4GBFp3pXGu7aTxJNbboDrVKjWPMJjnd0nQFi0ss/G2eH3G
5Wqq/OAbPZoABhq1/dKeKqZmOf2FvFCz+0Se0SKoTceBkhXDJoGcxQYUGuoELKNLloR3sDP64GGk
o2A5+8bvZTM/OZWMCDRSY2++Fhw901lPsOiqyaQ2q/KSCkNtJxEwQRtLD+8XtmIvn5Jr0NJtI54S
O1hqlW1JPAFmZpFvzbSdGLaye+4EqqW9QIpc8JBtg34Z8D+Nwi63nVlW5lVqpdDnFrPF/dTJQ9A2
872HgQh+/6wyftSfjeVrU5EddvPfG/D/JyKCLfRPN+ArZ5Wfbj/9Q3/MF6xfmLbbAgEGycgf4Td/
aIjCXwDgMH0ggAGc22qs+ENGuRKdBf1+n4kAJgq2gX/ZJ35xwSx5FD5IO1bTxX8go/y5phFr7JPn
OOghUPn8rEixRr8dTTOuzyOEgRTFXezdOYQP3C4Fz5wfPpr/R8GmXwvNLllOSM0Jdf7p2T2ipFsY
8lbnwFGwQ8YZ0+SAjXDWUBFyacN/EPT8/Ajn9YCx2JTdASzkD6TrDzuLNFCRNMLk9UpLN1LMhs5s
NoGd6CfXOdOJxt3qrDZf7Tv7+4v9i/bGoxYEHw1PmDmQ3iT/vK2BWwAnwFx5kX3/XhYlO09hjeJ6
xSutdIPINv/pkn+uiblkmlDCcX00sX/NzOq7HtaiCEjsLUFW5wxs30dSOQCCpBK8kgmT4+8v8y8v
iNBNP114RV2P/1yoZKYxNXYnQ8auEW1XHSA861K2FI7x1Yn+8HH9W/uP9ZfPNfBW7RTyOj5c++dx
2NxZiHijaTwN9dRCRvWjzr5blpZmulCu9tuS5HArigrXHmkwj+3oVS8V50C1Tfx8qTZx0AWP/Wzb
w0aO3sCxqkk6+ovh9GW2/wmO7AX/x/vFBMO9T0EVcrPrx98Pi7Aidi/OoKmevMCJ3WejtL2Ipk3B
yId2ldiVbWypi1UnM+c8XIS4t6t4fsQziN/RJL2ZYRnAAOIBcSA7HYUfiHLWEhEeEJwWYd1OaVIm
l9G0meeQKs2xwuZJtG1zj8kLOmcav4ZM7Y2a7UUcMFlYtwbmXLlfHcKUmtOjpWd7Uaotn4sca+9X
MTrNvOOxOY2c/Vo7u5KOBxWcXcLfpQKuyikzR+NzRpciemylLVlyUdbS/gd/atBWtJfEsr6xSidC
Nq0U/xHRn+HoPkzVrK4rM6F6J9yIeSbpLfZm3QjkCmuaxg6ap0JAHOYt6BoyPJrXQTu+F2nCShhJ
PUCUMTavonTGe5PAMiz7LXxOjWLVhgcJwULiyK9lQb2+Tn0YJWGZbw28vj2k83RJvTcvhB13Joti
evXrnmc450wGGiuEAkIOV4rIEV1b0fGCK6nAznKw84OAT0IflmW2jHxueoA1hHxpi2hhlrSL97by
qdKYwUHrKM85EMfOsIYWDnVzx4z18WOtJsgdGVOgiMD/kk+UIeATmCF5XKw9j0137NTI8MiAtZpc
wiBKS3z1Rgvk1UdjMux7Ujk/JyP8HdGwn+76fMCt/WHRJp3CfQPh3rxC7OHmb8vwGipQ+NLQtKGn
sI4Eprxh9qSnRRJDFu2FpsZaPmh09+jrWRN3d/M6IcjmHFnnjCVH1OtMZhJAq0OCp3qjNL0nVS4u
1/VEuH7+7tSTEDIIuoX0f3boYbDHtVVo3q5/p4+IaCrhLrBvLMnJ4FofEvqCOxWH4WFYj6GJvj38
PlfNqeuyKLqykCc12xEW0y5vJxE+OmZgSWfTU0sNwFmEmd32aMoabyPgkk5PjU/qKr3+eorGQ5ER
Wh45Bj9QFallnpXVB+OEZNCokkvX9alxnM0BslIbG3P0iK2biXoCsAh2TTL00bW9hPMrCln1Ps4M
hgix6Zb0XhGxqVCfa6wpZPfx2NkJs4qF0NSNIUZjCzk43RjeCFIq7p4bjUmddGxYBJL7EBKJ3GqQ
KgpNkKoic249mrnbcVQnFHATUq96evYJ0maahRrTt435FmiBv+0wI33pNLkVcZe/6efJujN8uK4q
aRGh9aSofoX0EQJLdjrlbOMwna7GwBhPriBUGT4YcbMbs15uhRzi97Zj2/TLNLjQA/VvG7MKOVgv
7nyN5ankCwcHVNMMirUpf+nfQ8R8atcZQ5zuWNzhxcWGWO1C2GEhOq8geqGz31c7eA6f+iQ2tqls
3yoryG4z1ITuqSWmZuQv6iG2XGkAK6kmsfjDhn15euQxx1q2oypJ4b3BUIP3zkhIT0w9qw9fSsCE
wFtiUXo01YDULXq8NSXUFo1rQRTs8onGfq7ephoTVeb5bJjAjZ8zw8w+Z2R44YnHsHmONBkp1S53
0YRmgu86qiC5iPrZ98o9rf9qRxfHBbbulMIjlHYxw88LTMivpTSM5UzLaxBnp5Sk7G6tBm2ZIy3y
YeBMOr8u8ehB8a7ySxE20TVMkPgeQHZyjkX4HCRJ+1L08m2m8cnun1ovaLmGXUZI/C1yL/Z5Dxr+
hZAj++tgROj0aM8SOR+qgIYQVKxdOqqzhyV23DmqtTD5WwGToFqKQ1jZFbMJaB6HxbVfykQ0u3rq
sLqNYLl2dP5bAqoK1wPL5UTVLcJQ99eCLvxwaHhiyU+wV+zoVwAeqcT03UT1YRE1rT6C7gYicLvc
uMZUMfDRlVEDC9uLv8wBY4TUrcRdkDjmLuOSMK42Mt/OdtS91pOgFmk0nNNRpDjnlvbvtyG0iZSE
JTYLt4glXttuxsuTiVtDEybIVIGBo0nG72aR0eWDYayTeRb2oVajULrYxIE+acg6S5nkuziprVsO
seylrW+zp6/j2tHm3fi9ZtkpvpptUWieVbliLgKUtZuU1HrEFIzjAN/ofqIPRqDcxXbOfi+BgczJ
yD44enHXHVf2EypSUj1EzStnPEzIOQyYLjPJ417yFJK3YNYNG0aix7VttMwZG/66BQYoCuU+MGKu
YlZmkWASrkS1GWj3X6thMNHbeYzuZW9075WT8+Rg/MiKsJfWe8OAM913KR3XXUn7VUO+aqA6Re8F
VAz4oPzjx9uyKo+JfptkVBKRYfD4CjQrAx6hPKHcne77kdq31NhEayFo4QJUTA8PhpkG4I0FiIAR
uQzrV2W34Lltb+Rdp2XDtaoRmcWukoizH11m8qRnc0p2Ucqi+mjzAgWkOQbBNp5cnxSULoP/03rz
UwST4dUnaQAglyRoUDVyop9fDFnHI8OKnxVnZNIKzMK/dhdHdOyLgfVU1AY8+iExvveyDY/JoMJp
w3umykkNeBb2RPoWUQP0EYBm9HBvZaslDXJC1iIDTauJp1R/om3NKoQAxWN9aITHA1OyVT1FHrIV
qOLu2zKUmhHV8TUaVsupobcXEyi11zVGipYR4xhEixnLPJ8TpeWT76TG8MQQuPCbbaqSOBGPCDJD
n0cVpmxinUUMb49RT2rE1qdMUC3Hx0n15HVb8DtoNGIxNd2Inm1RprteFaQe+AznSiOkBgnshPmg
K5Nbcl1GwAnJvOd/CI+BwV2KbGkQaSftYy3YWfIxMb6gL0ovqGwAZXWaZjiL8sRw2EIEEBiHYoDM
jSbT31Umse1mEF65cxdt29J5iAVbuiPj4WCZsbWTi8UsELvouR4R7cR9YT1WLlsMOnAySLORWYyV
U5H0fpl/B3vmHdD1RORf1iVhFy2jP+5AtWVX+F4RH2oU8104uerMuqYwGFrzLuwb884ji2Y3YkX2
u7k8oels99TG0dPkD0S28RDdZS2jqcl171yzd2/gbVYPfNs8l4H1X3jylYiuc2MTGE6/FaW/j8Pi
ZshBvjt8VHfm3MRgHv0Bia7t3NZjiRcWcBMF5NQeUWGgYx7vndJ6pPKr9kQCmt9x6XoXBxMgYWkl
OXuEmVWBYtAOFmj5RmAHX4g7cAsfcM+oZFcOJkIUKoIRnwNP4I4soFHvIImOF+B5xW7Y468bWpu8
eWdum5sO/hJDKK2jY2jNilzGiO8+wtHd3c+5ylLM/Gj6//7Ypk8dP3Z46Z8HHDg8GgsWLYifj/1k
n2chT7zm1KycF8pYpGPkgfwTFPUvpx9eiNQU0/I49qM51MfHH04/YQR3Oav75lQQlQYlKAisZ5Bt
aFPoEqNQcvXRZd0O//76/nL01xeo3aZ62OFyUvzz63IkLxxSJJrTyqfrjVKeym5iBKOChP2rLqv5
0fcT9uIPRdXfv/pfjEy8emhzKuYG502sRNsfrppkRronll+flBdxAEFRYj+DHqivsoBklc3vPfNG
IkHSlfcHfWt9C/9tmf9jy9zX44y/aZnzsE3+Z/sm6yKt3v7ct1t/9I++nYfC1/aZMPna57f2xn/v
2wmXBrg2BJoWzirh/qgLRvzLindIkjKdD/HvH307x/mFv2qxMJjnmEzk/iPvH364n27hEDyuAwTF
8xlRmU6gdcM/LLIgn9oSmH12Qg+ka4MwT4Ld0sVU5fYoQTj0Y2PWUM6CxD9H9gyOiYIwFFgsiDze
2sqHveQsU5nva4K/WugataUk7DWoQ2gFgD+WKYUaqBX33Gj5KCYA99y7A0t6tjHOFA26xA+Utsrw
4PIIB8IElEVch0mEGVqfPRtz4YYb0ShwUqwscW0h8nr76FOEHL22dQVYbTPU+IyPNgR9uaew1D/i
RNRaOdiLe7ul3B+AItDEaLTIsu8EvL0J9VyZWtOjzGyq+FzrOp1mCiSygCqvL7Una3HxQ8bBnWDu
WaCkoxehQZRWpaeHDcrl+5m8N+SKg25+NKFmm9l2LE8mc+dnPbl4C2yIWXVtDCdnTJxPi9YPVo6m
VTompaVfgnqMbTC7mxXlSYQHvxqiNvNUgKlUihQA3Xsmtb5yjQVINSkTW89aZUr+2roXoin23uZY
lyxDzBvwLHhmG6WBqKTlaKanRgIPKA6RAocTV+3mvKbIGeZytuXaw7VeHJTpoOtJy6uKjJpbJ6fC
EmMEkE2l000WpePZqUPCI3XZzsNSf57+pMFe5cRAese65r98fKGMVSkYYw32swf9Da8VI19p132B
vgltU62U/CnH87dDG5OnD3S4uIR61lTwhkoEGWxXcNTyioHPRWUGFViCpI/6ZnYNbxsYAWdKDNAk
nDbaBPNZ+p3rHEhsMGpmj8v3JNJAYXOsaBUX6rFfOo/cucR3UWSDj1zsLnsIkIW5mxV+1lglg0oK
lNf1LAiujYWeT4AyD5QA/KYl0ro6HgS8t0Qvot7Eck+EE3+mB8FqsCWCDrJ1egSV6xGR5j4j0CII
eECT6MziM2xq32hkGLUJVNO/4yIAdWz24DkT1XITErPKF1zTgEZgHWpha57Bi7tUmWaD5WFBu45W
G+vN4ra8rokodU8B7I+zkY0U3TOqOEx9y0CtWmoaowNyDfKoKlkxBA2BrqeKivfVopWyo14ndLLo
lOmiXjg9PUMPmYCw0LJ9ABJpd8Fh1sDCeQSMuh6S0ZxEL+sSXmvoOUeSS1AbnXm9SCOfYzVqXj4S
ZcMLmGJuBdJDIQQkwHkOq8b/45zVAyV0tk0hdINM0+U/nvjrLTFoGhtR6Xx4aw3UmmwcTLPa1wXt
xqn1GvQTqKOsZ5cU7xdDtxY3DYfkGo4n+XuF1PTdFY25YGs8FomnRoyDUEADE85u2mnyoyYKcT+A
ch43hgZIAyLj81nbc+vRbzbJfd3Qp3XOK6JOaRrw0upZdr/CpxExoJEoDEHXcQi6xLnPWiLndobs
ZvbTeAl3ZtEEJ9+T5uHjKNpOxHGpBOrEVOesH2eCkHRYOkht+5CbAp2hLHlDHGNAJ9q1Sh7nbmpu
VhV2OiNvdmbu5VzT8kSVYwoorYLfs2rECQ0Wu6wnScTUDPkeVh2fIOeyxwbKH8n2Sd6+5ggNTyG+
wyO55fbzOlvxmXFGpI7T5HjqCLNzqafZIp2FC57ynBVlhMQM7wqbhmhkgiS/xHXAQchBYpRc4PSk
x5UJP7g2x6ZR8S0VGirapTZbsxXNrKmIgg8+tL/wtcpOB60R9EsPtkKH3w5QFTNvVkDgZElXGAwR
68XqGA3U2jOgwpE7YhWIpNq8UDKiAfNeNjoTONS1YmARWnZxM10T2/ip3pFE06ZJPFa3lvrjDKI1
kIKBvXIbSJ4Dion2sK5513b5IbPnmrdg9/jnEPiAkzUfmSm05lmaetsbMQf0D2PLgPYAj479jXMg
fNrE0esx1EL6poWSixyNL/JjS8s6i4KeMx9LiXgzOZwz0RFk1mIflvvGMqx71+fuKgrolNtB8fEi
szqsd1w5CvdFoSq2tlPryeSw7qx1jWzmqOC7v1ipU1UvKo7n/LMHxyvdFq7epayRJC5XuyFCTWbO
hrZ8sJLBppNQvROLF55l0+iHQWvqh3OkYYIrpFktGvgLJIg7WNSisTZTklQW5/g5mU9sPw55VlY8
UEIgZsERDKJ5Ca9KWnew6oOIrhTxy2HxsGTwn8y0CID/9kb8suKoq55D28WtTK0s0v1w5vHYxhO2
GHqfyobP5bTSf6+r8gWyq7zARRlMtZmFwmXkO/KZ0vdch/pB1GkzEoru5opnjLiH4WRG3LvYlmTr
0MaB0X3LZKi+6oYi3o7a6JQGLR1a7EtfW/LIDBsOfKeNUbIPtgSccA9shg/hWY8GrUuGBhhjiP3x
3tQitTDsP1fgwfBdYLbxg/C+ccdNhrotWnVuM90fg+dEXcKMsixSuIWTcYe7PuRGOs72rmGiuLN9
e6m2AaMboPetm22b2i5PFunPMNndRmwNN0eiWtljuAnS5WAOBGV4WZLnW8BPUEbtigbuYfbnIjiF
LEu5jbsBFJYdJOFV77jLnZj64NLBrX4I0gmE22TghCqV9cm1xvrGMP3qLl1ycQnsiNVrceL1E1Hv
Y5E1OoJtYrySB8OVnEYQVhx5nU1neNNb4dbZpzkoP7lZ0BbX2GzchzZPKnwAncJDAseGo7wzfu+Y
GvyaiB6npwo5z7DI9q0XpDshZ+SrRgaCbUTpOU89oXWimZKt64J7A4mT3QiZZPMNn5f/nvWiOiwD
qLu5SE1iOtSnMMyaQ54G8hhE6iuTES3pCn6N22lGmTvTPy6AVTk56n679+RDh96d8qfy995UTr9l
g/1MVgsGNtV1NyJNlodyIcO2DobyUM+Ge4zCEZtSmLr7uO2e23DAUSB9KiOSEdv6pl8itqgcKKsH
pH4fUzdcBojRF4aaxskL6+6ch4N7XTuLCZJrqhDptR5NCfzVU9uKvRGi8cjYscBUlPk9DEIs/OJi
LLl1x0OAvHZ3rA4xc7NzIZ35Ia6drVM51clGw3EU+gnhzM24m8irO3k5XxhBCMZrBwtjh+U0vFky
7Rkp7R0hw+ZjLrUSGW3tJ3uyjeu5bIqWMUPAzyEg9X/txwJXeARc5kI7vj2iV6+/ZJTvutFZkhaf
lXTAiVYTp0A5xq3pt+aWJ2+wy4V7GAJP91ry8qwQ370ZeUkfSXfyrKCg7yllh3qbZYMyXpmbeemH
oxmRCeExI9yy+ce7BVrDMYqT/jxW3nuTxO7e7i3dFjcLvVtZ5zmTzlskzabdgSyavhCUtae6llSC
qVnBqzfzfd+6/jO8Y0j8cSTLPcgARiipHZxo1jjHkliEXWfjYPawRalrKI848xtnyMKBjYSjdrvr
PfNxVHlh7WOvkGSQBmQhZ49pZEF5s7LSLU7B0o3xO5t/fEBx3+4Ypja7yBgrZOgJNGJoyE50JMbQ
YGOSqX8S+aBeDFy+5Dj4RDBs0sFKdrLpOYEk7R6ZUX1DsmS6S51evTRwps6Lz6QnZHx3WJZ+2Q+J
ni9kQXrwQTF9UvEkWOJOWbvGJYVnMdpspGUa/oYCJNbJArd4LrrPRhIOxPWIGz/HLsHDK3oqcYp9
CVXnEzXL2QX4Y0uD8XPnN4MJtdYP+4vRWos9nNi1wgPisKFVzEYJ+tzEHNwgHvWhoprVHjywB7V4
jdoCcWmUZYoICEPNJhMgz2KqcQxwoy3e1i5cw9zEnWGqePu/7J3HctxY2m1f5cadQwFz4AZ38COR
jibpRUkTBCVK8N6e8/R3IVX6S2J1l5lXRVeroyWKyUzg4DN7rw3XcLQ+eknJU9ccQSlvvNSzQDgR
MVhetoxL2x2mf6azul2y/Jw6kzG/PVKDJl1CvVbNPYWIMwmeTaulS17oa/LU2cDIPLfYlO0KNIdL
0AQ/dfz/QYjydjpE62zT2Js00OaaMvNGmwFKg5nbkGYkMviMzsu6tpZnJdTYfxDks6DAJzmDeHEW
gOSqzOig93/+AlZT8S/zN14B8jnBL8Qz8yrezKfmxDFqZQ7xwSa4hA1l1TNzHX0jMk8GyrSYYjNq
9vjzElwsTaQq9Gd9dIorxtpwy6HTs4ud/vnbgkoGJRBlO8SYVXP080ShssaoTjIRH74Hgi08/dlU
1tSkZyTzkJpUPmOpKI40Ek3/QvL6JucJuizvB1Kn9V9KcAhzb749cTljRVQP0l4SLw6Z0Urc+X3r
lRkfSCJtjSqavLTH3I20o7FugipR4EmYWD6YN8KRU64CPR/i5DCsHXTTIiv8dl7nz9XK4/7HHyJy
D4MxKrM+Ns1v36/JjwnXAm5xqKKpxDQgl7FfRSYrEhttQbtB1kcu/NK3L6Df5H07MKtoE3r5FN3w
fQkt7S9e0VuvOKpMaiCBV1y4lsFj+Ne3ULNbTYFJT5ANE9IUnFUI55yHnhEPSbnnZRPmj/4VwQro
6Yn+opqRSeyNjkcyQPhm7cF4Z//8hVn/6YU5rCIcx2Pe/IeJqMviHqBQmxwaJ6ZChYxQF2PgY8Vz
F6oiq68emqTwxJGEFk6MBalnfjEJc7ofxeSTNLNKHHRd0i3DMqIuNgba2LOePhaK8j1dtRZFtIb1
deusB6UBd7ZGMBSlKRuv8VoyGHz93pTC9ljuR3y5HEKyIecgWt2RU6aW27WOe0nXKLYKt0qeB/i5
6ID+/O0w347F+Zxc0xWOwdxAOP5bcVhiaIi52cXvrcTmDDRrhQTBG9dW5xygcNZqoEaatIfKXPfU
S5nwsmQ6qocF22z1EFvEFW1shesCbzn/kzeL/8bJLOPteTxkmasye+4ypjTjzJr+UMdMwIhkIV1h
G08E0ii5SsNsE3MO0FrJusKjIXg9/7D/TqL/ahIt8Of/dF2EL8PL//l6Vp2eXsqv/+//3nRfaal+
mUB//5Ifwm3DecfFQXCS6a/4h/Ux9dsEGkHZu1VMubogfI9FAxuIH8pR5x0dB/leaLMBZCPs/l05
arzzfZ+DnRMWqgXZi/9EuI0H4teHGCqNdYGEEUYncYEx1psDO+9Hlc+jn95mOYlzPq5wfWmDjiyy
Gz9qhLgTTotNBHpU1YFQIjzVDuYpdTZ5NNXzcmrROzM9IwlylT7kg3WfeAwZl2ebCz/XNw6jg3Uc
nR9iVenz7UDSw2upNzMtpNtXKRwMIyF1wsTMRVdQkwzuTfvaF/G2TNrsoswq45uFHgAUEo+Rz9qq
Z1pg1164uWiJC4q5sQaAYDb5K/uYuNjQIqaaCOoUc3RlOeMYkNtR5oEqms7m6SO0J1fXPntgP1m7
00lUDOhPTjKlxxTNOLMVkR5d1CufZjqTrdAZ6uF+dJL7zvXyBKDaIm+BkkV+2Jhz2W2thp+YNAFF
TkQP8ThEf5JctlG+i6cUk3A8O59TxOZPPUSa7GTjhQ6ZpLs3aaezFpbpkjAjIIlnM6AlQVPkLz6O
dZ15FvzuAf0Nn4T8EMm6gt/tQx2VSxQ/uMKK/KCvJftmycs/YmhNLtW8UI6nqWHvHbGQZV9Z09ZH
M1+B9M5KY+dSC9MQp1bzLLuFPjVuWdl77lReaH3FsoEks2bclJHybrx8dsfAKgSXRKZSE6XOkgAP
zOweP5xTuPLjMMoWvlbHlbUx86lcQr9IljClrtz2Okd9qWXJN7cr0IXEaX7oUzHu8MA6od2mBNXX
iXvXKsGMoqKeDE0S2+5yp+wuZC0wQpatcafZ/rytphLtg3ClFnSd7bzOpFKEC3LrE9tRRe7N99i4
WPpkyLWV1lyJc7Kc/j1mDtzQTOicj//e87Zr69BAkkhARIt8pSioKiUiT7cYXlRBgjeYirzs0XBE
Ob7VgHGL58EsNYQlCOvg3bsb+5jPShmT+4CQImVWTH5d8x6JiQu4ribuTyZr8l93TgG0lsXtQ8eM
exDl2HKQpTRx8lq2rmw4/F08foUnS+1qApPdr56v+tRrXno1rQGFTlTNL+b36MI1xVCi3JDH5Rxx
2Ndm1SEBcvSEaPbCrJk/iMIIBkMOxmY+pybqXenuqjhNb2F6GcTxtFMCbQtMNnd25NF6oxRNSb7K
VopYQyLHdKWg5rehqQnwYwmfZthM5WRs9HPQQ3YOfUCZRwBER0/qXi+qnE9FT1ZEx5giTGK811xx
QiMV3EVQXGhuetJIg5wAtK4JFCybyZAo12AKE579fvCXNr4Qeo8EDOLGHU3+F+2cd9Gfsy88m3Tx
01BbvdoNLYFCu3iU9YeFjD0ReHTpj0p5Zr0XUdNVe/5PBuo4T4bhwEkkH8AQLvXxt3C3ojCdPW55
kqbOw3qrbrpvMyK3M/TESu1ePUy5OTWHOU+MGlWsJFCw0YxLq+/1axVl5p2g5qpWH2pWbrOY08we
URbkss32arG8iwx0SR56s4YDbzFWnAUFkgr5TkCxvajfFkYcoajjs6oJ5cEUb0IiuNOAh0M5HJMi
dPzMvKwdoossj/yRrZauI3aRYM0C6p6y5ClMPudcxNnnrnWzl0wftCdiz6aPvb5M3barheBeE8sU
InWwmEo72nDs4pilC312v3WAxXeX/AGs/Ia2Dh/ZpjaSGZhHg3AhmDBhXCGx0G70IJOFYMQxOsnG
7B3IcrbTxegwp2Y6aG230njA9UP/YlnDnqWumtHD5RoVjwbpRO9ZAj3TAThAQc+Tfh9ewsEhr/DO
sVPoMgMznMFM4DL6jA3ZiDAOhIsXxRuQZ8t9FfXiVJQmWu+ywwtwDWCjvqYdd7K919bWh3ZYPrDZ
YEA3OCnlp5FGBRXVpA/ooKaM4hGi8pp2avT3qEayjnS6eYnvjAUxFMM1UUglD6XlDi4jTwG2L7pg
mDZ7J3A4xu7feupveXHo1qkw/vtm/yZJf7XBff+C36opT39n02DqPExce92+U5v9vs/3IJXTyeGw
ogv9meVLyUSFQ1NquA6/sLT/332+926NIKGEpzLiy7Gz/AMfjvF2nQ/4yvCAw7qIByjv3voa4LXE
PFNsQACL3kShman8PoEeeGELMW0saffPFFlq13TMkI15iS68AiWsz+36ZFcs2oWT9c86otvnGDHP
X9g83k5MeHWmzo/PCzQBnr1tLP3R6yIIeuKYTaJ+sRNBegiJjleVvVKNWjDWe7/Rp03f1Ln4iz6b
ecivhSajEupLGiXiZ0AQn/UWPw8mYGUjNRjT9siN9aEkSZC9ypj617nf1U7oNLZ7hZu1cnibHPdy
EX76ZLBv/7SoSr26Y89ouiH97iIuwL/nzljsh6Ib8y1CQOfORRcrNwujzyNRWMOV0VjNjspNYIWA
oIFRHwoiqubyJjEl+nMXzSr2PaZtsKWQto+jInbBQ5fYBhY+CvpIx/wI7hHUJCvMgDaSAxzZLWdq
Md4nVV8xmRYVS8rB8ij0kL8mG5RSLEtSsdIrOg3Phfs4LqojolK1tHGu01SnjlIH1d86wetqazpI
2ttNTgAIBRa1FD7keWohW3HKknJOUq+5yA9VtuqjNUDDV/acRXg65PBMvbsmw+igXAIYl8tEvpjH
fNPK5Q4EjbNffDNlcWHCsgSL3d6vY/M7ZNKctlnc6h+LmviqmsO2Cz3WT9t5JNFkN2GmIoGCW+l+
gTG6AENsHSwlbK4eDcq1bTW483gkrLyIQ8Qow/2Sjl6yMay5jyCwGvqONWDkBcBekDXwlGCfthWx
si6B1/KcjOPUnAkvZczLapNHSkNy7cGeTFMLCkHhNdv2BzeT3jaxneo2r7plhyLGpCKD8h+IboBW
TFajsYOLS/7vMNvoP0xtz1oZCXxiTrtcT+GPTFPIneofse6V9worBi6DeswuVObBC7MHl5BQVG2q
1NXWL5qBfMSuprhgpKdAVZlMQ1kILsNmaiuM8kNmXEaat1xQYSKMz9ap7JzMTVC4dvJVzPpEUDTw
WULgQc4wOcA7gMyXMGg7rcqVOdumAa5W2woct3OykHvvAVE9bgGSvEeEtJBInPnB6Mp0gRLmVjQw
ERKTeJMtEVxkjySb1ypj0EEwTpfB4qrnV9bLMK8mskgnIhexmurXfet36QswX3hBfsVM4YZqPbpQ
o7KOhW5l04fVz+NfSdusXxRCy3ET+SOtgGu02vClisYMCJ9PkbVxhlqk22HsKm1LoSiv8acQl9fr
7mBsx0lT6YO0aikPQEJQ7GrRyk2rq4483m7EsfIJQQWWXJi3dsVszSZyMp5z/aBYrPEoGKqrLgHX
F7YsBV8IQCOjjhkWl/pCyCA6hvzecDk0Y3KBDGIY0uomU6N7MkeCZYm78flu3fqzySSyH7pIGTM7
rT5aZ02ifx5SJyNqJp149UsMY528M3VI6xnmAyGqH+eJRKLAt6lgwmTmRqZjGVc0jb6Mn/WsG/Vr
GAm2fvIj9BO4aJr6hSW5b4eUSgrbB0e5z0/OpmztFOHLcI4Ckpiwc5nqfQGsgxzJfLZU3gMWNCMC
PnkSGPLFJnpOby68KdX5JccvI7iOpBELynJDzdOHKl6KFDAbZOCXUQ4ll06ngMB0yjm1vcErZuZf
a7t5ZAYekFTT7FvPLG7Q1OCHIV/TxARlZAtrp5i5al1zY6WRV9yQVtmWG/Ra4IzIR5yOYE0HE2XO
kJRXJaayjCNRzVy7ZYPaDAvodBItOT+0znY0hlXfuZ/Yr8ySNKMu9zcFjb0Br9uROjG10uuCpHXn
j7Wh1afEkT5x1g6YsYgRyDFm4bXN577+3BvDk7XMznFie2jv8YLMd6NTADbSchFNe49VOqxhAgJZ
rtaE3wg7i3bGqOfXiTWBNCGDu7pKipn9M2trBynQaH+x8UsxBLSMZFfP+TYza9JrCsTZVwJX1iWB
Y8nV6CpSrYaWxc7Seo0NPbujsNeK4eizciN2qI+0x5znDNg/y5eh8FsEwUjIXRO3Ww/IGKEbvbAc
3Eruq9mSnH6TQyo55zhRFLEtdkvEgd+XVv/8b+H4dwpHVgnGnxaOD/X4XyShv33pD0mo987mr3IR
FSNoBhj7ewVpvWMUZiNbEitFYf2dHxwF8LLMu8l6IKlBmJSYvxeQ5jtdeLrt4po1KKuwhv6DApIU
gTdVEoWqbusM9gAmA47Q34zjxtTkeZelNfEJLoeZD1d/3lRVilUC9MDOqUwBTDDOvDsfvii3BuDc
0+wsdTgRN+eFHd4LVIap9ez0ibyFhlk9TL0TfcLMjaeF3UvDzljZh6ZblynEDdiXZJ3XoZtXBEzO
C7OXcCAEhSMUsIR1xWgrOeVGTXQ9LiOLuKu2IDjST7k7OimJe8zpCJdQTVn1rS/XOGbXl2KXa724
IWQdA3MSiY1WL5O21VvNuqCZ5nHIR1CRk2MlJvC9pYdEUkvnGiYt8ViDiYBuJKn8Yib1+ugv7JS3
S9FOH3X6Mz/EzDF85bsY1FCiorKLRnK3eT62kL9cp5Df9X48NB1QfzzDyJfRZvuQQktxt4gAym8p
H/gBDxJ22MpGYGaoNHpVEMkIGkSG8NwottEbkmf6Z0He3XM16/m9n+s4RbHq3swjjNuGovBm6LtJ
Xi7tEtuhYJ3L+C5xPeQ6ZWFEDEDaWod323h3S87rap2GNzIzoqhch03REohsce9AkjafjNjzbqOC
rUpA0agbYeSj82OcNtc71ytBdSr3uECqvcmN1r+1yURJrjLyHg89799u4pF4VThpu1dJsq7TffLB
zlan1K7qB7Qs3p2GqOeUUSvgmfNskjjQ5ZVRh3yMiv+IZMG60Aq0eBTS9U3etawulIDU6LiZwTRg
nom2xTYWpvQY/YF4oYGf2bB2kCnbzyTjtB87jsbnRodUtvFVazvradi/GlpJzhqwJaw9s/TvFmZf
gZTCfzC7NL5bUDDHW3/pNH9jw5s3o6VnjUH3j2CCUvnFQxiDV83wr5rGcuPdKHVGRUtWpQfgkIM6
YnY15T6NRo14dG2aUTq6JQIxNvNoMUhYHI6JndsUn3Mz3lMU2vlVYi2ohTwNhqfROc5TZUhxnXzf
izPyZEnufd+YO+f1eQwNn1269ttm/bxml+eVO+6YtQ9YF/Fg6VnK5+cFPYvSdVvvuZ63i7vzFh9L
nzZcDOf1fnFe9ZtNz5Lf5p8uqFY1gBvF2oOcu55pagTYrZwu01U9kCAjiFY9QXGWFkD3WXUG5nfV
QVzqbhW6qxrBtqh9U4VgQV+1CtGqWtBX/cJg6cWxVfH8Ph3MNNT8pL6mtWm3PdKHbNVApIT18RzN
TFCqOdfQe8eJYufA7a09Ak6N9nXXIagYWS81NE/oLNJVcUFSYgyPHY/6q13xGqBJpcgzptEcQzks
y6WGp/dYj7odSr+6r5V3NWR9RBdq9Bvfq5eLOc3GrUuO0lYMzFSp0vYM47RXW3HSFBEpiREwYc/I
9jJl4iUJoDoh5nxAREzWRjyvtbn93ug6SpKReb+SY32Db+3egJUcTJ3iY+tR1AA6XEW2+Bw9Vpg7
FvabPrOrS71q+q+ZdE+6MqOPbZeD18T391Dh2bnJprrfwJOn8yj66RYgI9C9dUU5p4ncC0ed0tYD
Ui/0YZMkfbGTRo5CT+OrjFzmWGa7ukGYoz6S4G1vEIjdqKa7BqobUVGCzwOq3e3biPVK5mj6dddF
843TFx5zsvozpUe7ZzbtbdNIRjvWn9mmiux+UxuE3Ki6ZnMwTdpFhob+UhYo0UY3/rRWf2FssFbI
XeRX5J3CYh3q7pmojPmgl/HwRPjkwIUxa/u4W76NnQMxGI3Xduhm43EC0PXJym3yw84MMMroEgCB
Z+rH0aGwOlilsC8rZO47bJ8UvU2MrLPBp3XhRWwzF01z78Ym8fep4tGUlXhzB1uUXBWOck+yb4lM
ZNEPkNNr0+GezU703m8x6lp2GW2Z6ifEqnjt56oGPRyoJc0/NKiXqP+mLohS09uVqFD3tZowJ5BE
9ux3sYZZAk9EPVfqVDEJvpTtjGMIu++dxW9c9+C6b/o1iZHNrL4hUG7cxT3ldEdgwxKAZM2NC3vJ
4is/Lz3gmBXb/2JIR3eTm1a9ulBTFYqZQYGNQXIzmYZ1ssg7CZiVLozg2QLsXbqkvdu4ZFZ3MV1U
E7N+0kbt/dDo/TNXXNWG6Tg3l7rV3TtQIO8WNegnKyNkzSNJhLkGl4GYdzoU9s1iJOJgIvTC/yc0
xtBu9tXqRfkVdRvbXiSu6HqHaLZ5Djqo0l2e2JtMtuRlMlN9qklyvE/83HslvjLewrUE0RKZnzR/
/JamVfyBaRnREZKUtl7YT5WwNbR0fb4xrRz/toGCSMk2eoo7sV/AuwKZ/uKZrb1XtYDiHilmWqn8
ICfph0NRm6Hrdi9tST7HZOnHPFmYzhhm8zWO3AnhvIaJEB3TYcL0V29MJeH0OpFxCwmj2+b9nN9V
hnMi1b26KhnbbMvBxO1vskQbNnPSzc22N0p1iuUQbWEtvY5Z8ijrkFKK+iJVZDTM1oQiDP13iLmT
pCt/PVxzu12LmdbbDILCf+Ept02qKH0x8/xRM516NV3rn4A6sV1PPfcrvu97cFHfiM0hJz1FFKe5
Hyv0t2Fr4wFect298CXwxgaoX+BapM/Eqtkpf7wgAzbi7GyaLaQopv/xZB2yRZZHa2qOtsRFkDnG
UzrL/Krgmgco7Bg7o+v9vZkNTHz0bA+4uLmoh+VBqKTfGbDygwLsAJgG9YqQVGwGa6wfWBDhIO0V
73VUWjIkgm7aYo4fkNL25W4ZMfB2mvclis0PqFijj3prWzfMQlFkefZdawxcV/aX0iwNtp4jTNYk
bS4bGK+rr/GrW84b6gIsN2zHwpGXhNumnw9eE2VBL+DHpriRg8lzkj0Vi3uPkTYO6cZACFM93piV
G912UX3R8aHXRYfkWz8lsgeU6zZcooYXsx5bzJDsZuNkNdkTDAvnPlqScd/MwC8xy1agRBOQCVmP
HXRCKwoMNhA80q+0tndCOMLvByTua7HZGtUNXSyJCbN/SZf+jSXaoTVL0A+afhPN/Y0qVoz9wLaq
d4OsKT91BRG4ql8e5368bYzhZtCqa6o19DOOktz3qFglLFJqwDHekGrFxgqsKiMl1kOw4V1hXzGW
866csiUGle7alIwqAuSW6tYEFXD5b+P3txo/S187sf++MXj8WlVf+/7r159FGNb3r/qxNjDe4f9D
JMiY3/294fN1MtFti50AmwNrjQ35veNz3iFyIo1PmDrdIo3i7x2feOevKwYfrN6KLmXI/w86PiRd
bzo+zwSCZPgCLxpiDkhT/P7PFkDZ4Wye7eqokbNtNPuJCjCb4ELPs0n+NXVWsAqR5qth1cqWfStD
Y9XPupyqh7YUaRDZUV9uaVsJh2jR3HJA5Vtn1eHGsUPq2Nyx+oud5UOJAbwNpWVbL/6q4jVXPe/o
25T1q8bXjdzXsWpQ/VoYURhaxiF0ihZONepglK8jliNdp72zEA8rf+l3NlXppqg8xMUZu1iB0QJX
YF8exyVGJJ86u7Fnuq4Pk76ZsjS+MVbNciXT4tFkioN5oxeImtnN1B8SY2z3JiPFCxKe1mLNdJzP
7KYRRS9ngXTJ4hLktByecjToZL0r/X6cOzOsCvduGg3/Ws+sNvRKooPwXSPR5Sl2UO4IvTjlrI0y
vdtjQqoOcwr5YtVx103tHjuG2DtHI5pKcerfVK5/EVd5aNdLfkvaFocPVrPAkLO3ZfVQB2OOdrxj
SbOdW6FvdCXElZ8t/XHslXaINEWrlCfaRdFXzTY3W9btbF9XFHh9jU8J0XrrachO5nl8NKBVbMnN
cK/iqLT3Atvbzmwtm7+1V3fNZPbXbqrxSBnNR2fVyku67W0/s5KI3Ly/UznnMVHOxc4BpRVqDYp7
sWrvR44vjGqf9DLt92xDssNIOsAem1f0fvLSekd8tvOKziGX1/RO2XVsI5EpzrL/ZcEB4AHUDlNG
Cgeezt0OAgdxd4gVSRux0f6tPgJ8A/5nr6vmbyTY+TtFtLxHqY5ckvsG4ZCc++JKZs1TMhrZE4oG
+aKxHmBlrGz9WquJq/M0Hok1ciBsFj7S/YacsMAxcUCQ5+tdRKsrwlr9EVixn5KzZUKzRAsivc7v
lrol6xZ9y40Jy/dStCnVDAGyrHZTOk73MGrAKHddv6ps0f9j1lCrb4MybpedrRxqBY8nq7/DPFs9
2tX1gXOFGlv5WEEYtujVpjDJOrRmNZnQC3CSUYWkwWKq8pbp7AGNaB4kY9Ved475Up9BzO0ZytyA
Z3bSzr3HFbpnc2Box/47x7kYKPjcYPLnyv8CnqcF+RxBf1bMG2770fTKL/4ZDy0ARVfeMD7ZzWLd
diyoqIsK9koi6rOt340o44vKv5hrYiACP+rR1DeJ0+At08oMXoOc4kMj3Lx7MkkkyJfQ1nMUJSFg
zRpKUG97vYYKKjP1Gw5K3vdyatQucjJGJ1tSDPWPCkTQsNFx0ZxafCbus86crMXga0vjrlr8MXrN
orbH8qH8gBMuSBB9gP2kSOHKtQGa++U4Bz6ArRzi1wpK0Ac/+wxfX2oHr5qY9Nt1MWsBkY9jHn5H
U62VgLieiYIEEQQ1LWd5y5VCCmF8NJJBn4KqRVjOLkq8MmwY8j1DA/QarmRvEk5aCkl9YMzibys7
51sqkDRokRZUpRYiMTzJfYFcVJ8xNXL2MawdcmQpAQsBNBbEjmVWMKV+Vd8AlTFrByIdyO3hEj+S
rYc1gaow6BYXs2hSOTfLmhxhr0ZOneACvCk27/HGwWL3CIHRJKQJn0iQ1x0+DVX68x4+qHNd+aI9
5qnPfb/YUWjnhRg25kiOMu7sZE+Wnbevky6/rcziSsVoDIPOsOurJVkzHaHhMeMeBGkS5L+uOowU
N8ZYjUhCWF5eeNhxbK0ig4numPMrdtJth3FF24EW1R+Inci2jtkrg/ANVNmOVlUnZuj1vUeMwmlw
mLYxcTcpwC3/UiI5D4q2M0I8uPF+6GgTAqXGQg/KXskvrWw/84zqTitjED7DKmxht+EFpt7qD6QH
RTuwbt6TDT3rTiCu4OFQFaSruf1NPXiwTDSpX0xwTL4obPy3MjLC3nXiI0dndMDyon/IXfIDACt5
HyfSgGrYWGZzyOx2uXSVq67hAHgBjqM8bGaZUc1bNHPko5zgou2o7USwDLrKqJ4T9IrZZIltRg1/
i8gmA2/m7/uiap6gQA9H6UwjWupK7QnmtlG+GQy+VI+SaS7q5AaTMEnb3WJ6lzj9GhyiFguhDn/k
zPdH2ivswDSYRMZmlNyippk3k0ryrcj8eO/wA+waTK3YcWaRcDQq8cHCYMez0PabF0ixw7XhKuMr
85N6Zw/IdnKCPw9O31rP2sL3M/06Dhu8ojvAbQ1UqqE45frcvh+5D69p67tb/JH+FbidakP7kF3R
iWHOBtV/IsMCk5RZOIdCTZ+IpUqvpEiS54jxzCkiM4a/pHeoBEq1BpGRV1mXln7qF/RWm5Q7/9bO
3GUPbrp78dyKTFQnDy1a2Luux8sViNJzjiVtFxq+RF0aWV5/nlneBs1S6tuciMxjosfPEXJKGgq6
cMC38KuIS98y+e48FtlQb6pI34oubq7tNNXZzPTwqnj6A8ohCTQUNMVZsLA/AtmL0xMhHtNCgSHU
15id9hPJFpsWrueGEYJMgyo2CW8tPdN1MBY4RszfRn4QZl5u6m4aQgJy7RdzoZZfcESz+tUzToKO
3VbJXcXszH2wcGwBzYEzl8bJY+/IJr37t77/W/U95FyK6/9e3z8NL8kvpf33L/ihrz7Tr3VE1PqP
/csPRZBhiHc6XBwfJeFZYI2A/4e+mq0NYTsG/Jzf6/oVlq3rFoseqDprxvM/qevPUp+f4DyAcnya
EAsdkgW31nkLzanpJJNasjH38farfOPhx5I79vs80EphHfNlWU3ZMV7Z3haMyKVktEAFcyvbqjt0
LYpBOtnllokmfvIU10kipX1bcudTQtXFwjY3D6xZHwmQKkuHtKh7zZX4BSnpJ+C9Twlho2VzGEt2
lQQys6cO9CLSbvxSIPatu4y5A4WPUXvfrMbFl3CYWY8t0zF2R9Rzx8hdtAxgpddOD83Em/ygVdQZ
20ZA/9jG2dxxh7sIzNEJU27qfFsOvUZ3uE1M7nlMHRJXXSkgXgDZPoECSfatayprM1dO9FiVJqJN
FJ0Hfqg6JJpM+zwnZfroZaLD1FYmGTUems+la4+Kln6X1NH44hs6IXI9/vYgzTsApJT9G7+emKwC
51QMDi4yZka2CyQin9k3z0gz2kuY3WVlbLLKW05JnE/acZnr1dqea7F8gNU/Kj0ElZExGGblY7p7
E2H2uJ8ivR7aAxityFjPoXxq8+XeKfS0u24QINP9BGRSmeV0/PdE+DsnAhfSn256/6d46fOXn4+E
71/x40QwfeR+Jh40qh5cFWtD/V0jiAfjnaDP1n1iP/zVXvG/B4ILDh+F2nnxalusen/v921+y9ax
91iQ9AUuiX/U768KxZ9Mg+vLMejnCFcgElfoDBJ+bffR2csSwpj4muiqyb4BSIlgLNLra+0QDgOq
o/dZQfTjrpcWdt2+l7b9ZYmKproy8H/ho2400qqDnCaS0TiAz5X95hU84586HbG93HSicRS+Vqx/
kEvxfrer+LAYpbLY2IyglpG8NW6HiKrR5ifoXuAgiowAdi8UBP8yOFVsa7w9YwBYf8GSZrbfbYp5
DZ/eVVPWN+mG4KYIPMdPJ/t/8HSuK/1f3h2foAyoTOQVOJwbqBR/fXfqHkvl0Cv7a9PPk8/dFrsJ
I85OWFZ+7cdk5mkMxZFTfWsdkIWPAtsNL81Mxo6fpzLw4j79+Us6G2B+P8hx5TA0pwEXpBtg1sH0
9etLYh22lDDA41fySez8uhFpnF8oAd6WzkFzUiLGSzdl073Ofb2ROffS0NtlOirKF1CdkpWyO7Ku
uyh06OnJVkWxGkNVLHwU22FQiXqfdE6kLVtgmK1zUrjO+WOlL3qKTx2OgOv/hRrzV3KcwFK0XoMM
m3jY+Q73wq8/U5TkS6rlRfVVnzXpPNjk2tX3Jc47dfvn7x531M+fJ98I1efKbrMNjzfPeyNnkEXZ
+gow0St+R9Yl26aIcoHZR+cOXyw3EzdogWyLZbBjF9qwaYzYne5zNtbZtz9/JTzY376SVb/BKM+j
kf0DTM7AjqD7S+a8Tr3XOSe7kdkwBF2pAeW6AOyjbOefvsm2RSLAOmBEbsK78OZn14xYc+vCtb4U
I+HlMsQJy4iPmTm0gvkvvtd6Ef50kfI+oxgRBpM3Tj6m+G8+UFQgRU5mlPm6GDEOm68mD8MkOUYN
kk+oMMz+aRMlXqi/Qsf/4UrCM4ail/+YHh3W25QZzAZ952d5/2XR0RerIHMLb4K9oaW8u3/+Cb5R
V69XLXEJaIAd2+SKQgX+61Wb1bWRz5NZvvYoURjvgDqvngpz4IzCORVHcXOz+CrSy6s6pcHQt/aU
5Op91ruoBgIot9GCowiRpX+XZQ5xKZtkWlvrfIo7Tx7GWQgQg3/+ov/wwaB5trHreXw6uvGHMhCg
m4fkTa++VHLoeBVIHPLs22RIzf5QAyWprTAqp3r4S1/zHz8Yn0/FdPDJYpE33h5bkYaPD7+b9lnZ
mmECSXbtFGczcP+kY/mJdaQvDtwmufsikwKCYdh2XefjitIWc3pMSzV3qxOK3u4zs+KVPlA5prwE
FoNTNfyLd8l7e3vyAl1aMm4TwmqYvL/5bG10GfiIuvoz3itMOkHmyUHdsrLtuKgUcg857X0ij52T
ZkUpd1MPvpSHQeVIyWHpY4KRX7gAy+yb069MSR5/wGIh0xsAUr59P4CxBnG62MsYOx96NJeEwEwl
ybIE1hdDz6dTdcw9hrBi5MgnklBickRj5aeSx5m2FN5dlDTD8hE6CSVE0C4q4r0wwc1yyOsqddps
ZwrwuHMA5pSouf/P3pk018mke/6r3Og9FUACCYvenPnoaLYk29oQHpkhGRP49P1L29W3rLfLb1Sv
78oh6+gASQ7P8B9U4OXVt0ATTzsAy+N+vWf5R/6HGnry+tKtTc49OiqPKPQ51G4+oN2l8no/okK7
vqyDkNPT1LXB9Njn/I+GiZazg2zSNGh4Z24KUKHdVCLNimWbCwWgCqQl30GKADw6TQ4LBaraR/QF
rEa7CQjs+Qh2On0VUN+Y0+Fh0NI06Jd2ztmCexwCkwVKU8SlrUxHfBzYmLkagbIKbgXSZ+3HNszQ
eou9qc1uSrSil6OmLVFf0tZaxqtxHiHDbecQA6oFeevMWS4hGrYclnY8mDOzDWOqticVtkPvbhuv
VkVx+vUAPr1QHhVkemRg0nZsMaC+XTP9+jkxm1hZQeGs9m0f47m7hw29VDm8hSLv/vkdrWpxRwBi
hZ3clikH12cj0tUAvEaa1lx6VhSXroAv80xoDJhRpUSsGTlDgOQDWg9pcYVZ1wikwUmR9QGfYEmi
tkXhOgLcepEtj8dGb6ZLEw2cWqJoaiYN1fW8ekRbqZHykAv6UMFGUWZlTSGBFzFrErcreWcCpgh/
RbEmlochGYoQDJaHtvyXtoLMpGA/Tbmx5WNjdOJ3YYk9VL6jqxGW+hwH9QQdFgCuid1yZxb8DlWT
0jxEHqHpf9Pi31Ene7RZzHuX7sQusO9WMfEwjRub+duJ1uOnJBStmK6ifoKFsmvgX7IUxhweMji9
BJl94jC3GbilhafnP/WIHnUOPDal6LcNpGQJLiHZER31FROr0xRARsDpuspCE7fFEyL6t70XMv+p
g/PDNhKL5LZAsZkxbqeKEaREj1A/gqvSzLmSEBAdiWH2GJ/EDswUNaH19KRCVHmeWgcKzQBqaWBv
IHRciTI8nbHOl25ZzeaRAiH5lLeiM0vai8yXwrulvgfQl7ix3gzKEdOTzAqXUcDQXvWoas12n1c3
U4kHjti3gMy5v5VYzMxqkWXdgK9EtDr+aQ5LfLl3uf0UoQMQTTvIRtLsTGlJMekQ2NbBRxlOicNQ
oN9pg2gzitsJagrrvb8sM9M/7EPkPPZRhaFfTaCgm+A28DGZBEttG8b0FqiIyO4aID2A24nVzRuu
s4mOzAH9055sNuttY2RFroxt/HYu+97SlyLuEb+gKdXzblqPxo//qe6dmoep43xJmncRVByvvm36
JjJyXijx6XLPRsx2sx+wG1zabaLGJoo2I3E7JBMkc4b0FIt89JME5Uq22eDLSgmZSjSb7WIw8Tm1
DQqgXYpQWXJdgENxJGk8dUEmT5abLUUOegHQWiyxmZfA7nvmUCwyiDKXBhY3v2tdegEw9nzBVglk
iFHaVQXvo97MtuWM7W2vA5ctN69bUIj7GpUYzoJmqTTfFbW22QVHBp+Za2cqHibACUrzSVKYlt8N
8KHYlwob2vJDhEspEynF65btSXlzwPiBPmR3mBhF1oLjDj0TaoLruDQoSq3t4l/CJWGmh2WPkP2F
DtXIpT0HDUt1YLvkOJoWJTnlq9hXrLzQK80hOwxjy3Scgek0Fodyt7A/LGFqeXczAhmIj7BFofin
2gGXlX3YdE0HzMg1IZZt6WL5UoUo3t38ykPY9c3g6KZFFfRYdOyq0T5Jc8ShzmO+rh2IN2R9dm2s
6xhG+xi374wy03LJGg7/ZT8tGieyg8w17IVDU6WShZ1TEWHyhBheMoK/pnWVafO7xYOI627XbDaB
c9AY7vO2R0dlNZrq9Lr3QnYRBqNEoonN+rTQWRm2XhjTpt5oDA7UrZux7e56VHoGmqyrswSvVq3x
zraruXwCix/R5uzQf2+vAogtxSFoplF9oS7UWpcOyw/vJuZO4SfXKmtfM/bc9VBAmym/enm5dvTd
IJJ/0qtT6rs1smhWYKg+NBclfK1q4J115Ktt6wmvh5Ou4QnfIm8S01wIKrtyrkXJsbqPwwGyWMs7
AoeF+UG75pzCE0QupOiLyYT0a6cX1LDxCXCjjeqsZfiILePovQvKYfHg77S03izU/NwFyXWMHzCw
Zp7GyXAeUk6ycisRm17XXZThS4HOggsB4zKzOMYN5ik32rYdEL6RTPCNJ0Bbn5LcTRsOPgwkr3pw
KiGSdoPrbBfok81CuW/oo53VuBKXOkSCoN2g6XWSrhh2IJL1eonh39pHR6Pke8AB3KnRfpflmm3T
WPjWvSqaynuGdQcl/GhTHVTtPmrseX6ah1kMNxZa+9Yjjb4eFE7NrN74YGg7GihTgm16OUBxUsdw
9pN1hlsiVbCjNlcWxzgbUEQFQBZWKDoUjXDTrYTZgrSDU+Vh/TWl6jnNO2DbS/sNaogYx+0oadTT
iOr9wT4Ocd36lP0L24fkFldWEdzSG7OK4jgFirA2/ZbSFR7AhTeIfbnNDsPfZQ32gRgEXczO5WFy
xIB/RN/2ghe080insUFcRzeZOVAVqEHlP+vFV8rbqVh3MSqwWKwRoyD54hONxXRc1KEDFMz8hxOP
NvKxE7CuOVaAG5vF3YYmfOw4wFkOqReYHa6Cf8BWkmFOQ08sX0qd0HQUvdLhBVKURUgKqGLi6PHT
KueUGWo/cdfjgmrtEB9GvzFxStAXJnMAlW0MkxbKuWV0RE8yCz4gcFBzK46yJE2txBqoNaix9dkm
oa4Q2YeFxSgdoTkQBWNZYaLoaKE67V/yEP1MDclNx5ozvILNv5+cOljFKfJwpupOtUvGb51h/Ns8
KHFJSL3J96vObIhV6XJGI+7kEZqACBgYIFVLc3KGNGu50y5JJdeGgSMbGPYeUkfltkHvgi+zkUVg
LfU43nP/fZSbfbLwJGIiWzd3Iu6ojlXvdJ+iLjLxahTjqvTiQk4LPmvd1g1ybLmsr5MmnzgWB6VM
LFUraUIWbLDNGA1NHQzO9xG3ySLaoTs3jahTOTV1g41U8czYRnbnM/zs4VAz99DfKPcEVJs5pX6d
YBhMMY7IopmKRRBpc/eOiC0GUkHgihpgyridfC9HLJ21QZGbOxh7C7nI0z9HYm1ZQviEiJWIVNaw
Fp+aCvcFb1fAsAvpvlmlmYo03ZhufjXH/oeyc7iZn6+RA9NxXkj/xuEpbGMa2weBVArvaOyhjnTg
KFHOTe9Xndtx9HEqYLUXJ/DpSaXPHuHo9ESp3ESxqGeY4lPX4XKQnvEMMkGFDbSOEFy7yEIMmzBo
mSwV9TpnxhnD7iTA/4K2OJrZsYnmJ2QNOv9kI6s8hffrkLpNdh3E0uZ+lhV2XL8XAjG5FtQvQeYT
PjFmibQV3NLbtc5bPhDDSiZQQzmX8LB1zAQTMYRh99i6EhlZYw5jTtd0mhIOzbHRBKpbIRRRYCA6
E28OgZmPcZnnRNY2I5B/j1dZ8wP/bz5NVNKt9+hxS45LJ+W+XEDb0oSGUIoTE8wDRuRmfi6PYvB5
L+WoG15qB+pqqK7FLKbkdQp1khl9b5Q7WNUtc6EEbUFMgM5Z55m5W9ZuVN+g8JnQY0zKPnRwIh+q
ShDU6mbh3WL4U3Gteu14BFtNmSlWABPLd9HUkPIlEse/T1M3ZqLa9MWoBjaXRXvi2tPOUKA+4bvM
s8p2TRKYK5+MzXZm80J6LyK8JPHkPQ+Lvy4XgWTYckEhdZmn4+yKtvg0pQ6uLtv4Z+TTJ/ZErNE3
IU4xx2yOCgKDXxlxuNbwaQ9zktDl2ddJK/gpIWfp9otlWfMXENbtem9bAMS2IlUp6ciUdkkPwiNQ
YnwKVhQnLJyO4VLco4Rokm4MNU0U1s2OSfJl1JlAPlGwop/iPk54a0ZPgnB9DhECAUg/+TUxSuQ3
6wujbnbc1WnJec+tVAgRmvyB6RT4XJ7SHvBkvlaxJwcnhS7yAHVZzkz9kxM6KalKERJH/Vx69VSa
0Kq0qghukrHh6VGfnKbeTIxam/qRFYvFTElph7q+s72ZThsDAn8WZGhkDQwkVHKzxMmW6V0HQeEZ
uQmdo6WZ1vP4EMxy7c8hGrvlKexdcgoONssjPhDzMLF1BmXR8DWRN4BOPeZtbSJRt3bZxemY/cga
0cguWKUt5Ak2KQL+ERMxKlduuY+SyWSBPxOLMl7NTTfrrJcEIftgAQQzhMiMX3lTmDPRSZJsZr9O
65pXmjmjufWxnjkJ9/S94mHYAzfwihupKI7wwXVhRi1ISTPXBl6jlW7nAjZ5DXYEJDKdgVTUxSfR
zCZDh49jdg5QgibQhRFuZuWfq0b/j5oRBg2IaNLQQQ7ibYEVQBkUeOhRn+d4MHnmlFqIiu8s8FQl
wkggIXilf77k26oaZSpcQXysyz1jB/u2zoruTh3aQzB89gNtujc/p0YJno+j6z+9FP1pYlyjJEHx
3H6DC3VhT68T1YnPmReb/akJPAE6e2azZu/687XeyDZ66GbgQesIupoAj/7aleptpy91WYjPs6jQ
6b+MaeUyE+E5pCzDtKvA0wHWb9g0RmgCPUWUqWzDcqvg/YDZB7pqqnCkvGbv+bkz/+p91B3myYRI
gKM5E2TQan768+3/5a1A40FKiMavIB0Hsft7YXhGxwiRLel/wntt5j44oExayOFKCvXnS/1lzgkK
wwB/AzpBCHy8rXcTRmVuTQD1KUpDMS6neAlz/eKs0iwR6FLgSv7m4d62UBxeDBBlRDvoJuBG8mYe
dG0vwoT6/Sfa7maPGmYW2/2YsbM/Jm5kzqw4It4nmFj4+VuJlW53x25X+T8b0v/WtvXtMNM1BThE
kZY2qe/gBfT7MGs0z1FwTMQrNQlSxyVNqVKF4GXZAf+zUXZhqfG0AvE7SQfpbfG6IDAMBcyAV4gi
srgZVGlS8wzUHId86pqo8c8X/F3LkaYJqpaUnWnyYslM0PRmBsHcX9lMlu61w7eVGdRh9MY2x6a4
8F7jri1nZ5NmCG5FW1n4KSfjn2/gh4Xsv3ZwCLUA39oCnDqMQF+4vw8uWWJaOkrWr22KgXm9p5e1
FnuqHmmEoNSPsGXqUhMaB8hy89J/FcUtIGKkF1WAlmZ61j8Hp4LVxhhR+l9YxQ1QFbKFtQxrjoS+
0E3Y70IxWCFueU4xsFtL7ZvDEtV2RAV2aWwbXCHeOKb+OsiR4pGju1kDUiso0cGYLzJ3OGe0lkMk
rQrLxFb91Juwy+qQnKeMnLXmOA9URmwje2GOeIVbErclfxboe0J7ds2icE3QlIfDj4jPRQlAbeMc
9CpVmz7RjD/mux2VSXeaJ1NkqQvKsn8e/rfLmn3PBaoD7ge03l+n9khmAVNkXT42aYsH5ClRsKqa
XbQOJgL4VbL+8yXNavnthbPVRj96NCFYAGkQB/+K+6dRtgxtH+qPUYKlkdijhRMUN34o3QJF797m
DmAcRiNJ1OzEJii08J/mP/98G2+fXMBot9k50UwyfIe3+o910Naad5l+LBrKn1dI/w/Vs1tot7t2
++H2zxd7u4NAzkZpl0pRIEL6lf6bSR4AoslS1fevU6vy9QUsoZkWea5MZPXnS72RZzXfHkqMnfBe
p/MGFOtNRynRs12W9eQ+Y4OAs2RM+XJIDgllVDLdLNecDpjKrhX/SAo2zMvZx8ecZM0Hh6go61KC
IeUx/XulAXRTRwDqT4SdJWQo4PhZFWmTp6asNVumDBAO6G5AZw8DUyYuKrojTxP8Yh7OKnzOoiSx
TKfImWBgklU5Y4Ejn2Wxj5aHurET7+bPg/BmvBkDkJhQYVw6kFBW3o6B7ydDVAXj/IwVojmZ8Ss0
Sw6YJJnzny9l/LL+dT6bd8rmBRMFz3Lq+m/ns24UNVXHi59Cr/lxLRRtgluDljJHE1s9W9DP3nsJ
SIdRqOfaVEl//dRNo6kQYNjH4PoeFHrT0CgVO51b9TEVBavIR2u97lmqAR0sVRX6uIiRhGlf1DHp
cYZYAGnJr8Yf3SLTRLLK3GXtrCF0aKQHm8q88NXPuYr1ozsuf5YmJocK6LCz/NS8ydwhakGgdGLj
b3YDztsmM/rZQmNFMndzeh6ce3FMlUNsFqfSlED+PKTh769PSpDE0rVdAEs+Z6H/9vW1PMEUIiT2
pZyE/JB3te8eXNqjp6AIlUeNP0UE0ZujyxJmZbxTHtwWnAHKlynJDEI+HGuapmj0RdZieBXp0D7H
5K/9fTn3U7pNw8k9ZThSVLTavkzKQ4Yh6PBZ3NLLCe4mHzf4FInHG06kdCVbT6diZ/W5eL/SR56u
4k7nPowLBCd3VA2LF2u1BpKDEs+mbR919x6nUnHwSkvcyKWbdoNa2j098fIForR3hQwjXYLcWMly
iGhaeINTvoKa8C/LnEArRmwCHQShOvnkcj5/UljC+psY6wdKGKB+YU3WNU6jYnzJhIA6HtpIHOws
6nYfMQPDittS3bvAgz5GbWqEijnmB9oEi9rW9Ivm7ayjDL0fr5quyrrZDzjaULBJ8/z9GAYBVXNc
q/Dx7JqnNR8piXmOlVLts7wtyNMHb1jszyiW9q8gtsFbjj4+4HNQXQrZZ3sPqeefJMB/G4H9vlkz
IWgrs5n5hAqeS6DwZk9rKP/I1jd2MdKe7zH2rSF6lc0AvrOzg+e/mX6/LeifF5MA5cwxTwz3NiKJ
V4/Qrovqr4EtKzBCs/3k1NRXN1VV3EweEpXbOWmqB1qEsvibeOwvM//HY4LVoWXDJv4WBzb6fYQi
RVd9hShO4ipKhTx4JRyAb39+yB/f9N/H8I+n9FwX4AHSfRzIb5PI2cVkfAIr8xWJTtaMcDkuUEat
IBvMaSkfa7eKHzMUgaCtlH6kdmJSWXkEXxrs5nIA9gVYL7jrgi66qq1WPnPe9sRJYzkA9CV4cYe6
Uht3cLwHe0IjpRpFeF1Tnn2Y3MV9HxkiPrYjDqp0+JrdiSpiHluyCqjeFPTiHI3Ch91Fy9e8SQZa
CWN3cBLf/mTPg9iuvL+/iYXegPAYEhMGEAYxLoIz+m1I4Fiyn71wWb96oxn8NBPpUTR5eZrX+VPt
ROVHYUXzbsRMrNy0GK2evBppr92f34xvJvNvb0YasKbBgzgAxwL5JkBCQ66ifZDKr8lI44ByWlds
5tBH/wU+wDrsJq+aT7Ia0JrILFXR7WkqCNxzdDOpYBqQZUusuxVJrZNYFwpnXRy9VkiO4S1UWDfZ
UsvrRaDfJCrxRA20vMMdsCRipTG2bNdhpu2SN9jpShXJR8LGqTloL/u+BHl2KyS8oYJK8SlLGnVX
+UNpeAT9+Hkp0/HZRo79wapDDohgdvRBuINGRxmtkycNtzFHgNfmAVByjTYTNgcl/es2pxHCmfgO
Fn54jbaE996hqh1vaDpgJPTnwf0dlsQrZmzxziDsDchmpWvW37+QTkdKwrx3GX9tM8+/tVqRv6hM
LKCh29q+dTS5xN9c0fkd+PrjksQGpDiOC1kIuNrvl3Rst+wqjs5vucq9K8pmiEvE42JdKFTmBxoR
Azu9n3RfFUIlL1kyD9dZFtkP1hSJw988/V+nFqEm26cL6QMk7ltn2U5XPkIQ8IpxtYYRH8RN/Iqy
Guzutlp8TOjcggpHZRzBB59a4S5PA/+EWG62o04SRRhsWdDEuiaQH7KhnEzplxJ6bfXpTRFk/akV
Yr4NUMA7J+DQvU0jIzQP+wVel0HII4TROWGDwfHqq6PFsBzyYrBuIAobCL2W1vUP+aZl1hxnuY/O
RqI5vVH9yIrrijYvEaWopgROVmmkNDTKHRNNzxd/IjUlFunfDe5cn9OqFN2mg7ZnMxNpF23hBff3
IspqWq4g6mY6mvSVBvwuky0CfOpGqwg6TZMptJMYv8Y5A07R3dHGRfz90DXZh7HWw3cPIxFKPVMe
/13h66/7j/TIE0BcA5jj/bzdkoVLJ7SYdfENB2BbYjABWxCUx0LXkFdGTiW/rv0Yn4Pa+rxMua5B
j06q+v+YsMbWBdlYkKsetYHfJyxIqR5umyy/ocq4jLsfLyRYEWa+zsoA7ZR1ip7arh4PiK8jSIEt
2sc07OAgopDuPP15xr4p0P1YPYa8boO2dA2nxf39ZlYolBOE5PxbIu3gXRs4/aNbWtZOUti9cC6O
t2PZDlfKq6szXqjOzVBLDjJpHOYz1FEBJNd6usbgXHwHOd/62Mxlxbu/ucvfcwBzl5BwBMa4Lphp
kso3QzZV8VJFrTd+o+rdJs9EFijVUElcNmNvT7duMBX0lPo1CHEd85vv6WpL5F1g8umjkE3/4iMq
em1LXTy7nTfSIeEUOEBUKRnuJJdbr6Xd+/NF/4+3xdOicKj49LXK6l3Wk6R8Gf6VNcHUNvv+v2de
3aImlP7X7lPRDL/RLX794S++RRTgYgH+1wfdCkyew/qffAsgpjCwoDxESDhQ1Ir+VZM5MmwrUlKP
2Uxq8y+Sep7/D5SaQTTzZyxAGwrFfySw8KaAiqQbCyfAJArMO2X7t3EsAYYi1Jfu9WpDP12PGVio
Id41LtzVpb+hc4ONasVK2UxozCP54on1I86wgbN1M+fUT8q6jpEk2i+tVR0SmkNbutf9TZPUp7QT
4xUtXbmjVBNcmrG23iEWC2qvTqzLkCHeoLwqeDdBrH/OQxCCaEfm1tFRbQNzNm+3AQwP7AlXcFzY
DSOSOsWC1g+Cl9z3vEn95ETD5yagKnVFmk841sYPem3voB7tqLXYcC6Vc2p7slDy8mIry+CKNJyC
Bx3uNGm/jr6jwfEpVuLU5VuIqstNjJbCXg/2DjfBL4bFsGnL3tpjG+YccFiF+doglQVz8miUW98j
cpqjE1ZkFBG9fTl3d12Beg9ORMOnzh3w+ZUVNpu+6k6iCrh+5fQbRsoDvhBGp6Ufs0eZpM2ucpwV
g2A32tIBxTxYoR2fDPldt0Q2ZNJi3VctSNmRIgNSLwrYhO0LvIstTEeqEVlmGnNXOA3epA5abHiu
PUZ2pfdDLI+wzGG6myJH6XIiRE239bBJ3LmxjcdQ7oCrWF78YVpQTDIPoQrAFaOIkc5B4AWkdLAv
w/FzBW4Gs4bqSuH7cEGoG4imO++bVR4sBNIOaJLVYE+wCoRhJjetH5yiOLoaoLZuw8JVm2yNrZdF
YJ6JXaJPO1WBzRnn+eB6SbSh47ucXRy6nmSu1nPvhBOqSbo99LPjH9zeAtk8k06DTArAoSbHeQy8
TUtSsY+c/FXNyru0VnjGMLPaUkaH8d13mgQpOaZi5LAE97orS2tf5O0TdJoXANzXuavlJpkC72DV
WDY69poepao+UQZ5zdvBOxpHiq3mJN3bUW5dtbQRPFqFdEDRumVO0K9HU1YzJcIueYiavDmMpj+L
sV+5LchKppDQwutBWDmDf27Ba7wuHtTyousvs1V8XhdvpqsYqn2e5cvJrxEeXNc6pDzDXMgAAKDj
prxTCqBt76ULbMKS/yuc7gMwiWpXyBnV67pHnLxZ2iPRgLdvyOYOoGyBS4n8uXOD5AasXHUQ4ecE
RfUrFH/bLTUo6wkQZ9Vv0bHzdrLMssdqQk6w7gM8DQo03FQWdU9GvGLnyKh4pLbh7fp+vWFLLQ9h
Xug9RO7gsGLqtwOGK/c1LIvN4Fr2PT4h695ei2rv9GhgAzZ0dyniDgR8eXB2UO7aZkk4obWUnAd/
ci/IC447C8PpZ2T0GMUwFjsX685tkER652skp2zfiBD5uf28xHBlBssBYDC1CFOnCobjuOICvhb1
u8ISyz0MD/vKwerT3+DbheCbtop0H6hQ71DxCLZjSYlALH1x4FbHa2nVVIMC67puSGIbkFMYm37O
8KUxxMjyPLWwJsdwIrBYGU+19v4JBhZMS2F/Rwou3EGa9K/UtBolq+GdHWZn/N6Cq3CV+B13vtE0
a2nA4QaRYuixWXUZ7DxEtDduG30Zh/Ixw64d5+v7cgRyZueZA1rG+lZ563IoIZR2g7zONJ/vZX3U
oPvx3qzrA7lct626Xu2WeELOCz2fjeNln9omQdQxxCG5cckG6Q9skMewNjocwQnb4bJ3M4TJurpl
SiVBd7O48gAj9lMEcGATIvMABaD338X0W7eVjPZkJBvq5flx9tpvE9E+yMQlvvW7XBzt0nGu0FAu
DvisTNDZVY8IcKF2OqrCUyrsu6Z0X4Ogv87BAZ1hxL+EGr0pmQXDtlxEcB6RPXiKouk9qoZ6p5T8
FqSIC0yg4rYgwZ4ADV4k7f9bFbpXGWWIjY9lCp7lNFDt7r6Ec0elLQ23iLJ/B7Fj77LIw+BxHTE+
IWDaxf6S71s9ILyCNPLRgz+x8fEJOpWIpvcifUX4M3pavOXUlLVzWYN8PFCHaA9DiN7LHHLFel2f
2snL7gGZXecOh9BsIVRaaAB1hZOUh270fZx5/HfG6X0XDG2G1F5/TroWFddJoIwxjK5R27J3KYCM
j2Uxf9DxOCLOIb82o4t1fFKmh5Gk+EgN2DpgiY5xaDVFd+RS9zacv01L+sqN6xsFxn87+C7ElPgR
tkSz10F2mNsMakfglYiBWO+ptueb1pq/iky57IXjeA7BZLLXZOBT4hgNy3nOrtAE1yDi2OV0iGf9
2IUVxElXIFIofNAsWhzwKBDb2VPOMZH5e02V57xa4RMlvktftN0GFZTvwlKSamEZGxtVOAMKCTdg
/rgKeZV9FSqjaONxkq/sqgfqQs1OU0wR9ecSz7fh2cuggRTMWauN6tOsrQwrohk56ka/DHgQSpZi
G/Q5pRVmXxXexX4XoTIvccYyi6zJSV4F6mZAFR2KE6jlPItR43RVIKnakdfu6bSze8OxWNFSgyPq
xv6j8CoZdB+BVtZrfUU7rZfRNm9COlObOi8zKy03terWrvvZg/if8Ppvwmuia5P//Pvw+v23fviv
l6xLkGj+Lb7+9Ze/4msp/wEOLyANxdyEgpxpvPzkM6O3ia6ZiwIZ+mGkyQGSBf9X4cD+B40fU+SQ
iA+QKJMwEqMO6f/+X0L+g4JagNulCb+JpP4jBzna8qSe/12nAwsDJIKWHtGOQ7XuL836ZIExUOdJ
eu4r/KmbsMbgoHZVfxG43O/QtAFXW4zCeewda7NUFLvQh812pe3oU5F2Vr6P41Hi4xB177BWACYt
yuglQ2HqiG8s6mDgz5tLM/vtYQyqARGhIvXPPcC+7jDmY4ygieXpYANqA+cAr6AwO0VYL/mK+iDk
hisY+iNK0UsC47kKk2eUDAkeJwqCW/rb+O8C4OhBAW8QVVqeaRMRymjKDdlkwdYAvPiQ6Ma5AjtK
VWxGBpF4E3DmdrXi9tFHvOmaP0ENt7PldFSN9ZDFKu936ZzrE9waXIo09ce5F/Z7ltd0yYW9POHo
Jg4s1/QeyaEAqcrVPDmndb93qwD3YSdH1EsiaL9J9VK9S1Kf+FDMuIX1/FrarXOJnOwZgVTfSPxM
N6G3HEKIbFsL5gMwsIbyEFzQ4V2hcnkfN454iD0kkUESocWEfcnIEwNdAnU+YiQHMx0pMnQeNgH4
qR33jLJLP3hbr0EHxbUIduNZvB+LQp1Qt7mW3uIeAUjccfoCcMRWxSt3EnTG1vO1t6mRz/euB6ub
sIUHdEtysg5oVQ4nRK/YBfslzzcqW529NQFP9/IFjGPX1z7vwx+vsfI6Dbn9EYVhfzfyLPsiHl5i
sKlXOEo8L6QfoJbt+pUW1HLlEBmRzIUpIkrLPiEG3ZV5kjz2Hibduwka7g0m3e1tWXMgMcqwBjYK
dsBdMvbBfSGseGelcvoYd7H7QIKX7wFHz9fLqr4NLsxhHEbBj8dtlhg8bX81Q03v8gAT8NCZEd1G
9LN0ghj1JSt+cMTwAZ24GvSULM4oQ8bJhVSrnB5m0DrtJ1Kv/hX0OBqsoPgeApDmF/xYxLsCsiAN
yHq8BuLbBtthqhgyraruZnTtVz17462lXGvvavsbhZ5XqTVUn8qv2/OUY+FVEqXdwfx1+h2I7PBj
mKTj02oZDc0pLvdBG5cj+lPjWJ1sb/RzdL6auqSyrvVriiqWvXMWBNz3PQKbHPh552D7srh7XyII
lxF92w9TsxLx26l9rdoI6gUckvhhUu699p2Pax99tDtqm6D29h3gX/xHgkxFW0+mbXecemaMnbjB
ez8On/BG/ma7Y4xmM1pU+45y4MlHyzi8S0vS3DoKYY6lgXtK2HMe+QYMdESfInGYXRB/0Gc4C4ii
A4tL5+2Y9Nq96aN+TY5hPHcJp7v6WNEXGB+7YUE4y+4PuTXGGDdCT+jaQt0sKCPseqPcNdrRERGx
9FygFNc+uCsCbKcxdqpoG45LfimEnSMh36u6hHnU+Dc9IdVeiialwBo7+1YNGk8XynGOCsL39K0o
Ig/rpbalRXrbp8ciLDGIDly4YDEazZG96EPt5dkGl4/iA8CDZVflrb6EmTx49YBjZowgySbsPQAy
Xe4/pPjS71WALG+ARMo2nAqPMKFqr/JCgMAZR4Qj6TttJ6dKbvSEpP3WEH+eWkQLzv4Qdjczwqwv
GpHWsbzgopFgvddjzUz/Ityjq1QdcnUJlvkDOmq4AnW9e4bduu59PnUpfbQLnVJgYON7FlrHLUIU
9s4nh5HnIphCdqqufRBRJ54QzUT6jAxkl1I611tQowvqd3FD7lIWxcc1x/jHm6W+oJKBqHQ3vZZF
CKVmGtMZp96oO0AARkF7nW7LNVm+jynyfekEj5JiCEQTmakRN5X+ixcHqI9LwMSbNDAWJK49nuNq
gVJAPkuVdnzlYEGOjKjyVK+tZpXGGIJA+NOanIpm0Be35rTZU5Dur1HViA5T4rxLaJCdaE/Yl8yW
atvVYX4sJe2KdO1OvcKsFDhlCJi4WRCxssjuuto+24sxDIiK9Bxokt2A9sMlGPBmQpMoPPSEhTiP
ONFlrmW2n93yEbYSjfY+kUdTcg9pa2ffRwC9zWYhA91Uir1XO1O5o0PbntsI7eNNnhTtzjZSgE5j
PBVc2Bcs0ZtUJdlthjbutiiVtV1Waj8+1asrMEbxQY/tZa6qlkx17r9CsIC5VCmM5HEIuh6EQChn
9NJztyLnCE+CnkX3tY2ScT8W+jNqRePedhb8fkaOG6dLz2HXJ9DlS8NqC28nJ34c+hot7IrCSzhO
/gN9surQWT1azfnjaPfWg07z+5lxvYpn32U1lreJrNbDHBQRR2NGP3MTTP+HvXNrThvZovBfcc07
lO6Xh5mqYwy+xc59kswLpdgEBAKBLoD49edrtXAk2fEkaT+oTh3VvEzALanp3nv33muvlTqkVxAW
teiXpGC35QhHl1Xx0VpwDATKvrPebZCzcVBwygrEoFNtGg8NPCfku+Ge81ymmSAVTi2SS9rQWXkH
bTgbU196vww1v/cZLNmebmQK6wckDKjNatvFyj2c7hd6RELBzXS9uFjb4Xu71Gc6lFpNKbR8t1sy
ESwrWzdP6fZGzUZDpWlSlHJPGiiF1wboqRlKVsnhk7nO95+W9EpduUIyKicfeL4pepAoEtzv4T0r
FtsrzVnsMP3RijnYzrKLQohQ6YBTLkR/TlAIiSriufnVFl4FmnkNJKy8Qx5e0ZiWnoHEGUJbshsV
peSVkffOUyGDldJ+SwPOhl6QUiVrucK80nDBBEFFvx/BvTb92yrGa1qHlkDk1wu4lf0lqMqwVOLS
DjAv7+Jc33G6NwHAxNbavE7ohp4NMyNZk9UzityHmp4WG/qJ8G1Ib87gy0zdPIRuKZpdFbTTTMHb
pNv8UpsV+XU0W/Que0DQCfzGWg6qz7T81zoJt2wQZ4dNOIKh2x/Gnn9IzkhiOWeL6Ub7QgZkhsLr
XJu/9WbJ5t3cn+8Qa6LeQRUMzsQUOocRMuHOxaEUP6PveIsQWpG46akLS+ynCB3ls7HQTKOvDPm0
iB//8wF5thGkuOdmNs43JOsyNNc8NHxON4twTHYJSTbSjTsEHcgTD01oNG8tSr5wgfbcDeTZwEgv
LSHxBvH7nNZY2HcGU0r6i9G61INLF5lGq0KWfcZ4H4Ymk3Qd+/pXODg5n7m2hvAH8daGNIVW7E/9
hHTNLsvnxSnHamOQZc5hPbCc2fL1CnSgjn7yLB9m9uxmbe9g2xfidrvctS8dkmkF+sae/TYtdfBS
exWdW4K2kyyxeeXlKYp50coq7pFx49xPzP3RENJ6YwtGAAqWW/dVqhGanY2n+tS/WZJpHRiF+zlb
muknRIVRAZ2iZBQJTSNjb2uXiVEcEhQT5s4X0XQDxMcj4RtCoIIvMfybaF4UEwPhzAEpAT3AnoZX
4a6nkzi3nM80SqYFCcGly8EZoRbvDD5GmGQzEnjFKjPfIQBtDsHVr07jwl0MUWH2z/39Mh/a++32
msbCHcIB0927FDZTUc3aD+ak207jxXoWQPVPssmIY2ukhzEyI2t9nQxpIM4Gy3gf0kiUbYY9hyye
saV8aKyM/at1Gh5u6eZcv6cnGGUG7Pn8W5zp6QdaI6PPU11D4I50in8VF2iBhm6kXQHG2owAAG+u
NTqi3pqHDKkRbY2w7EHjBgBuT3XXWg8BF+jE/hqs5WhmDeAmny0wzcvVaIfS4fk86q0u9xqx+Jr+
hQ9xEpmjnpYMMxoTX4fTBFDUfLm9ndOAcI2R2J6xAdksLgy0KRjdG1PwnqFVCL/wcu4MC/Kb6Ixt
iw1cuoJoFAqHa+r542G01DYEUFl0N1s49uHCBaAPdXvufNtmiMc5S3KyAwBc+xvk9/bmaJdYsSy2
///8/6/nf7pSnj3/o0gNh3a9JEexWfzNkclMlM9AgrsOR3vBV8gZvjr567rORzCQm8A3KG/VDv42
1Iagd7xKHV6kC6qDv6UJ6XgXchXaScgMIAD6K4W15rFfVKJB55iwKxoWDE+mSAvUICTjfKdDhL/Z
3ebL+2kaQf7/tTYbb2QG4WSVL9/EIWC7P/9oYvLtRzdo4X+SPfxn6z038OYORDTL09wPwu1t6A9m
y/vnb1UCj2s5DKgzPDD3IFNwPbZlt5GWhZ7qkU2Z4GZuR4U2X58uewa7tyCpABTE/gc2hKkH2pde
cI12aOo0h0Ec2UW4utJMTMHyHsJHz51yoLRmmu+eU2DTzgtvlU9CjyT58lWeWGnPutYcqj4R3a3j
BJpDjYY8qxePPxSbbDQ3QvsqJWR4M+cEit4fdK4rCIHp/zr1zMQmhb6Fk4Am5a3pZ2c23FqzxfuN
j0BGMnDQInXh8Ik9/HroFMD0kBO6SvR1+BHiGrzweIOQCR1F0W4En25kLq/dDB5be4+Cjacv7N0/
vRjqRtgQYbf28PYDNHjhdrRgPDlc08I6670HnBtaqyENkGO/B4sBROz78bkbJZCMl7/I/4zVqF7k
LMgCBE/DrHibT5Li3SQFIpYed5X4tFzdH+Lf+9LzA51ManSKd9SWM/EE0zBe1W0Ku7O2GR4eqXze
50aI6JbK8nsQBKbft0VjCnaGmj2X+cdJRAG7+rjnU8unQw0kGZRy4pI3rE3Rjybh+feTs/n8dxpv
8EOoA+QWwNEaqdjykR5PQmuIxiRgN2nEEkjR8mpOgmv3QTo4lql78mPsITfs0CRg9/nh1CbB6COc
CC5UeKn6EvCcvmfRZQFu9GF2uvX2IEBwIGpv7+E/kTcgaS73AWuqPgm6ZqMt6Yqd0LnfHtJx1be3
+mCJ6T8kyV9erSUgQhLWBo10gIHEJXdclzYAsYr6JLC96TqG1K+8iK7qS8CHYRaWQtuGFrG8umcF
WLs/6RB+bAupO4Ee9kTHbXm1NoJn9gkJwfgSw5VX5/aDzc+nuhTcvmFb1OV0+qrE1ZoEcoB9h5gd
AKsu10rXjAIZonaB8le9oqX3bdGUQsLpyUmAcVkqK4nSZLccAihGgVFX8wgYfJPOebqz5E/csomu
39c5V9AqJE2iAEB2axZgVAUcrzYJuEU6wj0dZuyGMaRyLRDcov4sZ6dzcSEtrwIOqvT6BoLS9Odx
FJY7oG0HKNIL/RULLKv8QueMIeUUQzUyJLfgATDDNT49C6wFCKDB4sLZWV7S8nQpOoAFQ3kWrD5r
XaOfpjL5rfAAgASIDQwGyZOuWQIaHB7hVX7ZHWh9skHiLFjFiDjZenjkYQ8hzTDhUperQDrhTq0C
z1O1CJyXCQroXzkGgSyrxiw4faJoF+Ka6hzRwbVAU5iiXbTQWKG9jLSB9WD36rPgm2QVaAGgSUB+
3jnfSGeYoRwheFh/+EWE4SuvVpToe1gMsifkV+SOkNPepR1BqK8cIrh9KpSGJ9BqR+tfXwuezY6g
e8gkGimv7u0IH/+tuCNM8u+C2twBrievpl3wdXyo4HzyKh/ZuXgJGo0qkJct689kE398eLRJFbEM
0GySvzXmtrEWHKRYUPzk6CQ/l1uwSzuCkovqjqDJCYII0iW1fV+fBcfvG9gfCxMql0r31oJoplLc
EZbbF/zZ0O7gDcXVOj/B5dWH9woDBIeLuDq3FiAbU/aUJgcozCMrobkTXKfv0krpP+TVpQHq0E6g
c89StYrECWx1kkVuZftbHhJpJpoLyS1X89yl1xfJcNUtwOvRRu3b1RlZpGTqhoDXRzsHGAuZ1fLq
3iIg06WaWresvie6vskiyLdszQIBAssDGhIRWIurc8GiQZpP9eBgCddX0pBUrrG1FXxLIPdNchby
Tl3aCrqtqb6+SbKQngnY7+RvLFK09a3A6ZHaAhYXaory6uAiAA2haBDwBjRUcHSsXJ6Y1vosiBID
kTJyx9VW6FysDD+RslmkSYWp9HymQi6GlkFwvb5INtkkW+TnHTSLdLwrrgXiIxwfGm2UUsqLt6yv
BZjBqMQwUYiMlrfqkkXguKf8/jg/CigmvBLy/dt7we9zoOJ0fcw7dm8v4BZUzwqmSYKdINAgXf3U
KvBE7pVaGxVYuRe6ZxfxWfKnUTg3+uhwwm36UGtpWQSomXEPFFvQWitnqXtnBRHBqFoEs08HHgmE
Y8GtZRFEuMhugWapqkpKd9Qlu0Afo/IskGc2eUUge0/aBZc0O2EEoMkqkuiedbTAD6quBY3TM5Un
v1ZTqXsHKk98Avza+o7b6lb1EZI55fqbafWxjMRDMMk8ZR1hte3T6M9y8TpnEUgBPRI//9WaC9UG
WKrEnq9K8C0fWeJyXLKKNBF3LkagW1j+KL/vF8gfkCExUACuTgVti2hzwNYgbT3ilro3C6RDZfj6
+7NggkRAWId6i9wE7Sq0TzwtYd9VvCxDsy75BYufSNUiEimBtqDC6FSGvxUvl/lEQkZgel3bC/Bt
6oQ0SlgE0ijoN+iiF1++fzufqml9/A45huqA1qHf33QcQYCs+v6gkAkLnKqC8jiD4MKyD/qrq1gM
xA7UkZo6UGRBsH48L7Ct6nEBeG1EFURJ8ns17mfjgp9YMA/w98EsjO5L4Hs4SZ/Cx//oC0fI9+PP
K7j35f2ffwhce+OLoh9H3vs7Lv6vRhmqRGPXPjyis8v7VH9eveDjWzfudXyr4z9ehJMkSO5mCCKJ
ZoDqMW+DJfD5/0TB12AZ1DH5RK0Y/O9P8oil72EX/MvAyKQfxxFzImrpx/9/sj3p58ZNQpg0mwOX
+GHlB04WwSoN0uMjlo9cgnJVRx4EUfgtTlpEKhLlqTx2HMVJcB/Xn1qiydVHhq/0LgvhvWoMXuIy
VQc/m0TBLkgm9ZFlH4TyyBWZ5En87YQup3z5tclfIzGFqncZMevhfXMVSrie6sjnkxjSnebIRIg4
H9WRL5jxMDyOUy5vk5T18R9+f0te3gezxgLUJVpN9YEvoyiE6q25IyUQTHno1X0YtKwIulmcTpRH
jnfNHw8KTwId1WGvH9smCQBSHpgB8rtFcXzEcl1IVI3q0K/iPEwfTbPEqqiOfROEq4b1oPb0Eu7l
JkiKKFjd16ejKqOrP3KaBnezPJ1kWWNNV4Vq5fHDO0SegmZ/nSx/qg+NL0jbTLuyqKg+dpqG/Lde
N2wTfLiiuPQSo8d50h5aFMKUh45XWcuGGHpZVlEd+XbyNQla0RPAK1GxUB96GzT9Fkcukf5WH3h3
chEs1+ksbLp1xheJ5ZcY/2qSpJOGpRJ6WC80+M1kH9413FiVAHyJJ/8SJ4vjHAgLy9Ain6A8dEmC
PQiSGE/ZcDtVA8nL3ODHLNu1Ht/GYaZ2VH7ukPB6FjZnXCaeVZ/69SIiImmeatCkEXks5aGTybTd
wlymhlQHfjNZrdIi2gatY0LV/6A6/LtZfD85uUwf+TaJElId/r1gbzx5aiGKzNELHPvkDR4vxCox
pfr8H5j9CUJLjZCiApSqj71vniqrNIrquB+zYHZc0MKmVPl61WH/niRLPFtjZFzxCzjMJ+lEJRxD
9aE/Bfid1RSWy+ZzlyhQ5cH/jQtV0Qp+CtO7GN375rPLjKPys/+Yx+XZp34q0/RAGPA4/3RkQ3jq
z5rJNfGNu2gSJH/9FwAA//8=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chart" Target="../charts/chart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microsoft.com/office/2014/relationships/chartEx" Target="../charts/chartEx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microsoft.com/office/2014/relationships/chartEx" Target="../charts/chartEx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228600</xdr:colOff>
      <xdr:row>0</xdr:row>
      <xdr:rowOff>175260</xdr:rowOff>
    </xdr:from>
    <xdr:to>
      <xdr:col>22</xdr:col>
      <xdr:colOff>419100</xdr:colOff>
      <xdr:row>4</xdr:row>
      <xdr:rowOff>167640</xdr:rowOff>
    </xdr:to>
    <xdr:sp macro="" textlink="">
      <xdr:nvSpPr>
        <xdr:cNvPr id="2" name="Rectangle: Rounded Corners 1">
          <a:extLst>
            <a:ext uri="{FF2B5EF4-FFF2-40B4-BE49-F238E27FC236}">
              <a16:creationId xmlns:a16="http://schemas.microsoft.com/office/drawing/2014/main" id="{5651A42F-C507-9834-A78C-E8C3C53E0216}"/>
            </a:ext>
          </a:extLst>
        </xdr:cNvPr>
        <xdr:cNvSpPr/>
      </xdr:nvSpPr>
      <xdr:spPr>
        <a:xfrm>
          <a:off x="228600" y="175260"/>
          <a:ext cx="13601700" cy="72390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411480</xdr:colOff>
      <xdr:row>0</xdr:row>
      <xdr:rowOff>160019</xdr:rowOff>
    </xdr:from>
    <xdr:ext cx="5151120" cy="718466"/>
    <xdr:sp macro="" textlink="">
      <xdr:nvSpPr>
        <xdr:cNvPr id="3" name="Rectangle 2">
          <a:extLst>
            <a:ext uri="{FF2B5EF4-FFF2-40B4-BE49-F238E27FC236}">
              <a16:creationId xmlns:a16="http://schemas.microsoft.com/office/drawing/2014/main" id="{213639D5-A989-6795-6C30-DE1672DA7BC0}"/>
            </a:ext>
          </a:extLst>
        </xdr:cNvPr>
        <xdr:cNvSpPr/>
      </xdr:nvSpPr>
      <xdr:spPr>
        <a:xfrm>
          <a:off x="411480" y="160019"/>
          <a:ext cx="5151120" cy="718466"/>
        </a:xfrm>
        <a:prstGeom prst="rect">
          <a:avLst/>
        </a:prstGeom>
        <a:noFill/>
      </xdr:spPr>
      <xdr:txBody>
        <a:bodyPr wrap="square" lIns="91440" tIns="45720" rIns="91440" bIns="45720">
          <a:spAutoFit/>
        </a:bodyPr>
        <a:lstStyle/>
        <a:p>
          <a:pPr algn="ctr"/>
          <a:r>
            <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 Dashboard</a:t>
          </a:r>
        </a:p>
      </xdr:txBody>
    </xdr:sp>
    <xdr:clientData/>
  </xdr:oneCellAnchor>
  <xdr:twoCellAnchor editAs="oneCell">
    <xdr:from>
      <xdr:col>0</xdr:col>
      <xdr:colOff>365760</xdr:colOff>
      <xdr:row>1</xdr:row>
      <xdr:rowOff>60960</xdr:rowOff>
    </xdr:from>
    <xdr:to>
      <xdr:col>1</xdr:col>
      <xdr:colOff>464820</xdr:colOff>
      <xdr:row>4</xdr:row>
      <xdr:rowOff>91440</xdr:rowOff>
    </xdr:to>
    <xdr:pic>
      <xdr:nvPicPr>
        <xdr:cNvPr id="5" name="Graphic 4" descr="Bar graph with upward trend with solid fill">
          <a:extLst>
            <a:ext uri="{FF2B5EF4-FFF2-40B4-BE49-F238E27FC236}">
              <a16:creationId xmlns:a16="http://schemas.microsoft.com/office/drawing/2014/main" id="{A053F50B-377E-D4A1-7EAE-E344B693617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65760" y="243840"/>
          <a:ext cx="708660" cy="579120"/>
        </a:xfrm>
        <a:prstGeom prst="rect">
          <a:avLst/>
        </a:prstGeom>
      </xdr:spPr>
    </xdr:pic>
    <xdr:clientData/>
  </xdr:twoCellAnchor>
  <xdr:twoCellAnchor editAs="oneCell">
    <xdr:from>
      <xdr:col>17</xdr:col>
      <xdr:colOff>403860</xdr:colOff>
      <xdr:row>1</xdr:row>
      <xdr:rowOff>7620</xdr:rowOff>
    </xdr:from>
    <xdr:to>
      <xdr:col>22</xdr:col>
      <xdr:colOff>198120</xdr:colOff>
      <xdr:row>4</xdr:row>
      <xdr:rowOff>152400</xdr:rowOff>
    </xdr:to>
    <mc:AlternateContent xmlns:mc="http://schemas.openxmlformats.org/markup-compatibility/2006" xmlns:a14="http://schemas.microsoft.com/office/drawing/2010/main">
      <mc:Choice Requires="a14">
        <xdr:graphicFrame macro="">
          <xdr:nvGraphicFramePr>
            <xdr:cNvPr id="6" name="Year 1">
              <a:extLst>
                <a:ext uri="{FF2B5EF4-FFF2-40B4-BE49-F238E27FC236}">
                  <a16:creationId xmlns:a16="http://schemas.microsoft.com/office/drawing/2014/main" id="{B02C991B-0BF0-42BE-A316-58C65777049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767060" y="190500"/>
              <a:ext cx="2842260" cy="693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91440</xdr:colOff>
      <xdr:row>1</xdr:row>
      <xdr:rowOff>7619</xdr:rowOff>
    </xdr:from>
    <xdr:to>
      <xdr:col>17</xdr:col>
      <xdr:colOff>83820</xdr:colOff>
      <xdr:row>4</xdr:row>
      <xdr:rowOff>129540</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5C0B0CAD-BCC0-4BC9-B6A2-3D21CE6A960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187440" y="190499"/>
              <a:ext cx="4259580" cy="6705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220980</xdr:colOff>
      <xdr:row>5</xdr:row>
      <xdr:rowOff>114300</xdr:rowOff>
    </xdr:from>
    <xdr:to>
      <xdr:col>5</xdr:col>
      <xdr:colOff>586740</xdr:colOff>
      <xdr:row>27</xdr:row>
      <xdr:rowOff>144780</xdr:rowOff>
    </xdr:to>
    <xdr:sp macro="" textlink="">
      <xdr:nvSpPr>
        <xdr:cNvPr id="8" name="Rectangle: Rounded Corners 7">
          <a:extLst>
            <a:ext uri="{FF2B5EF4-FFF2-40B4-BE49-F238E27FC236}">
              <a16:creationId xmlns:a16="http://schemas.microsoft.com/office/drawing/2014/main" id="{3CC68FBB-3054-25AA-AA9E-49416894B88E}"/>
            </a:ext>
          </a:extLst>
        </xdr:cNvPr>
        <xdr:cNvSpPr/>
      </xdr:nvSpPr>
      <xdr:spPr>
        <a:xfrm>
          <a:off x="220980" y="1028700"/>
          <a:ext cx="3413760" cy="4137660"/>
        </a:xfrm>
        <a:prstGeom prst="roundRect">
          <a:avLst>
            <a:gd name="adj" fmla="val 6911"/>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182880</xdr:colOff>
      <xdr:row>5</xdr:row>
      <xdr:rowOff>144780</xdr:rowOff>
    </xdr:from>
    <xdr:to>
      <xdr:col>22</xdr:col>
      <xdr:colOff>556260</xdr:colOff>
      <xdr:row>17</xdr:row>
      <xdr:rowOff>0</xdr:rowOff>
    </xdr:to>
    <xdr:sp macro="" textlink="">
      <xdr:nvSpPr>
        <xdr:cNvPr id="9" name="Rectangle: Rounded Corners 8">
          <a:extLst>
            <a:ext uri="{FF2B5EF4-FFF2-40B4-BE49-F238E27FC236}">
              <a16:creationId xmlns:a16="http://schemas.microsoft.com/office/drawing/2014/main" id="{ACF014CE-5D21-4A1B-9D87-E16CD25763BD}"/>
            </a:ext>
          </a:extLst>
        </xdr:cNvPr>
        <xdr:cNvSpPr/>
      </xdr:nvSpPr>
      <xdr:spPr>
        <a:xfrm>
          <a:off x="3840480" y="1059180"/>
          <a:ext cx="10126980" cy="2133600"/>
        </a:xfrm>
        <a:prstGeom prst="roundRect">
          <a:avLst>
            <a:gd name="adj" fmla="val 6911"/>
          </a:avLst>
        </a:prstGeom>
        <a:solidFill>
          <a:sysClr val="window" lastClr="FFFFFF"/>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228600</xdr:colOff>
      <xdr:row>17</xdr:row>
      <xdr:rowOff>106680</xdr:rowOff>
    </xdr:from>
    <xdr:to>
      <xdr:col>23</xdr:col>
      <xdr:colOff>45720</xdr:colOff>
      <xdr:row>28</xdr:row>
      <xdr:rowOff>60960</xdr:rowOff>
    </xdr:to>
    <xdr:sp macro="" textlink="">
      <xdr:nvSpPr>
        <xdr:cNvPr id="10" name="Rectangle: Rounded Corners 9">
          <a:extLst>
            <a:ext uri="{FF2B5EF4-FFF2-40B4-BE49-F238E27FC236}">
              <a16:creationId xmlns:a16="http://schemas.microsoft.com/office/drawing/2014/main" id="{511BD909-22D8-472A-A9AC-6A4716DFDB3B}"/>
            </a:ext>
          </a:extLst>
        </xdr:cNvPr>
        <xdr:cNvSpPr/>
      </xdr:nvSpPr>
      <xdr:spPr>
        <a:xfrm>
          <a:off x="8763000" y="3299460"/>
          <a:ext cx="5303520" cy="1965960"/>
        </a:xfrm>
        <a:prstGeom prst="roundRect">
          <a:avLst>
            <a:gd name="adj" fmla="val 6911"/>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175260</xdr:colOff>
      <xdr:row>17</xdr:row>
      <xdr:rowOff>106680</xdr:rowOff>
    </xdr:from>
    <xdr:to>
      <xdr:col>14</xdr:col>
      <xdr:colOff>68580</xdr:colOff>
      <xdr:row>28</xdr:row>
      <xdr:rowOff>45720</xdr:rowOff>
    </xdr:to>
    <xdr:sp macro="" textlink="">
      <xdr:nvSpPr>
        <xdr:cNvPr id="11" name="Rectangle: Rounded Corners 10">
          <a:extLst>
            <a:ext uri="{FF2B5EF4-FFF2-40B4-BE49-F238E27FC236}">
              <a16:creationId xmlns:a16="http://schemas.microsoft.com/office/drawing/2014/main" id="{CA682D8E-5E3E-40D7-A9A7-517DDC87059E}"/>
            </a:ext>
          </a:extLst>
        </xdr:cNvPr>
        <xdr:cNvSpPr/>
      </xdr:nvSpPr>
      <xdr:spPr>
        <a:xfrm>
          <a:off x="3832860" y="3299460"/>
          <a:ext cx="4770120" cy="1950720"/>
        </a:xfrm>
        <a:prstGeom prst="roundRect">
          <a:avLst>
            <a:gd name="adj" fmla="val 6911"/>
          </a:avLst>
        </a:prstGeom>
        <a:no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518160</xdr:colOff>
      <xdr:row>19</xdr:row>
      <xdr:rowOff>0</xdr:rowOff>
    </xdr:from>
    <xdr:to>
      <xdr:col>22</xdr:col>
      <xdr:colOff>213360</xdr:colOff>
      <xdr:row>27</xdr:row>
      <xdr:rowOff>106680</xdr:rowOff>
    </xdr:to>
    <xdr:graphicFrame macro="">
      <xdr:nvGraphicFramePr>
        <xdr:cNvPr id="12" name="Chart 11">
          <a:extLst>
            <a:ext uri="{FF2B5EF4-FFF2-40B4-BE49-F238E27FC236}">
              <a16:creationId xmlns:a16="http://schemas.microsoft.com/office/drawing/2014/main" id="{0BEF9135-08B2-4EFA-8F95-7ED0C41691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304800</xdr:colOff>
      <xdr:row>7</xdr:row>
      <xdr:rowOff>91440</xdr:rowOff>
    </xdr:from>
    <xdr:to>
      <xdr:col>5</xdr:col>
      <xdr:colOff>533400</xdr:colOff>
      <xdr:row>27</xdr:row>
      <xdr:rowOff>38100</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D482F3F9-8867-421C-B3AE-E633A790562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04800" y="1455420"/>
              <a:ext cx="3276600" cy="36042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449580</xdr:colOff>
      <xdr:row>7</xdr:row>
      <xdr:rowOff>38100</xdr:rowOff>
    </xdr:from>
    <xdr:to>
      <xdr:col>12</xdr:col>
      <xdr:colOff>426720</xdr:colOff>
      <xdr:row>16</xdr:row>
      <xdr:rowOff>76200</xdr:rowOff>
    </xdr:to>
    <xdr:graphicFrame macro="">
      <xdr:nvGraphicFramePr>
        <xdr:cNvPr id="14" name="Chart 13">
          <a:extLst>
            <a:ext uri="{FF2B5EF4-FFF2-40B4-BE49-F238E27FC236}">
              <a16:creationId xmlns:a16="http://schemas.microsoft.com/office/drawing/2014/main" id="{4AC2F22F-6DE4-4DDE-8265-8FF84933C0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419100</xdr:colOff>
      <xdr:row>18</xdr:row>
      <xdr:rowOff>167640</xdr:rowOff>
    </xdr:from>
    <xdr:to>
      <xdr:col>13</xdr:col>
      <xdr:colOff>495300</xdr:colOff>
      <xdr:row>27</xdr:row>
      <xdr:rowOff>83820</xdr:rowOff>
    </xdr:to>
    <xdr:graphicFrame macro="">
      <xdr:nvGraphicFramePr>
        <xdr:cNvPr id="15" name="Chart 14">
          <a:extLst>
            <a:ext uri="{FF2B5EF4-FFF2-40B4-BE49-F238E27FC236}">
              <a16:creationId xmlns:a16="http://schemas.microsoft.com/office/drawing/2014/main" id="{CF6975E4-933F-49BE-B7A2-B7DCE949D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220980</xdr:colOff>
      <xdr:row>7</xdr:row>
      <xdr:rowOff>68580</xdr:rowOff>
    </xdr:from>
    <xdr:to>
      <xdr:col>17</xdr:col>
      <xdr:colOff>259080</xdr:colOff>
      <xdr:row>16</xdr:row>
      <xdr:rowOff>22860</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51E4BAB4-112A-4403-B1FE-6CD861EE8B3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145780" y="1432560"/>
              <a:ext cx="2476500" cy="1600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60960</xdr:colOff>
      <xdr:row>7</xdr:row>
      <xdr:rowOff>45720</xdr:rowOff>
    </xdr:from>
    <xdr:to>
      <xdr:col>22</xdr:col>
      <xdr:colOff>320040</xdr:colOff>
      <xdr:row>16</xdr:row>
      <xdr:rowOff>53340</xdr:rowOff>
    </xdr:to>
    <xdr:graphicFrame macro="">
      <xdr:nvGraphicFramePr>
        <xdr:cNvPr id="18" name="Chart 17">
          <a:extLst>
            <a:ext uri="{FF2B5EF4-FFF2-40B4-BE49-F238E27FC236}">
              <a16:creationId xmlns:a16="http://schemas.microsoft.com/office/drawing/2014/main" id="{4C2FE2CE-B3E2-40D5-A6C7-65A455E30B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294375</xdr:colOff>
      <xdr:row>5</xdr:row>
      <xdr:rowOff>136975</xdr:rowOff>
    </xdr:from>
    <xdr:ext cx="1651542" cy="342786"/>
    <xdr:sp macro="" textlink="">
      <xdr:nvSpPr>
        <xdr:cNvPr id="19" name="Rectangle 18">
          <a:extLst>
            <a:ext uri="{FF2B5EF4-FFF2-40B4-BE49-F238E27FC236}">
              <a16:creationId xmlns:a16="http://schemas.microsoft.com/office/drawing/2014/main" id="{767F4D54-35FB-BC66-FB69-608DE4BBF685}"/>
            </a:ext>
          </a:extLst>
        </xdr:cNvPr>
        <xdr:cNvSpPr/>
      </xdr:nvSpPr>
      <xdr:spPr>
        <a:xfrm>
          <a:off x="294375" y="1051375"/>
          <a:ext cx="1651542"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 By Category</a:t>
          </a:r>
        </a:p>
      </xdr:txBody>
    </xdr:sp>
    <xdr:clientData/>
  </xdr:oneCellAnchor>
  <xdr:oneCellAnchor>
    <xdr:from>
      <xdr:col>6</xdr:col>
      <xdr:colOff>433824</xdr:colOff>
      <xdr:row>5</xdr:row>
      <xdr:rowOff>175075</xdr:rowOff>
    </xdr:from>
    <xdr:ext cx="2195601" cy="342786"/>
    <xdr:sp macro="" textlink="">
      <xdr:nvSpPr>
        <xdr:cNvPr id="21" name="Rectangle 20">
          <a:extLst>
            <a:ext uri="{FF2B5EF4-FFF2-40B4-BE49-F238E27FC236}">
              <a16:creationId xmlns:a16="http://schemas.microsoft.com/office/drawing/2014/main" id="{851BC4BE-4A67-6571-B5AD-56A2222AEEA8}"/>
            </a:ext>
          </a:extLst>
        </xdr:cNvPr>
        <xdr:cNvSpPr/>
      </xdr:nvSpPr>
      <xdr:spPr>
        <a:xfrm>
          <a:off x="4091424" y="1089475"/>
          <a:ext cx="2195601"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Profit Gained Over Time</a:t>
          </a:r>
        </a:p>
      </xdr:txBody>
    </xdr:sp>
    <xdr:clientData/>
  </xdr:oneCellAnchor>
  <xdr:oneCellAnchor>
    <xdr:from>
      <xdr:col>13</xdr:col>
      <xdr:colOff>215953</xdr:colOff>
      <xdr:row>5</xdr:row>
      <xdr:rowOff>190315</xdr:rowOff>
    </xdr:from>
    <xdr:ext cx="1335943" cy="342786"/>
    <xdr:sp macro="" textlink="">
      <xdr:nvSpPr>
        <xdr:cNvPr id="27" name="Rectangle 26">
          <a:extLst>
            <a:ext uri="{FF2B5EF4-FFF2-40B4-BE49-F238E27FC236}">
              <a16:creationId xmlns:a16="http://schemas.microsoft.com/office/drawing/2014/main" id="{35D93376-4FB1-0399-05A3-517F030F50E6}"/>
            </a:ext>
          </a:extLst>
        </xdr:cNvPr>
        <xdr:cNvSpPr/>
      </xdr:nvSpPr>
      <xdr:spPr>
        <a:xfrm>
          <a:off x="8140753" y="1104715"/>
          <a:ext cx="1335943"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 By State</a:t>
          </a:r>
        </a:p>
      </xdr:txBody>
    </xdr:sp>
    <xdr:clientData/>
  </xdr:oneCellAnchor>
  <xdr:oneCellAnchor>
    <xdr:from>
      <xdr:col>18</xdr:col>
      <xdr:colOff>88607</xdr:colOff>
      <xdr:row>5</xdr:row>
      <xdr:rowOff>152215</xdr:rowOff>
    </xdr:from>
    <xdr:ext cx="1544910" cy="342786"/>
    <xdr:sp macro="" textlink="">
      <xdr:nvSpPr>
        <xdr:cNvPr id="28" name="Rectangle 27">
          <a:extLst>
            <a:ext uri="{FF2B5EF4-FFF2-40B4-BE49-F238E27FC236}">
              <a16:creationId xmlns:a16="http://schemas.microsoft.com/office/drawing/2014/main" id="{5D8742AF-D0DF-20B9-9004-2EC4E029953E}"/>
            </a:ext>
          </a:extLst>
        </xdr:cNvPr>
        <xdr:cNvSpPr/>
      </xdr:nvSpPr>
      <xdr:spPr>
        <a:xfrm>
          <a:off x="11061407" y="1066615"/>
          <a:ext cx="1544910"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Customer Count</a:t>
          </a:r>
          <a:endParaRPr lang="en-IN"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385352</xdr:colOff>
      <xdr:row>17</xdr:row>
      <xdr:rowOff>60775</xdr:rowOff>
    </xdr:from>
    <xdr:ext cx="2764988" cy="342786"/>
    <xdr:sp macro="" textlink="">
      <xdr:nvSpPr>
        <xdr:cNvPr id="29" name="Rectangle 28">
          <a:extLst>
            <a:ext uri="{FF2B5EF4-FFF2-40B4-BE49-F238E27FC236}">
              <a16:creationId xmlns:a16="http://schemas.microsoft.com/office/drawing/2014/main" id="{B6E94BEB-338B-7AC4-8995-9C5514834988}"/>
            </a:ext>
          </a:extLst>
        </xdr:cNvPr>
        <xdr:cNvSpPr/>
      </xdr:nvSpPr>
      <xdr:spPr>
        <a:xfrm>
          <a:off x="4042952" y="3253555"/>
          <a:ext cx="2764988"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Top 5 Customers Making Profit</a:t>
          </a:r>
          <a:endParaRPr lang="en-IN"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14</xdr:col>
      <xdr:colOff>470181</xdr:colOff>
      <xdr:row>17</xdr:row>
      <xdr:rowOff>76015</xdr:rowOff>
    </xdr:from>
    <xdr:ext cx="1360885" cy="342786"/>
    <xdr:sp macro="" textlink="">
      <xdr:nvSpPr>
        <xdr:cNvPr id="30" name="Rectangle 29">
          <a:extLst>
            <a:ext uri="{FF2B5EF4-FFF2-40B4-BE49-F238E27FC236}">
              <a16:creationId xmlns:a16="http://schemas.microsoft.com/office/drawing/2014/main" id="{6148C61E-5047-F03F-E23C-2551EAD22B4A}"/>
            </a:ext>
          </a:extLst>
        </xdr:cNvPr>
        <xdr:cNvSpPr/>
      </xdr:nvSpPr>
      <xdr:spPr>
        <a:xfrm>
          <a:off x="9004581" y="3268795"/>
          <a:ext cx="1360885"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Monthly Sales</a:t>
          </a:r>
          <a:endParaRPr lang="en-IN"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7</xdr:col>
      <xdr:colOff>91440</xdr:colOff>
      <xdr:row>4</xdr:row>
      <xdr:rowOff>30480</xdr:rowOff>
    </xdr:from>
    <xdr:to>
      <xdr:col>12</xdr:col>
      <xdr:colOff>434340</xdr:colOff>
      <xdr:row>25</xdr:row>
      <xdr:rowOff>114300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1E75A056-44F8-B51A-887D-AEE728C243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762000"/>
              <a:ext cx="3390900" cy="39243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144780</xdr:colOff>
      <xdr:row>6</xdr:row>
      <xdr:rowOff>171450</xdr:rowOff>
    </xdr:from>
    <xdr:to>
      <xdr:col>5</xdr:col>
      <xdr:colOff>381000</xdr:colOff>
      <xdr:row>21</xdr:row>
      <xdr:rowOff>171450</xdr:rowOff>
    </xdr:to>
    <xdr:graphicFrame macro="">
      <xdr:nvGraphicFramePr>
        <xdr:cNvPr id="3" name="Chart 2">
          <a:extLst>
            <a:ext uri="{FF2B5EF4-FFF2-40B4-BE49-F238E27FC236}">
              <a16:creationId xmlns:a16="http://schemas.microsoft.com/office/drawing/2014/main" id="{B2CAFBB3-F475-97D9-D66D-EACA0EC9AE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365760</xdr:colOff>
      <xdr:row>1</xdr:row>
      <xdr:rowOff>175261</xdr:rowOff>
    </xdr:from>
    <xdr:to>
      <xdr:col>5</xdr:col>
      <xdr:colOff>365760</xdr:colOff>
      <xdr:row>8</xdr:row>
      <xdr:rowOff>129541</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BD994CBD-DB34-2A16-4AA4-84F4271ED22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026920" y="358141"/>
              <a:ext cx="182880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243840</xdr:colOff>
      <xdr:row>2</xdr:row>
      <xdr:rowOff>163830</xdr:rowOff>
    </xdr:from>
    <xdr:to>
      <xdr:col>13</xdr:col>
      <xdr:colOff>548640</xdr:colOff>
      <xdr:row>17</xdr:row>
      <xdr:rowOff>163830</xdr:rowOff>
    </xdr:to>
    <xdr:graphicFrame macro="">
      <xdr:nvGraphicFramePr>
        <xdr:cNvPr id="4" name="Chart 3">
          <a:extLst>
            <a:ext uri="{FF2B5EF4-FFF2-40B4-BE49-F238E27FC236}">
              <a16:creationId xmlns:a16="http://schemas.microsoft.com/office/drawing/2014/main" id="{0ECC9B25-DE2C-361D-FCFA-25DC10DDBF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411480</xdr:colOff>
      <xdr:row>6</xdr:row>
      <xdr:rowOff>41910</xdr:rowOff>
    </xdr:from>
    <xdr:to>
      <xdr:col>10</xdr:col>
      <xdr:colOff>441960</xdr:colOff>
      <xdr:row>21</xdr:row>
      <xdr:rowOff>41910</xdr:rowOff>
    </xdr:to>
    <xdr:graphicFrame macro="">
      <xdr:nvGraphicFramePr>
        <xdr:cNvPr id="3" name="Chart 2">
          <a:extLst>
            <a:ext uri="{FF2B5EF4-FFF2-40B4-BE49-F238E27FC236}">
              <a16:creationId xmlns:a16="http://schemas.microsoft.com/office/drawing/2014/main" id="{4F3D1D80-CB37-CD61-7423-A7CDB025FC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335280</xdr:colOff>
      <xdr:row>6</xdr:row>
      <xdr:rowOff>87630</xdr:rowOff>
    </xdr:from>
    <xdr:to>
      <xdr:col>16</xdr:col>
      <xdr:colOff>30480</xdr:colOff>
      <xdr:row>21</xdr:row>
      <xdr:rowOff>87630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6BDF3492-641B-61EA-B5CF-3BD94D55D11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431280" y="11849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365760</xdr:colOff>
      <xdr:row>7</xdr:row>
      <xdr:rowOff>0</xdr:rowOff>
    </xdr:from>
    <xdr:to>
      <xdr:col>8</xdr:col>
      <xdr:colOff>365760</xdr:colOff>
      <xdr:row>20</xdr:row>
      <xdr:rowOff>89535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449A200B-E685-3173-5E21-F85273055FD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632960" y="1280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327660</xdr:colOff>
      <xdr:row>8</xdr:row>
      <xdr:rowOff>133350</xdr:rowOff>
    </xdr:from>
    <xdr:to>
      <xdr:col>8</xdr:col>
      <xdr:colOff>129540</xdr:colOff>
      <xdr:row>23</xdr:row>
      <xdr:rowOff>133350</xdr:rowOff>
    </xdr:to>
    <xdr:graphicFrame macro="">
      <xdr:nvGraphicFramePr>
        <xdr:cNvPr id="2" name="Chart 1">
          <a:extLst>
            <a:ext uri="{FF2B5EF4-FFF2-40B4-BE49-F238E27FC236}">
              <a16:creationId xmlns:a16="http://schemas.microsoft.com/office/drawing/2014/main" id="{A81FBC07-DA17-A20A-210C-577C5F8676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ulya" refreshedDate="46030.290024884256" createdVersion="8" refreshedVersion="8" minRefreshableVersion="3" recordCount="2598" xr:uid="{2F2BA82A-389B-4328-A5E1-DC2489A06B9C}">
  <cacheSource type="worksheet">
    <worksheetSource name="SalesData"/>
  </cacheSource>
  <cacheFields count="11">
    <cacheField name="Order Date" numFmtId="14">
      <sharedItems containsSemiMixedTypes="0" containsNonDate="0" containsDate="1" containsString="0" minDate="2014-01-03T00:00:00" maxDate="2015-06-12T00:00:00"/>
    </cacheField>
    <cacheField name="Year" numFmtId="1">
      <sharedItems containsSemiMixedTypes="0" containsString="0" containsNumber="1" containsInteger="1" minValue="2014" maxValue="2015" count="2">
        <n v="2014"/>
        <n v="2015"/>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656">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haredItems>
    </cacheField>
    <cacheField name="State" numFmtId="0">
      <sharedItems count="45">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85"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3701.89" maxValue="4630.4799999999996"/>
    </cacheField>
  </cacheFields>
  <extLst>
    <ext xmlns:x14="http://schemas.microsoft.com/office/spreadsheetml/2009/9/main" uri="{725AE2AE-9491-48be-B2B4-4EB974FC3084}">
      <x14:pivotCacheDefinition pivotCacheId="16218575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ulya" refreshedDate="46030.314443402778" createdVersion="8" refreshedVersion="8" minRefreshableVersion="3" recordCount="854" xr:uid="{EE413F78-49F9-4911-831C-C96A36178FA8}">
  <cacheSource type="worksheet">
    <worksheetSource name="Table3"/>
  </cacheSource>
  <cacheFields count="2">
    <cacheField name="Year" numFmtId="1">
      <sharedItems containsSemiMixedTypes="0" containsString="0" containsNumber="1" containsInteger="1" minValue="2014" maxValue="2015" count="2">
        <n v="2014"/>
        <n v="2015"/>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98">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 x 11"/>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ésumé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 30456 USB Flash Drive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 phone"/>
    <n v="471.92"/>
    <n v="2"/>
    <n v="29.5"/>
  </r>
  <r>
    <d v="2014-03-17T00:00:00"/>
    <x v="0"/>
    <x v="2"/>
    <x v="84"/>
    <x v="28"/>
    <x v="0"/>
    <x v="12"/>
    <s v="Bionaire Personal Warm Mist Humidifier/Vaporizer"/>
    <n v="93.78"/>
    <n v="2"/>
    <n v="36.57"/>
  </r>
  <r>
    <d v="2014-03-17T00:00:00"/>
    <x v="0"/>
    <x v="2"/>
    <x v="84"/>
    <x v="28"/>
    <x v="0"/>
    <x v="0"/>
    <s v="Memo Book, 100 Message Capacity, 5 3/8 x 11"/>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 Swivel Flash Drive USB flash drive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 Secure+ Hardware Encrypted USB 2.0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 Office Telephone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 Clip USB flash drive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 x 11"/>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 30456 USB Flash Drive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 phone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 Phone Headset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 phone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 phone"/>
    <n v="1214.8499999999999"/>
    <n v="3"/>
    <n v="352.31"/>
  </r>
  <r>
    <d v="2014-06-22T00:00:00"/>
    <x v="0"/>
    <x v="5"/>
    <x v="264"/>
    <x v="26"/>
    <x v="2"/>
    <x v="9"/>
    <s v="KeyTronic 6101 Series - Keyboard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 Headset - headset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 8gb Micro Traveldrive Usb 2.0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Pillow Soft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 x 11"/>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 headset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 KT400U2 - Keyboard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 Phone Headset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 USB 2.0 Swivel Flash Drive USB flash drive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 Phone 7961G VoIP phone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 Headset - headset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ésumé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 Telephone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 16GB Mini TravelDrive USB 2.0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ésumé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ésumé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 Headset - headset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 KT400U2 - Keyboard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 Phone 7961G VoIP phone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 32GB Pocket Pro USB 3.0 Flash Drive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 Secure+ Hardware Encrypted USB 2.0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 32GB Pocket Pro USB 3.0 Flash Drive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 headset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 Secure Drive + Hardware Encrypted USB flash drive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 KT800P2 - Keyboard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 x 11"/>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 Flash Drive Imation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 phone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 Headset - headset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à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 Secure Drive + Hardware Encrypted USB flash drive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4">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ö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ö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ä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ö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ösisch"/>
  </r>
  <r>
    <x v="0"/>
    <s v="Darren Budd"/>
  </r>
  <r>
    <x v="0"/>
    <s v="Maris LaWare"/>
  </r>
  <r>
    <x v="0"/>
    <s v="Jeremy Lonsdale"/>
  </r>
  <r>
    <x v="0"/>
    <s v="Candace McMahon"/>
  </r>
  <r>
    <x v="0"/>
    <s v="Robert Marley"/>
  </r>
  <r>
    <x v="0"/>
    <s v="Jamie Frazer"/>
  </r>
  <r>
    <x v="0"/>
    <s v="Peter B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ö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ä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F25470-0234-45B0-9C57-48995CD45740}"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numFmtId="1" showAll="0">
      <items count="3">
        <item x="0"/>
        <item x="1"/>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5"/>
    </i>
    <i>
      <x v="13"/>
    </i>
    <i>
      <x v="11"/>
    </i>
    <i>
      <x v="14"/>
    </i>
    <i>
      <x v="3"/>
    </i>
    <i>
      <x v="16"/>
    </i>
    <i>
      <x/>
    </i>
    <i>
      <x v="4"/>
    </i>
    <i>
      <x v="1"/>
    </i>
    <i>
      <x v="9"/>
    </i>
    <i>
      <x v="6"/>
    </i>
    <i>
      <x v="12"/>
    </i>
    <i>
      <x v="15"/>
    </i>
    <i>
      <x v="2"/>
    </i>
    <i>
      <x v="7"/>
    </i>
    <i>
      <x v="10"/>
    </i>
    <i>
      <x v="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B26629-F122-4106-A862-F91B7D73C3F6}"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D6" firstHeaderRow="1" firstDataRow="2" firstDataCol="1"/>
  <pivotFields count="11">
    <pivotField numFmtId="14" showAll="0"/>
    <pivotField axis="axisRow" numFmtId="1" showAll="0">
      <items count="3">
        <item x="0"/>
        <item x="1"/>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2">
    <i>
      <x/>
    </i>
    <i>
      <x v="1"/>
    </i>
  </rowItems>
  <colFields count="1">
    <field x="5"/>
  </colFields>
  <colItems count="3">
    <i>
      <x/>
    </i>
    <i>
      <x v="1"/>
    </i>
    <i>
      <x v="2"/>
    </i>
  </colItems>
  <dataFields count="1">
    <dataField name="Sum of Profit" fld="10" baseField="0" baseItem="0" numFmtId="2"/>
  </dataFields>
  <chartFormats count="6">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3" format="6"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1"/>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BAEC68-3AFE-4170-97F5-0E4A8623B82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11">
    <pivotField numFmtId="14" showAll="0"/>
    <pivotField numFmtId="1" showAll="0">
      <items count="3">
        <item x="0"/>
        <item x="1"/>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numFmtId="2"/>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27F4E2-C123-4F38-9A11-AAF066DD3D68}"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1:B657" firstHeaderRow="1" firstDataRow="1" firstDataCol="1"/>
  <pivotFields count="11">
    <pivotField numFmtId="14" showAll="0"/>
    <pivotField numFmtId="1" showAll="0">
      <items count="3">
        <item x="0"/>
        <item x="1"/>
        <item t="default"/>
      </items>
    </pivotField>
    <pivotField numFmtId="1" showAll="0"/>
    <pivotField axis="axisRow" showAll="0" sortType="descending">
      <items count="657">
        <item x="48"/>
        <item x="160"/>
        <item x="322"/>
        <item x="512"/>
        <item x="423"/>
        <item x="579"/>
        <item x="303"/>
        <item x="69"/>
        <item x="513"/>
        <item x="525"/>
        <item x="611"/>
        <item x="545"/>
        <item x="464"/>
        <item x="83"/>
        <item x="314"/>
        <item x="199"/>
        <item x="166"/>
        <item x="116"/>
        <item x="592"/>
        <item x="450"/>
        <item x="158"/>
        <item x="156"/>
        <item x="444"/>
        <item x="296"/>
        <item x="538"/>
        <item x="482"/>
        <item x="596"/>
        <item x="182"/>
        <item x="597"/>
        <item x="177"/>
        <item x="340"/>
        <item x="539"/>
        <item x="135"/>
        <item x="475"/>
        <item x="518"/>
        <item x="326"/>
        <item x="266"/>
        <item x="461"/>
        <item x="643"/>
        <item x="123"/>
        <item x="481"/>
        <item x="64"/>
        <item x="372"/>
        <item x="86"/>
        <item x="408"/>
        <item x="8"/>
        <item x="202"/>
        <item x="278"/>
        <item x="630"/>
        <item x="170"/>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183"/>
        <item x="544"/>
        <item x="478"/>
        <item x="239"/>
        <item x="396"/>
        <item x="32"/>
        <item x="84"/>
        <item x="214"/>
        <item x="653"/>
        <item x="648"/>
        <item x="14"/>
        <item x="12"/>
        <item x="280"/>
        <item x="449"/>
        <item x="291"/>
        <item x="267"/>
        <item x="542"/>
        <item x="196"/>
        <item x="248"/>
        <item x="100"/>
        <item x="206"/>
        <item x="240"/>
        <item x="507"/>
        <item x="568"/>
        <item x="178"/>
        <item x="319"/>
        <item x="249"/>
        <item x="101"/>
        <item x="246"/>
        <item x="27"/>
        <item x="189"/>
        <item x="92"/>
        <item x="651"/>
        <item x="552"/>
        <item x="570"/>
        <item x="626"/>
        <item x="330"/>
        <item x="309"/>
        <item x="345"/>
        <item x="74"/>
        <item x="393"/>
        <item x="10"/>
        <item x="103"/>
        <item x="107"/>
        <item x="305"/>
        <item x="79"/>
        <item x="85"/>
        <item x="349"/>
        <item x="616"/>
        <item x="431"/>
        <item x="250"/>
        <item x="204"/>
        <item x="599"/>
        <item x="106"/>
        <item x="595"/>
        <item x="68"/>
        <item x="584"/>
        <item x="369"/>
        <item x="234"/>
        <item x="261"/>
        <item x="619"/>
        <item x="583"/>
        <item x="96"/>
        <item x="71"/>
        <item x="353"/>
        <item x="563"/>
        <item x="38"/>
        <item x="273"/>
        <item x="33"/>
        <item x="601"/>
        <item x="105"/>
        <item x="284"/>
        <item x="275"/>
        <item x="613"/>
        <item x="474"/>
        <item x="392"/>
        <item x="108"/>
        <item x="441"/>
        <item x="504"/>
        <item x="536"/>
        <item x="0"/>
        <item x="406"/>
        <item x="293"/>
        <item x="56"/>
        <item x="526"/>
        <item x="610"/>
        <item x="639"/>
        <item x="447"/>
        <item x="553"/>
        <item x="547"/>
        <item x="171"/>
        <item x="17"/>
        <item x="622"/>
        <item x="78"/>
        <item x="222"/>
        <item x="354"/>
        <item x="35"/>
        <item x="587"/>
        <item x="486"/>
        <item x="16"/>
        <item x="268"/>
        <item x="491"/>
        <item x="524"/>
        <item x="380"/>
        <item x="285"/>
        <item x="561"/>
        <item x="445"/>
        <item x="163"/>
        <item x="265"/>
        <item x="233"/>
        <item x="351"/>
        <item x="286"/>
        <item x="159"/>
        <item x="118"/>
        <item x="360"/>
        <item x="112"/>
        <item x="440"/>
        <item x="257"/>
        <item x="347"/>
        <item x="416"/>
        <item x="290"/>
        <item x="28"/>
        <item x="615"/>
        <item x="150"/>
        <item x="647"/>
        <item x="89"/>
        <item x="654"/>
        <item x="551"/>
        <item x="227"/>
        <item x="185"/>
        <item x="341"/>
        <item x="287"/>
        <item x="34"/>
        <item x="281"/>
        <item x="15"/>
        <item x="200"/>
        <item x="414"/>
        <item x="400"/>
        <item x="574"/>
        <item x="313"/>
        <item x="442"/>
        <item x="632"/>
        <item x="469"/>
        <item x="306"/>
        <item x="67"/>
        <item x="438"/>
        <item x="216"/>
        <item x="76"/>
        <item x="410"/>
        <item x="215"/>
        <item x="136"/>
        <item x="365"/>
        <item x="251"/>
        <item x="558"/>
        <item x="452"/>
        <item x="470"/>
        <item x="623"/>
        <item x="292"/>
        <item x="258"/>
        <item x="95"/>
        <item x="146"/>
        <item x="333"/>
        <item x="344"/>
        <item x="208"/>
        <item x="169"/>
        <item x="434"/>
        <item x="523"/>
        <item x="186"/>
        <item x="60"/>
        <item x="271"/>
        <item x="241"/>
        <item x="480"/>
        <item x="193"/>
        <item x="129"/>
        <item x="217"/>
        <item x="41"/>
        <item x="133"/>
        <item x="606"/>
        <item x="57"/>
        <item x="198"/>
        <item x="187"/>
        <item x="535"/>
        <item x="173"/>
        <item x="312"/>
        <item x="631"/>
        <item x="252"/>
        <item x="276"/>
        <item x="454"/>
        <item x="418"/>
        <item x="221"/>
        <item x="370"/>
        <item x="459"/>
        <item x="19"/>
        <item x="24"/>
        <item x="576"/>
        <item x="466"/>
        <item x="325"/>
        <item x="419"/>
        <item x="304"/>
        <item x="4"/>
        <item x="229"/>
        <item x="594"/>
        <item x="509"/>
        <item x="295"/>
        <item x="638"/>
        <item x="219"/>
        <item x="362"/>
        <item x="117"/>
        <item x="80"/>
        <item x="527"/>
        <item x="29"/>
        <item x="144"/>
        <item x="403"/>
        <item x="259"/>
        <item x="54"/>
        <item x="612"/>
        <item x="359"/>
        <item x="617"/>
        <item x="467"/>
        <item x="506"/>
        <item x="355"/>
        <item x="401"/>
        <item x="618"/>
        <item x="453"/>
        <item x="65"/>
        <item x="458"/>
        <item x="232"/>
        <item x="412"/>
        <item x="140"/>
        <item x="364"/>
        <item x="519"/>
        <item x="264"/>
        <item x="405"/>
        <item x="628"/>
        <item x="130"/>
        <item x="209"/>
        <item x="154"/>
        <item x="315"/>
        <item x="522"/>
        <item x="143"/>
        <item x="104"/>
        <item x="557"/>
        <item x="179"/>
        <item x="409"/>
        <item x="343"/>
        <item x="448"/>
        <item x="55"/>
        <item x="640"/>
        <item x="427"/>
        <item x="621"/>
        <item x="636"/>
        <item x="520"/>
        <item x="488"/>
        <item x="425"/>
        <item x="514"/>
        <item x="645"/>
        <item x="176"/>
        <item x="119"/>
        <item x="385"/>
        <item x="502"/>
        <item x="432"/>
        <item x="600"/>
        <item x="366"/>
        <item x="121"/>
        <item x="375"/>
        <item x="175"/>
        <item x="307"/>
        <item x="549"/>
        <item x="124"/>
        <item x="148"/>
        <item x="388"/>
        <item x="73"/>
        <item x="435"/>
        <item x="348"/>
        <item x="75"/>
        <item x="254"/>
        <item x="439"/>
        <item x="127"/>
        <item x="590"/>
        <item x="484"/>
        <item x="318"/>
        <item x="580"/>
        <item x="566"/>
        <item x="94"/>
        <item x="61"/>
        <item x="111"/>
        <item x="420"/>
        <item x="374"/>
        <item x="174"/>
        <item x="162"/>
        <item x="224"/>
        <item x="230"/>
        <item x="172"/>
        <item x="641"/>
        <item x="164"/>
        <item x="352"/>
        <item x="336"/>
        <item x="49"/>
        <item x="637"/>
        <item x="607"/>
        <item x="471"/>
        <item x="437"/>
        <item x="384"/>
        <item x="382"/>
        <item x="31"/>
        <item x="272"/>
        <item x="269"/>
        <item x="235"/>
        <item x="395"/>
        <item x="391"/>
        <item x="564"/>
        <item x="604"/>
        <item x="321"/>
        <item x="465"/>
        <item x="399"/>
        <item x="3"/>
        <item x="462"/>
        <item x="226"/>
        <item x="387"/>
        <item x="167"/>
        <item x="337"/>
        <item x="5"/>
        <item x="496"/>
        <item x="389"/>
        <item x="44"/>
        <item x="505"/>
        <item x="231"/>
        <item x="36"/>
        <item x="294"/>
        <item x="114"/>
        <item x="20"/>
        <item x="541"/>
        <item x="126"/>
        <item x="493"/>
        <item x="376"/>
        <item x="338"/>
        <item x="550"/>
        <item x="212"/>
        <item x="91"/>
        <item x="543"/>
        <item x="342"/>
        <item x="591"/>
        <item x="473"/>
        <item x="585"/>
        <item x="102"/>
        <item x="297"/>
        <item x="655"/>
        <item x="282"/>
        <item x="223"/>
        <item x="7"/>
        <item x="283"/>
        <item x="548"/>
        <item x="53"/>
        <item x="588"/>
        <item x="521"/>
        <item x="13"/>
        <item x="46"/>
        <item x="627"/>
        <item x="634"/>
        <item x="279"/>
        <item x="415"/>
        <item x="311"/>
        <item x="289"/>
        <item x="147"/>
        <item x="428"/>
        <item x="2"/>
        <item x="260"/>
        <item x="411"/>
        <item x="110"/>
        <item x="575"/>
        <item x="109"/>
        <item x="30"/>
        <item x="363"/>
        <item x="213"/>
        <item x="407"/>
        <item x="650"/>
        <item x="22"/>
        <item x="168"/>
        <item x="483"/>
        <item x="201"/>
        <item x="115"/>
        <item x="537"/>
        <item x="11"/>
        <item x="40"/>
        <item x="262"/>
        <item x="180"/>
        <item x="534"/>
        <item x="39"/>
        <item x="37"/>
        <item x="82"/>
        <item x="646"/>
        <item x="317"/>
        <item x="245"/>
        <item x="327"/>
        <item x="430"/>
        <item x="155"/>
        <item x="62"/>
        <item x="479"/>
        <item x="270"/>
        <item x="555"/>
        <item x="608"/>
        <item x="70"/>
        <item x="377"/>
        <item x="402"/>
        <item x="635"/>
        <item x="593"/>
        <item x="255"/>
        <item x="190"/>
        <item x="225"/>
        <item x="487"/>
        <item x="99"/>
        <item x="378"/>
        <item x="194"/>
        <item x="125"/>
        <item x="485"/>
        <item x="181"/>
        <item x="367"/>
        <item x="152"/>
        <item x="298"/>
        <item x="142"/>
        <item x="137"/>
        <item x="203"/>
        <item x="577"/>
        <item x="205"/>
        <item x="500"/>
        <item x="397"/>
        <item x="510"/>
        <item x="184"/>
        <item x="300"/>
        <item x="413"/>
        <item x="1"/>
        <item x="532"/>
        <item x="517"/>
        <item x="87"/>
        <item x="468"/>
        <item x="565"/>
        <item x="516"/>
        <item x="211"/>
        <item x="195"/>
        <item x="218"/>
        <item x="589"/>
        <item x="332"/>
        <item x="77"/>
        <item x="238"/>
        <item x="81"/>
        <item x="247"/>
        <item x="356"/>
        <item x="511"/>
        <item x="390"/>
        <item x="602"/>
        <item x="122"/>
        <item x="556"/>
        <item x="274"/>
        <item x="357"/>
        <item x="629"/>
        <item x="508"/>
        <item x="310"/>
        <item x="334"/>
        <item x="138"/>
        <item x="644"/>
        <item x="237"/>
        <item x="476"/>
        <item x="554"/>
        <item x="503"/>
        <item x="132"/>
        <item x="141"/>
        <item x="131"/>
        <item x="277"/>
        <item x="446"/>
        <item x="371"/>
        <item x="361"/>
        <item x="562"/>
        <item x="533"/>
        <item x="66"/>
        <item x="381"/>
        <item x="90"/>
        <item x="394"/>
        <item x="42"/>
        <item x="145"/>
        <item x="531"/>
        <item x="421"/>
        <item x="242"/>
        <item x="417"/>
        <item x="582"/>
        <item x="605"/>
        <item x="308"/>
        <item x="134"/>
        <item x="72"/>
        <item x="191"/>
        <item x="573"/>
        <item x="88"/>
        <item x="9"/>
        <item x="59"/>
        <item x="489"/>
        <item x="228"/>
        <item x="253"/>
        <item x="320"/>
        <item x="26"/>
        <item x="373"/>
        <item x="301"/>
        <item x="43"/>
        <item x="457"/>
        <item x="256"/>
        <item x="331"/>
        <item x="25"/>
        <item x="386"/>
        <item x="572"/>
        <item x="153"/>
        <item x="528"/>
        <item x="571"/>
        <item x="188"/>
        <item x="236"/>
        <item x="50"/>
        <item x="490"/>
        <item x="149"/>
        <item x="642"/>
        <item x="52"/>
        <item x="569"/>
        <item x="567"/>
        <item x="113"/>
        <item x="530"/>
        <item x="436"/>
        <item x="472"/>
        <item x="498"/>
        <item x="210"/>
        <item x="51"/>
        <item x="581"/>
        <item x="451"/>
        <item x="207"/>
        <item x="433"/>
        <item x="424"/>
        <item x="633"/>
        <item x="161"/>
        <item x="559"/>
        <item x="586"/>
        <item x="93"/>
        <item x="426"/>
        <item x="495"/>
        <item x="560"/>
        <item x="263"/>
        <item x="460"/>
        <item x="614"/>
        <item x="546"/>
        <item x="18"/>
        <item x="477"/>
        <item x="398"/>
        <item x="23"/>
        <item x="324"/>
        <item x="529"/>
        <item x="578"/>
        <item x="463"/>
        <item x="492"/>
        <item x="128"/>
        <item x="609"/>
        <item x="501"/>
        <item x="47"/>
        <item x="350"/>
        <item x="335"/>
        <item x="120"/>
        <item x="603"/>
        <item x="329"/>
        <item x="139"/>
        <item x="243"/>
        <item x="5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656">
    <i>
      <x v="557"/>
    </i>
    <i>
      <x v="128"/>
    </i>
    <i>
      <x v="467"/>
    </i>
    <i>
      <x v="626"/>
    </i>
    <i>
      <x v="577"/>
    </i>
    <i>
      <x v="235"/>
    </i>
    <i>
      <x v="254"/>
    </i>
    <i>
      <x v="161"/>
    </i>
    <i>
      <x v="453"/>
    </i>
    <i>
      <x v="401"/>
    </i>
    <i>
      <x v="318"/>
    </i>
    <i>
      <x v="452"/>
    </i>
    <i>
      <x v="512"/>
    </i>
    <i>
      <x v="189"/>
    </i>
    <i>
      <x v="238"/>
    </i>
    <i>
      <x v="363"/>
    </i>
    <i>
      <x v="346"/>
    </i>
    <i>
      <x v="562"/>
    </i>
    <i>
      <x v="653"/>
    </i>
    <i>
      <x v="317"/>
    </i>
    <i>
      <x v="412"/>
    </i>
    <i>
      <x v="545"/>
    </i>
    <i>
      <x v="555"/>
    </i>
    <i>
      <x v="79"/>
    </i>
    <i>
      <x v="164"/>
    </i>
    <i>
      <x v="277"/>
    </i>
    <i>
      <x v="464"/>
    </i>
    <i>
      <x v="471"/>
    </i>
    <i>
      <x v="271"/>
    </i>
    <i>
      <x v="243"/>
    </i>
    <i>
      <x v="502"/>
    </i>
    <i>
      <x v="376"/>
    </i>
    <i>
      <x v="153"/>
    </i>
    <i>
      <x v="640"/>
    </i>
    <i>
      <x v="208"/>
    </i>
    <i>
      <x v="415"/>
    </i>
    <i>
      <x v="538"/>
    </i>
    <i>
      <x v="528"/>
    </i>
    <i>
      <x v="372"/>
    </i>
    <i>
      <x v="46"/>
    </i>
    <i>
      <x v="5"/>
    </i>
    <i>
      <x v="211"/>
    </i>
    <i>
      <x v="404"/>
    </i>
    <i>
      <x v="121"/>
    </i>
    <i>
      <x v="137"/>
    </i>
    <i>
      <x v="280"/>
    </i>
    <i>
      <x v="368"/>
    </i>
    <i>
      <x v="496"/>
    </i>
    <i>
      <x v="40"/>
    </i>
    <i>
      <x v="615"/>
    </i>
    <i>
      <x v="336"/>
    </i>
    <i>
      <x v="12"/>
    </i>
    <i>
      <x v="272"/>
    </i>
    <i>
      <x v="381"/>
    </i>
    <i>
      <x v="68"/>
    </i>
    <i>
      <x v="371"/>
    </i>
    <i>
      <x v="52"/>
    </i>
    <i>
      <x v="394"/>
    </i>
    <i>
      <x v="91"/>
    </i>
    <i>
      <x v="163"/>
    </i>
    <i>
      <x v="69"/>
    </i>
    <i>
      <x v="620"/>
    </i>
    <i>
      <x v="530"/>
    </i>
    <i>
      <x v="430"/>
    </i>
    <i>
      <x v="360"/>
    </i>
    <i>
      <x v="117"/>
    </i>
    <i>
      <x v="246"/>
    </i>
    <i>
      <x v="276"/>
    </i>
    <i>
      <x v="544"/>
    </i>
    <i>
      <x v="460"/>
    </i>
    <i>
      <x v="524"/>
    </i>
    <i>
      <x v="608"/>
    </i>
    <i>
      <x v="125"/>
    </i>
    <i>
      <x v="605"/>
    </i>
    <i>
      <x v="521"/>
    </i>
    <i>
      <x v="240"/>
    </i>
    <i>
      <x v="229"/>
    </i>
    <i>
      <x v="459"/>
    </i>
    <i>
      <x v="612"/>
    </i>
    <i>
      <x v="85"/>
    </i>
    <i>
      <x v="306"/>
    </i>
    <i>
      <x v="475"/>
    </i>
    <i>
      <x v="49"/>
    </i>
    <i>
      <x v="230"/>
    </i>
    <i>
      <x v="54"/>
    </i>
    <i>
      <x v="78"/>
    </i>
    <i>
      <x v="482"/>
    </i>
    <i>
      <x v="110"/>
    </i>
    <i>
      <x v="424"/>
    </i>
    <i>
      <x v="375"/>
    </i>
    <i>
      <x v="519"/>
    </i>
    <i>
      <x v="17"/>
    </i>
    <i>
      <x v="409"/>
    </i>
    <i>
      <x v="596"/>
    </i>
    <i>
      <x v="398"/>
    </i>
    <i>
      <x v="584"/>
    </i>
    <i>
      <x v="223"/>
    </i>
    <i>
      <x v="334"/>
    </i>
    <i>
      <x v="232"/>
    </i>
    <i>
      <x v="7"/>
    </i>
    <i>
      <x v="343"/>
    </i>
    <i>
      <x v="31"/>
    </i>
    <i>
      <x v="405"/>
    </i>
    <i>
      <x v="473"/>
    </i>
    <i>
      <x v="207"/>
    </i>
    <i>
      <x v="98"/>
    </i>
    <i>
      <x v="329"/>
    </i>
    <i>
      <x v="547"/>
    </i>
    <i>
      <x v="265"/>
    </i>
    <i>
      <x v="274"/>
    </i>
    <i>
      <x v="332"/>
    </i>
    <i>
      <x v="387"/>
    </i>
    <i>
      <x v="396"/>
    </i>
    <i>
      <x v="330"/>
    </i>
    <i>
      <x v="227"/>
    </i>
    <i>
      <x v="654"/>
    </i>
    <i>
      <x v="461"/>
    </i>
    <i>
      <x v="252"/>
    </i>
    <i>
      <x v="558"/>
    </i>
    <i>
      <x v="365"/>
    </i>
    <i>
      <x v="357"/>
    </i>
    <i>
      <x v="80"/>
    </i>
    <i>
      <x v="300"/>
    </i>
    <i>
      <x v="506"/>
    </i>
    <i>
      <x v="239"/>
    </i>
    <i>
      <x v="651"/>
    </i>
    <i>
      <x v="374"/>
    </i>
    <i>
      <x v="619"/>
    </i>
    <i>
      <x v="535"/>
    </i>
    <i>
      <x v="522"/>
    </i>
    <i>
      <x v="135"/>
    </i>
    <i>
      <x v="485"/>
    </i>
    <i>
      <x v="546"/>
    </i>
    <i>
      <x v="638"/>
    </i>
    <i>
      <x v="1"/>
    </i>
    <i>
      <x v="190"/>
    </i>
    <i>
      <x v="134"/>
    </i>
    <i>
      <x v="463"/>
    </i>
    <i>
      <x v="19"/>
    </i>
    <i>
      <x v="364"/>
    </i>
    <i>
      <x v="86"/>
    </i>
    <i>
      <x v="576"/>
    </i>
    <i>
      <x v="625"/>
    </i>
    <i>
      <x v="199"/>
    </i>
    <i>
      <x v="603"/>
    </i>
    <i>
      <x v="202"/>
    </i>
    <i>
      <x v="143"/>
    </i>
    <i>
      <x v="39"/>
    </i>
    <i>
      <x v="275"/>
    </i>
    <i>
      <x v="114"/>
    </i>
    <i>
      <x v="594"/>
    </i>
    <i>
      <x v="303"/>
    </i>
    <i>
      <x v="587"/>
    </i>
    <i>
      <x v="508"/>
    </i>
    <i>
      <x v="393"/>
    </i>
    <i>
      <x v="28"/>
    </i>
    <i>
      <x v="348"/>
    </i>
    <i>
      <x v="165"/>
    </i>
    <i>
      <x v="373"/>
    </i>
    <i>
      <x v="123"/>
    </i>
    <i>
      <x v="614"/>
    </i>
    <i>
      <x v="225"/>
    </i>
    <i>
      <x v="560"/>
    </i>
    <i>
      <x v="302"/>
    </i>
    <i>
      <x v="64"/>
    </i>
    <i>
      <x v="51"/>
    </i>
    <i>
      <x v="139"/>
    </i>
    <i>
      <x v="82"/>
    </i>
    <i>
      <x v="380"/>
    </i>
    <i>
      <x v="483"/>
    </i>
    <i>
      <x v="406"/>
    </i>
    <i>
      <x v="466"/>
    </i>
    <i>
      <x v="109"/>
    </i>
    <i>
      <x v="428"/>
    </i>
    <i>
      <x v="269"/>
    </i>
    <i>
      <x v="634"/>
    </i>
    <i>
      <x v="490"/>
    </i>
    <i>
      <x v="359"/>
    </i>
    <i>
      <x v="443"/>
    </i>
    <i>
      <x v="150"/>
    </i>
    <i>
      <x v="4"/>
    </i>
    <i>
      <x v="566"/>
    </i>
    <i>
      <x v="234"/>
    </i>
    <i>
      <x v="354"/>
    </i>
    <i>
      <x v="592"/>
    </i>
    <i>
      <x v="652"/>
    </i>
    <i>
      <x v="513"/>
    </i>
    <i>
      <x v="349"/>
    </i>
    <i>
      <x v="301"/>
    </i>
    <i>
      <x v="101"/>
    </i>
    <i>
      <x v="291"/>
    </i>
    <i>
      <x v="591"/>
    </i>
    <i>
      <x v="138"/>
    </i>
    <i>
      <x v="441"/>
    </i>
    <i>
      <x v="253"/>
    </i>
    <i>
      <x v="147"/>
    </i>
    <i>
      <x v="177"/>
    </i>
    <i>
      <x v="183"/>
    </i>
    <i>
      <x v="497"/>
    </i>
    <i>
      <x v="525"/>
    </i>
    <i>
      <x v="266"/>
    </i>
    <i>
      <x v="92"/>
    </i>
    <i>
      <x v="637"/>
    </i>
    <i>
      <x v="43"/>
    </i>
    <i>
      <x v="220"/>
    </i>
    <i>
      <x v="327"/>
    </i>
    <i>
      <x v="650"/>
    </i>
    <i>
      <x v="255"/>
    </i>
    <i>
      <x v="351"/>
    </i>
    <i>
      <x v="65"/>
    </i>
    <i>
      <x v="260"/>
    </i>
    <i>
      <x v="279"/>
    </i>
    <i>
      <x v="124"/>
    </i>
    <i>
      <x v="174"/>
    </i>
    <i>
      <x v="281"/>
    </i>
    <i>
      <x v="606"/>
    </i>
    <i>
      <x v="503"/>
    </i>
    <i>
      <x v="556"/>
    </i>
    <i>
      <x v="118"/>
    </i>
    <i>
      <x v="514"/>
    </i>
    <i>
      <x v="160"/>
    </i>
    <i>
      <x v="90"/>
    </i>
    <i>
      <x v="323"/>
    </i>
    <i>
      <x v="427"/>
    </i>
    <i>
      <x v="479"/>
    </i>
    <i>
      <x v="104"/>
    </i>
    <i>
      <x v="569"/>
    </i>
    <i>
      <x v="517"/>
    </i>
    <i>
      <x v="261"/>
    </i>
    <i>
      <x v="119"/>
    </i>
    <i>
      <x v="284"/>
    </i>
    <i>
      <x v="198"/>
    </i>
    <i>
      <x v="629"/>
    </i>
    <i>
      <x v="71"/>
    </i>
    <i>
      <x v="11"/>
    </i>
    <i>
      <x v="142"/>
    </i>
    <i>
      <x v="335"/>
    </i>
    <i>
      <x v="116"/>
    </i>
    <i>
      <x v="25"/>
    </i>
    <i>
      <x v="340"/>
    </i>
    <i>
      <x v="489"/>
    </i>
    <i>
      <x v="94"/>
    </i>
    <i>
      <x v="484"/>
    </i>
    <i>
      <x v="563"/>
    </i>
    <i>
      <x v="480"/>
    </i>
    <i>
      <x v="129"/>
    </i>
    <i>
      <x v="182"/>
    </i>
    <i>
      <x v="20"/>
    </i>
    <i>
      <x v="385"/>
    </i>
    <i>
      <x v="168"/>
    </i>
    <i>
      <x v="641"/>
    </i>
    <i>
      <x v="36"/>
    </i>
    <i>
      <x v="127"/>
    </i>
    <i>
      <x v="331"/>
    </i>
    <i>
      <x v="113"/>
    </i>
    <i>
      <x v="585"/>
    </i>
    <i>
      <x v="536"/>
    </i>
    <i>
      <x v="321"/>
    </i>
    <i>
      <x v="580"/>
    </i>
    <i>
      <x v="35"/>
    </i>
    <i>
      <x v="42"/>
    </i>
    <i>
      <x v="205"/>
    </i>
    <i>
      <x v="586"/>
    </i>
    <i>
      <x v="350"/>
    </i>
    <i>
      <x v="21"/>
    </i>
    <i>
      <x v="87"/>
    </i>
    <i>
      <x v="146"/>
    </i>
    <i>
      <x v="32"/>
    </i>
    <i>
      <x v="344"/>
    </i>
    <i>
      <x v="222"/>
    </i>
    <i>
      <x v="312"/>
    </i>
    <i>
      <x v="478"/>
    </i>
    <i>
      <x v="157"/>
    </i>
    <i>
      <x v="56"/>
    </i>
    <i>
      <x v="293"/>
    </i>
    <i>
      <x v="270"/>
    </i>
    <i>
      <x v="216"/>
    </i>
    <i>
      <x v="219"/>
    </i>
    <i>
      <x v="551"/>
    </i>
    <i>
      <x v="632"/>
    </i>
    <i>
      <x v="55"/>
    </i>
    <i>
      <x v="170"/>
    </i>
    <i>
      <x v="575"/>
    </i>
    <i>
      <x v="578"/>
    </i>
    <i>
      <x v="171"/>
    </i>
    <i>
      <x v="41"/>
    </i>
    <i>
      <x v="60"/>
    </i>
    <i>
      <x v="214"/>
    </i>
    <i>
      <x v="440"/>
    </i>
    <i>
      <x v="477"/>
    </i>
    <i>
      <x v="237"/>
    </i>
    <i>
      <x v="356"/>
    </i>
    <i>
      <x v="176"/>
    </i>
    <i>
      <x v="589"/>
    </i>
    <i>
      <x v="44"/>
    </i>
    <i>
      <x v="397"/>
    </i>
    <i>
      <x v="552"/>
    </i>
    <i>
      <x v="204"/>
    </i>
    <i>
      <x v="241"/>
    </i>
    <i>
      <x v="418"/>
    </i>
    <i>
      <x v="407"/>
    </i>
    <i>
      <x v="383"/>
    </i>
    <i>
      <x v="283"/>
    </i>
    <i>
      <x v="462"/>
    </i>
    <i>
      <x v="175"/>
    </i>
    <i>
      <x v="288"/>
    </i>
    <i>
      <x v="286"/>
    </i>
    <i>
      <x v="465"/>
    </i>
    <i>
      <x v="468"/>
    </i>
    <i>
      <x v="297"/>
    </i>
    <i>
      <x v="434"/>
    </i>
    <i>
      <x v="338"/>
    </i>
    <i>
      <x v="249"/>
    </i>
    <i>
      <x v="531"/>
    </i>
    <i>
      <x v="419"/>
    </i>
    <i>
      <x v="33"/>
    </i>
    <i>
      <x v="299"/>
    </i>
    <i>
      <x v="529"/>
    </i>
    <i>
      <x v="188"/>
    </i>
    <i>
      <x v="425"/>
    </i>
    <i>
      <x v="148"/>
    </i>
    <i>
      <x v="185"/>
    </i>
    <i>
      <x v="13"/>
    </i>
    <i>
      <x v="481"/>
    </i>
    <i>
      <x v="106"/>
    </i>
    <i>
      <x v="66"/>
    </i>
    <i>
      <x v="97"/>
    </i>
    <i>
      <x v="167"/>
    </i>
    <i>
      <x v="315"/>
    </i>
    <i>
      <x v="282"/>
    </i>
    <i>
      <x v="8"/>
    </i>
    <i>
      <x v="89"/>
    </i>
    <i>
      <x v="367"/>
    </i>
    <i>
      <x v="298"/>
    </i>
    <i>
      <x v="595"/>
    </i>
    <i>
      <x v="352"/>
    </i>
    <i>
      <x v="454"/>
    </i>
    <i>
      <x v="526"/>
    </i>
    <i>
      <x v="633"/>
    </i>
    <i>
      <x v="217"/>
    </i>
    <i>
      <x v="120"/>
    </i>
    <i>
      <x v="476"/>
    </i>
    <i>
      <x v="537"/>
    </i>
    <i>
      <x v="590"/>
    </i>
    <i>
      <x v="501"/>
    </i>
    <i>
      <x v="582"/>
    </i>
    <i>
      <x v="2"/>
    </i>
    <i>
      <x v="469"/>
    </i>
    <i>
      <x v="494"/>
    </i>
    <i>
      <x v="588"/>
    </i>
    <i>
      <x v="436"/>
    </i>
    <i>
      <x v="197"/>
    </i>
    <i>
      <x v="644"/>
    </i>
    <i>
      <x v="447"/>
    </i>
    <i>
      <x v="532"/>
    </i>
    <i>
      <x v="166"/>
    </i>
    <i>
      <x v="631"/>
    </i>
    <i>
      <x v="162"/>
    </i>
    <i>
      <x v="377"/>
    </i>
    <i>
      <x v="195"/>
    </i>
    <i>
      <x v="84"/>
    </i>
    <i>
      <x v="16"/>
    </i>
    <i>
      <x v="264"/>
    </i>
    <i>
      <x v="622"/>
    </i>
    <i>
      <x v="314"/>
    </i>
    <i>
      <x v="257"/>
    </i>
    <i>
      <x v="305"/>
    </i>
    <i>
      <x v="221"/>
    </i>
    <i>
      <x v="186"/>
    </i>
    <i>
      <x v="226"/>
    </i>
    <i>
      <x v="491"/>
    </i>
    <i>
      <x v="133"/>
    </i>
    <i>
      <x v="655"/>
    </i>
    <i>
      <x v="439"/>
    </i>
    <i>
      <x v="102"/>
    </i>
    <i>
      <x v="533"/>
    </i>
    <i>
      <x v="474"/>
    </i>
    <i>
      <x v="14"/>
    </i>
    <i>
      <x v="420"/>
    </i>
    <i>
      <x v="313"/>
    </i>
    <i>
      <x v="600"/>
    </i>
    <i>
      <x v="408"/>
    </i>
    <i>
      <x v="231"/>
    </i>
    <i>
      <x v="74"/>
    </i>
    <i>
      <x v="583"/>
    </i>
    <i>
      <x v="564"/>
    </i>
    <i>
      <x v="438"/>
    </i>
    <i>
      <x v="213"/>
    </i>
    <i>
      <x v="178"/>
    </i>
    <i>
      <x v="247"/>
    </i>
    <i>
      <x v="388"/>
    </i>
    <i>
      <x v="187"/>
    </i>
    <i>
      <x v="262"/>
    </i>
    <i>
      <x v="72"/>
    </i>
    <i>
      <x v="607"/>
    </i>
    <i>
      <x v="511"/>
    </i>
    <i>
      <x v="242"/>
    </i>
    <i>
      <x v="593"/>
    </i>
    <i>
      <x v="47"/>
    </i>
    <i>
      <x v="646"/>
    </i>
    <i>
      <x v="307"/>
    </i>
    <i>
      <x v="273"/>
    </i>
    <i>
      <x v="294"/>
    </i>
    <i>
      <x v="624"/>
    </i>
    <i>
      <x v="210"/>
    </i>
    <i>
      <x v="410"/>
    </i>
    <i>
      <x v="15"/>
    </i>
    <i>
      <x v="158"/>
    </i>
    <i>
      <x v="22"/>
    </i>
    <i>
      <x v="597"/>
    </i>
    <i>
      <x v="289"/>
    </i>
    <i>
      <x v="627"/>
    </i>
    <i>
      <x v="209"/>
    </i>
    <i>
      <x v="122"/>
    </i>
    <i>
      <x v="391"/>
    </i>
    <i>
      <x v="543"/>
    </i>
    <i>
      <x v="602"/>
    </i>
    <i>
      <x v="191"/>
    </i>
    <i>
      <x v="451"/>
    </i>
    <i>
      <x v="518"/>
    </i>
    <i>
      <x v="618"/>
    </i>
    <i>
      <x v="196"/>
    </i>
    <i>
      <x v="504"/>
    </i>
    <i>
      <x v="422"/>
    </i>
    <i>
      <x v="245"/>
    </i>
    <i>
      <x/>
    </i>
    <i>
      <x v="399"/>
    </i>
    <i>
      <x v="107"/>
    </i>
    <i>
      <x v="93"/>
    </i>
    <i>
      <x v="141"/>
    </i>
    <i>
      <x v="579"/>
    </i>
    <i>
      <x v="527"/>
    </i>
    <i>
      <x v="429"/>
    </i>
    <i>
      <x v="296"/>
    </i>
    <i>
      <x v="130"/>
    </i>
    <i>
      <x v="567"/>
    </i>
    <i>
      <x v="442"/>
    </i>
    <i>
      <x v="379"/>
    </i>
    <i>
      <x v="27"/>
    </i>
    <i>
      <x v="378"/>
    </i>
    <i>
      <x v="414"/>
    </i>
    <i>
      <x v="390"/>
    </i>
    <i>
      <x v="278"/>
    </i>
    <i>
      <x v="395"/>
    </i>
    <i>
      <x v="604"/>
    </i>
    <i>
      <x v="493"/>
    </i>
    <i>
      <x v="192"/>
    </i>
    <i>
      <x v="458"/>
    </i>
    <i>
      <x v="115"/>
    </i>
    <i>
      <x v="488"/>
    </i>
    <i>
      <x v="152"/>
    </i>
    <i>
      <x v="308"/>
    </i>
    <i>
      <x v="541"/>
    </i>
    <i>
      <x v="540"/>
    </i>
    <i>
      <x v="59"/>
    </i>
    <i>
      <x v="333"/>
    </i>
    <i>
      <x v="542"/>
    </i>
    <i>
      <x v="251"/>
    </i>
    <i>
      <x v="635"/>
    </i>
    <i>
      <x v="62"/>
    </i>
    <i>
      <x v="194"/>
    </i>
    <i>
      <x v="181"/>
    </i>
    <i>
      <x v="649"/>
    </i>
    <i>
      <x v="554"/>
    </i>
    <i>
      <x v="341"/>
    </i>
    <i>
      <x v="520"/>
    </i>
    <i>
      <x v="613"/>
    </i>
    <i>
      <x v="411"/>
    </i>
    <i>
      <x v="173"/>
    </i>
    <i>
      <x v="362"/>
    </i>
    <i>
      <x v="112"/>
    </i>
    <i>
      <x v="236"/>
    </i>
    <i>
      <x v="610"/>
    </i>
    <i>
      <x v="111"/>
    </i>
    <i>
      <x v="539"/>
    </i>
    <i>
      <x v="445"/>
    </i>
    <i>
      <x v="88"/>
    </i>
    <i>
      <x v="203"/>
    </i>
    <i>
      <x v="63"/>
    </i>
    <i>
      <x v="81"/>
    </i>
    <i>
      <x v="154"/>
    </i>
    <i>
      <x v="248"/>
    </i>
    <i>
      <x v="326"/>
    </i>
    <i>
      <x v="131"/>
    </i>
    <i>
      <x v="99"/>
    </i>
    <i>
      <x v="361"/>
    </i>
    <i>
      <x v="599"/>
    </i>
    <i>
      <x v="358"/>
    </i>
    <i>
      <x v="581"/>
    </i>
    <i>
      <x v="500"/>
    </i>
    <i>
      <x v="413"/>
    </i>
    <i>
      <x v="611"/>
    </i>
    <i>
      <x v="206"/>
    </i>
    <i>
      <x v="598"/>
    </i>
    <i>
      <x v="61"/>
    </i>
    <i>
      <x v="295"/>
    </i>
    <i>
      <x v="3"/>
    </i>
    <i>
      <x v="58"/>
    </i>
    <i>
      <x v="149"/>
    </i>
    <i>
      <x v="180"/>
    </i>
    <i>
      <x v="616"/>
    </i>
    <i>
      <x v="470"/>
    </i>
    <i>
      <x v="621"/>
    </i>
    <i>
      <x v="258"/>
    </i>
    <i>
      <x v="287"/>
    </i>
    <i>
      <x v="212"/>
    </i>
    <i>
      <x v="290"/>
    </i>
    <i>
      <x v="136"/>
    </i>
    <i>
      <x v="455"/>
    </i>
    <i>
      <x v="95"/>
    </i>
    <i>
      <x v="386"/>
    </i>
    <i>
      <x v="24"/>
    </i>
    <i>
      <x v="70"/>
    </i>
    <i>
      <x v="534"/>
    </i>
    <i>
      <x v="48"/>
    </i>
    <i>
      <x v="515"/>
    </i>
    <i>
      <x v="57"/>
    </i>
    <i>
      <x v="495"/>
    </i>
    <i>
      <x v="337"/>
    </i>
    <i>
      <x v="456"/>
    </i>
    <i>
      <x v="233"/>
    </i>
    <i>
      <x v="353"/>
    </i>
    <i>
      <x v="617"/>
    </i>
    <i>
      <x v="218"/>
    </i>
    <i>
      <x v="432"/>
    </i>
    <i>
      <x v="498"/>
    </i>
    <i>
      <x v="433"/>
    </i>
    <i>
      <x v="37"/>
    </i>
    <i>
      <x v="366"/>
    </i>
    <i>
      <x v="83"/>
    </i>
    <i>
      <x v="144"/>
    </i>
    <i>
      <x v="416"/>
    </i>
    <i>
      <x v="9"/>
    </i>
    <i>
      <x v="505"/>
    </i>
    <i>
      <x v="159"/>
    </i>
    <i>
      <x v="29"/>
    </i>
    <i>
      <x v="193"/>
    </i>
    <i>
      <x v="369"/>
    </i>
    <i>
      <x v="325"/>
    </i>
    <i>
      <x v="499"/>
    </i>
    <i>
      <x v="179"/>
    </i>
    <i>
      <x v="76"/>
    </i>
    <i>
      <x v="628"/>
    </i>
    <i>
      <x v="10"/>
    </i>
    <i>
      <x v="370"/>
    </i>
    <i>
      <x v="228"/>
    </i>
    <i>
      <x v="400"/>
    </i>
    <i>
      <x v="23"/>
    </i>
    <i>
      <x v="268"/>
    </i>
    <i>
      <x v="446"/>
    </i>
    <i>
      <x v="34"/>
    </i>
    <i>
      <x v="328"/>
    </i>
    <i>
      <x v="449"/>
    </i>
    <i>
      <x v="548"/>
    </i>
    <i>
      <x v="224"/>
    </i>
    <i>
      <x v="523"/>
    </i>
    <i>
      <x v="6"/>
    </i>
    <i>
      <x v="38"/>
    </i>
    <i>
      <x v="389"/>
    </i>
    <i>
      <x v="565"/>
    </i>
    <i>
      <x v="103"/>
    </i>
    <i>
      <x v="105"/>
    </i>
    <i>
      <x v="345"/>
    </i>
    <i>
      <x v="244"/>
    </i>
    <i>
      <x v="561"/>
    </i>
    <i>
      <x v="639"/>
    </i>
    <i>
      <x v="256"/>
    </i>
    <i>
      <x v="309"/>
    </i>
    <i>
      <x v="172"/>
    </i>
    <i>
      <x v="169"/>
    </i>
    <i>
      <x v="53"/>
    </i>
    <i>
      <x v="140"/>
    </i>
    <i>
      <x v="431"/>
    </i>
    <i>
      <x v="45"/>
    </i>
    <i>
      <x v="201"/>
    </i>
    <i>
      <x v="267"/>
    </i>
    <i>
      <x v="342"/>
    </i>
    <i>
      <x v="132"/>
    </i>
    <i>
      <x v="572"/>
    </i>
    <i>
      <x v="510"/>
    </i>
    <i>
      <x v="347"/>
    </i>
    <i>
      <x v="355"/>
    </i>
    <i>
      <x v="77"/>
    </i>
    <i>
      <x v="492"/>
    </i>
    <i>
      <x v="151"/>
    </i>
    <i>
      <x v="426"/>
    </i>
    <i>
      <x v="263"/>
    </i>
    <i>
      <x v="437"/>
    </i>
    <i>
      <x v="647"/>
    </i>
    <i>
      <x v="402"/>
    </i>
    <i>
      <x v="601"/>
    </i>
    <i>
      <x v="156"/>
    </i>
    <i>
      <x v="75"/>
    </i>
    <i>
      <x v="559"/>
    </i>
    <i>
      <x v="108"/>
    </i>
    <i>
      <x v="444"/>
    </i>
    <i>
      <x v="516"/>
    </i>
    <i>
      <x v="30"/>
    </i>
    <i>
      <x v="319"/>
    </i>
    <i>
      <x v="550"/>
    </i>
    <i>
      <x v="200"/>
    </i>
    <i>
      <x v="486"/>
    </i>
    <i>
      <x v="457"/>
    </i>
    <i>
      <x v="382"/>
    </i>
    <i>
      <x v="292"/>
    </i>
    <i>
      <x v="472"/>
    </i>
    <i>
      <x v="630"/>
    </i>
    <i>
      <x v="450"/>
    </i>
    <i>
      <x v="384"/>
    </i>
    <i>
      <x v="417"/>
    </i>
    <i>
      <x v="184"/>
    </i>
    <i>
      <x v="311"/>
    </i>
    <i>
      <x v="448"/>
    </i>
    <i>
      <x v="609"/>
    </i>
    <i>
      <x v="643"/>
    </i>
    <i>
      <x v="259"/>
    </i>
    <i>
      <x v="155"/>
    </i>
    <i>
      <x v="285"/>
    </i>
    <i>
      <x v="320"/>
    </i>
    <i>
      <x v="96"/>
    </i>
    <i>
      <x v="304"/>
    </i>
    <i>
      <x v="310"/>
    </i>
    <i>
      <x v="642"/>
    </i>
    <i>
      <x v="636"/>
    </i>
    <i>
      <x v="73"/>
    </i>
    <i>
      <x v="18"/>
    </i>
    <i>
      <x v="648"/>
    </i>
    <i>
      <x v="215"/>
    </i>
    <i>
      <x v="573"/>
    </i>
    <i>
      <x v="50"/>
    </i>
    <i>
      <x v="145"/>
    </i>
    <i>
      <x v="623"/>
    </i>
    <i>
      <x v="250"/>
    </i>
    <i>
      <x v="322"/>
    </i>
    <i>
      <x v="435"/>
    </i>
    <i>
      <x v="100"/>
    </i>
    <i>
      <x v="403"/>
    </i>
    <i>
      <x v="26"/>
    </i>
    <i>
      <x v="553"/>
    </i>
    <i>
      <x v="509"/>
    </i>
    <i>
      <x v="571"/>
    </i>
    <i>
      <x v="423"/>
    </i>
    <i>
      <x v="549"/>
    </i>
    <i>
      <x v="421"/>
    </i>
    <i>
      <x v="487"/>
    </i>
    <i>
      <x v="574"/>
    </i>
    <i>
      <x v="316"/>
    </i>
    <i>
      <x v="126"/>
    </i>
    <i>
      <x v="507"/>
    </i>
    <i>
      <x v="324"/>
    </i>
    <i>
      <x v="645"/>
    </i>
    <i>
      <x v="568"/>
    </i>
    <i>
      <x v="339"/>
    </i>
    <i>
      <x v="570"/>
    </i>
    <i>
      <x v="67"/>
    </i>
    <i>
      <x v="392"/>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E2BBAD-CBFF-43BB-AF22-7B1CDD786BB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49" firstHeaderRow="1" firstDataRow="1" firstDataCol="1"/>
  <pivotFields count="11">
    <pivotField numFmtId="14" showAll="0"/>
    <pivotField numFmtId="1" showAll="0">
      <items count="3">
        <item x="0"/>
        <item x="1"/>
        <item t="default"/>
      </items>
    </pivotField>
    <pivotField numFmtId="1" showAll="0"/>
    <pivotField showAll="0"/>
    <pivotField axis="axisRow" showAll="0">
      <items count="46">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10"/>
        <item x="39"/>
        <item x="11"/>
        <item x="2"/>
        <item x="43"/>
        <item x="9"/>
        <item x="19"/>
        <item x="15"/>
        <item x="0"/>
        <item x="27"/>
        <item x="6"/>
        <item x="22"/>
        <item x="21"/>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27C1D1-4AAF-4B1A-9F71-2AA98B7E3853}" name="PivotTable1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E5:F7" firstHeaderRow="1" firstDataRow="1" firstDataCol="1"/>
  <pivotFields count="2">
    <pivotField axis="axisRow" numFmtId="1" showAll="0">
      <items count="3">
        <item x="0"/>
        <item x="1"/>
        <item t="default"/>
      </items>
    </pivotField>
    <pivotField dataField="1" showAll="0"/>
  </pivotFields>
  <rowFields count="1">
    <field x="0"/>
  </rowFields>
  <rowItems count="2">
    <i>
      <x/>
    </i>
    <i>
      <x v="1"/>
    </i>
  </rowItems>
  <colItems count="1">
    <i/>
  </colItems>
  <dataFields count="1">
    <dataField name="Count of Customer Name" fld="1" subtotal="count" baseField="0" baseItem="0"/>
  </dataFields>
  <formats count="5">
    <format dxfId="8">
      <pivotArea type="all" dataOnly="0" outline="0" fieldPosition="0"/>
    </format>
    <format dxfId="7">
      <pivotArea outline="0" collapsedLevelsAreSubtotals="1" fieldPosition="0"/>
    </format>
    <format dxfId="6">
      <pivotArea field="0" type="button" dataOnly="0" labelOnly="1" outline="0" axis="axisRow" fieldPosition="0"/>
    </format>
    <format dxfId="5">
      <pivotArea dataOnly="0" labelOnly="1" fieldPosition="0">
        <references count="1">
          <reference field="0" count="0"/>
        </references>
      </pivotArea>
    </format>
    <format dxfId="4">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99183D8-EFDB-43B6-B90A-68F37825F2DC}" sourceName="Year">
  <pivotTables>
    <pivotTable tabId="4" name="PivotTable7"/>
    <pivotTable tabId="2" name="PivotTable1"/>
    <pivotTable tabId="6" name="PivotTable9"/>
    <pivotTable tabId="5" name="PivotTable8"/>
  </pivotTables>
  <data>
    <tabular pivotCacheId="162185758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395DE99-1CED-4B83-A151-2D9C4172D6E5}" sourceName="Category">
  <pivotTables>
    <pivotTable tabId="6" name="PivotTable9"/>
    <pivotTable tabId="4" name="PivotTable7"/>
    <pivotTable tabId="2" name="PivotTable1"/>
    <pivotTable tabId="5" name="PivotTable8"/>
  </pivotTables>
  <data>
    <tabular pivotCacheId="162185758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E4AD9B04-AD11-4C5C-AD94-3FE9EA6E1921}" cache="Slicer_Year" caption="Year" columnCount="2" style="SlicerStyleDark5" rowHeight="234950"/>
  <slicer name="Category 1" xr10:uid="{60294CB6-8A04-4DAB-8129-E68B816073F4}" cache="Slicer_Category" caption="Category" columnCount="3" style="SlicerStyleDark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6782A57-75EC-4956-A220-A604CF4F709A}" cache="Slicer_Year" caption="Yea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79464BF-908D-4F93-959C-B2A50EDEA059}"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3BA112-D013-468A-8AA1-DF00E01A6F27}" name="SalesData" displayName="SalesData" ref="A1:K2599" totalsRowShown="0" headerRowDxfId="21" dataDxfId="20">
  <autoFilter ref="A1:K2599" xr:uid="{623BA112-D013-468A-8AA1-DF00E01A6F27}"/>
  <sortState xmlns:xlrd2="http://schemas.microsoft.com/office/spreadsheetml/2017/richdata2" ref="A2:K2599">
    <sortCondition ref="A2:A2600"/>
  </sortState>
  <tableColumns count="11">
    <tableColumn id="1" xr3:uid="{313A2730-0858-4D55-B154-3EB62C4D974E}" name="Order Date" dataDxfId="19"/>
    <tableColumn id="11" xr3:uid="{EA9C59AB-1490-4F8B-A1C3-CE03448C5216}" name="Year" dataDxfId="18">
      <calculatedColumnFormula>YEAR(SalesData[[#This Row],[Order Date]])</calculatedColumnFormula>
    </tableColumn>
    <tableColumn id="10" xr3:uid="{C6CFCEBB-BAF7-49EF-A51D-ABE164AA7408}" name="Month" dataDxfId="17">
      <calculatedColumnFormula>MONTH(SalesData[[#This Row],[Order Date]])</calculatedColumnFormula>
    </tableColumn>
    <tableColumn id="2" xr3:uid="{5EC70508-AD5D-43AD-ABC8-80B8CDC13CB2}" name="Customer Name" dataDxfId="16"/>
    <tableColumn id="3" xr3:uid="{D44C9176-4925-46D4-915C-F87CF3D8A873}" name="State" dataDxfId="15"/>
    <tableColumn id="4" xr3:uid="{33C86FFF-567F-4490-A812-B99A96962C93}" name="Category" dataDxfId="14"/>
    <tableColumn id="5" xr3:uid="{E417FE92-53AA-47CA-8ED9-9341BE5B61AD}" name="Sub-Category" dataDxfId="13"/>
    <tableColumn id="6" xr3:uid="{4E67D1C5-0180-448B-B3D0-D7D4D3A34F01}" name="Product Name" dataDxfId="12"/>
    <tableColumn id="7" xr3:uid="{EAED57B5-12D9-40E7-90C2-A75F657DF839}" name="Sales" dataDxfId="11"/>
    <tableColumn id="8" xr3:uid="{2908594B-5A05-49BD-B313-11E336E4B6F8}" name="Quantity" dataDxfId="10"/>
    <tableColumn id="9" xr3:uid="{EAE5EF59-6451-4D29-AB27-8EE9C5AFED97}" name="Profit" data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EE92169-66A1-41AA-8BA2-995ABE37FDE3}" name="Table3" displayName="Table3" ref="A1:B855" totalsRowShown="0" headerRowDxfId="3" dataDxfId="2">
  <autoFilter ref="A1:B855" xr:uid="{9EE92169-66A1-41AA-8BA2-995ABE37FDE3}"/>
  <tableColumns count="2">
    <tableColumn id="1" xr3:uid="{D532041F-1710-4A77-8320-33F8670B2CEA}" name="Year" dataDxfId="1"/>
    <tableColumn id="2" xr3:uid="{8BD69B3E-E93C-468E-87E1-511C4896CF4C}" name="Customer Na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2F0DF-393F-49E1-A53B-B488ECF5BF99}">
  <dimension ref="G6"/>
  <sheetViews>
    <sheetView showGridLines="0" showRowColHeaders="0" tabSelected="1" zoomScaleNormal="100" workbookViewId="0">
      <selection activeCell="R42" sqref="R42"/>
    </sheetView>
  </sheetViews>
  <sheetFormatPr defaultRowHeight="14.4" x14ac:dyDescent="0.3"/>
  <sheetData>
    <row r="6" spans="7:7" ht="21" x14ac:dyDescent="0.3">
      <c r="G6"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68E4F-105A-43C9-AB2E-7ED96612CEB4}">
  <dimension ref="A1:K2600"/>
  <sheetViews>
    <sheetView topLeftCell="A43" workbookViewId="0">
      <selection activeCell="E9" sqref="E9"/>
    </sheetView>
  </sheetViews>
  <sheetFormatPr defaultRowHeight="14.4" x14ac:dyDescent="0.3"/>
  <cols>
    <col min="1" max="1" width="12.21875" style="3" customWidth="1"/>
    <col min="2" max="3" width="12.21875" style="4" customWidth="1"/>
    <col min="4" max="4" width="16.44140625" style="3" customWidth="1"/>
    <col min="5" max="5" width="12.6640625" style="3" customWidth="1"/>
    <col min="6" max="6" width="13.44140625" style="3" customWidth="1"/>
    <col min="7" max="7" width="14.33203125" style="3" customWidth="1"/>
    <col min="8" max="8" width="15" style="3" customWidth="1"/>
    <col min="9" max="9" width="8.88671875" style="6"/>
    <col min="10" max="10" width="10.21875" style="4" customWidth="1"/>
    <col min="11" max="11" width="8.88671875" style="6"/>
    <col min="12" max="16384" width="8.88671875" style="3"/>
  </cols>
  <sheetData>
    <row r="1" spans="1:11" x14ac:dyDescent="0.3">
      <c r="A1" s="3" t="s">
        <v>0</v>
      </c>
      <c r="B1" s="4" t="s">
        <v>2109</v>
      </c>
      <c r="C1" s="4" t="s">
        <v>2110</v>
      </c>
      <c r="D1" s="3" t="s">
        <v>1</v>
      </c>
      <c r="E1" s="3" t="s">
        <v>2</v>
      </c>
      <c r="F1" s="3" t="s">
        <v>3</v>
      </c>
      <c r="G1" s="3" t="s">
        <v>4</v>
      </c>
      <c r="H1" s="3" t="s">
        <v>5</v>
      </c>
      <c r="I1" s="6" t="s">
        <v>6</v>
      </c>
      <c r="J1" s="4" t="s">
        <v>7</v>
      </c>
      <c r="K1" s="6" t="s">
        <v>8</v>
      </c>
    </row>
    <row r="2" spans="1:11" x14ac:dyDescent="0.3">
      <c r="A2" s="7">
        <v>41642</v>
      </c>
      <c r="B2" s="4">
        <f>YEAR(SalesData[[#This Row],[Order Date]])</f>
        <v>2014</v>
      </c>
      <c r="C2" s="4">
        <f>MONTH(SalesData[[#This Row],[Order Date]])</f>
        <v>1</v>
      </c>
      <c r="D2" s="3" t="s">
        <v>9</v>
      </c>
      <c r="E2" s="3" t="s">
        <v>10</v>
      </c>
      <c r="F2" s="3" t="s">
        <v>11</v>
      </c>
      <c r="G2" s="3" t="s">
        <v>12</v>
      </c>
      <c r="H2" s="3" t="s">
        <v>13</v>
      </c>
      <c r="I2" s="6">
        <v>16.45</v>
      </c>
      <c r="J2" s="4">
        <v>2</v>
      </c>
      <c r="K2" s="6">
        <v>5.55</v>
      </c>
    </row>
    <row r="3" spans="1:11" x14ac:dyDescent="0.3">
      <c r="A3" s="7">
        <v>41643</v>
      </c>
      <c r="B3" s="4">
        <f>YEAR(SalesData[[#This Row],[Order Date]])</f>
        <v>2014</v>
      </c>
      <c r="C3" s="4">
        <f>MONTH(SalesData[[#This Row],[Order Date]])</f>
        <v>1</v>
      </c>
      <c r="D3" s="3" t="s">
        <v>14</v>
      </c>
      <c r="E3" s="3" t="s">
        <v>15</v>
      </c>
      <c r="F3" s="3" t="s">
        <v>11</v>
      </c>
      <c r="G3" s="3" t="s">
        <v>16</v>
      </c>
      <c r="H3" s="3" t="s">
        <v>17</v>
      </c>
      <c r="I3" s="6">
        <v>11.78</v>
      </c>
      <c r="J3" s="4">
        <v>3</v>
      </c>
      <c r="K3" s="6">
        <v>4.2699999999999996</v>
      </c>
    </row>
    <row r="4" spans="1:11" x14ac:dyDescent="0.3">
      <c r="A4" s="7">
        <v>41643</v>
      </c>
      <c r="B4" s="4">
        <f>YEAR(SalesData[[#This Row],[Order Date]])</f>
        <v>2014</v>
      </c>
      <c r="C4" s="4">
        <f>MONTH(SalesData[[#This Row],[Order Date]])</f>
        <v>1</v>
      </c>
      <c r="D4" s="3" t="s">
        <v>14</v>
      </c>
      <c r="E4" s="3" t="s">
        <v>15</v>
      </c>
      <c r="F4" s="3" t="s">
        <v>11</v>
      </c>
      <c r="G4" s="3" t="s">
        <v>18</v>
      </c>
      <c r="H4" s="3" t="s">
        <v>19</v>
      </c>
      <c r="I4" s="6">
        <v>272.74</v>
      </c>
      <c r="J4" s="4">
        <v>3</v>
      </c>
      <c r="K4" s="6">
        <v>-64.77</v>
      </c>
    </row>
    <row r="5" spans="1:11" x14ac:dyDescent="0.3">
      <c r="A5" s="7">
        <v>41643</v>
      </c>
      <c r="B5" s="4">
        <f>YEAR(SalesData[[#This Row],[Order Date]])</f>
        <v>2014</v>
      </c>
      <c r="C5" s="4">
        <f>MONTH(SalesData[[#This Row],[Order Date]])</f>
        <v>1</v>
      </c>
      <c r="D5" s="3" t="s">
        <v>14</v>
      </c>
      <c r="E5" s="3" t="s">
        <v>15</v>
      </c>
      <c r="F5" s="3" t="s">
        <v>11</v>
      </c>
      <c r="G5" s="3" t="s">
        <v>20</v>
      </c>
      <c r="H5" s="3" t="s">
        <v>21</v>
      </c>
      <c r="I5" s="6">
        <v>3.54</v>
      </c>
      <c r="J5" s="4">
        <v>2</v>
      </c>
      <c r="K5" s="6">
        <v>-5.49</v>
      </c>
    </row>
    <row r="6" spans="1:11" x14ac:dyDescent="0.3">
      <c r="A6" s="7">
        <v>41644</v>
      </c>
      <c r="B6" s="4">
        <f>YEAR(SalesData[[#This Row],[Order Date]])</f>
        <v>2014</v>
      </c>
      <c r="C6" s="4">
        <f>MONTH(SalesData[[#This Row],[Order Date]])</f>
        <v>1</v>
      </c>
      <c r="D6" s="3" t="s">
        <v>22</v>
      </c>
      <c r="E6" s="3" t="s">
        <v>23</v>
      </c>
      <c r="F6" s="3" t="s">
        <v>11</v>
      </c>
      <c r="G6" s="3" t="s">
        <v>24</v>
      </c>
      <c r="H6" s="3" t="s">
        <v>25</v>
      </c>
      <c r="I6" s="6">
        <v>19.54</v>
      </c>
      <c r="J6" s="4">
        <v>3</v>
      </c>
      <c r="K6" s="6">
        <v>4.88</v>
      </c>
    </row>
    <row r="7" spans="1:11" x14ac:dyDescent="0.3">
      <c r="A7" s="7">
        <v>41645</v>
      </c>
      <c r="B7" s="4">
        <f>YEAR(SalesData[[#This Row],[Order Date]])</f>
        <v>2014</v>
      </c>
      <c r="C7" s="4">
        <f>MONTH(SalesData[[#This Row],[Order Date]])</f>
        <v>1</v>
      </c>
      <c r="D7" s="3" t="s">
        <v>26</v>
      </c>
      <c r="E7" s="3" t="s">
        <v>27</v>
      </c>
      <c r="F7" s="3" t="s">
        <v>11</v>
      </c>
      <c r="G7" s="3" t="s">
        <v>12</v>
      </c>
      <c r="H7" s="3" t="s">
        <v>28</v>
      </c>
      <c r="I7" s="6">
        <v>19.440000000000001</v>
      </c>
      <c r="J7" s="4">
        <v>3</v>
      </c>
      <c r="K7" s="6">
        <v>9.33</v>
      </c>
    </row>
    <row r="8" spans="1:11" x14ac:dyDescent="0.3">
      <c r="A8" s="7">
        <v>41645</v>
      </c>
      <c r="B8" s="4">
        <f>YEAR(SalesData[[#This Row],[Order Date]])</f>
        <v>2014</v>
      </c>
      <c r="C8" s="4">
        <f>MONTH(SalesData[[#This Row],[Order Date]])</f>
        <v>1</v>
      </c>
      <c r="D8" s="3" t="s">
        <v>29</v>
      </c>
      <c r="E8" s="3" t="s">
        <v>30</v>
      </c>
      <c r="F8" s="3" t="s">
        <v>11</v>
      </c>
      <c r="G8" s="3" t="s">
        <v>24</v>
      </c>
      <c r="H8" s="3" t="s">
        <v>31</v>
      </c>
      <c r="I8" s="6">
        <v>12.78</v>
      </c>
      <c r="J8" s="4">
        <v>3</v>
      </c>
      <c r="K8" s="6">
        <v>5.24</v>
      </c>
    </row>
    <row r="9" spans="1:11" x14ac:dyDescent="0.3">
      <c r="A9" s="7">
        <v>41645</v>
      </c>
      <c r="B9" s="4">
        <f>YEAR(SalesData[[#This Row],[Order Date]])</f>
        <v>2014</v>
      </c>
      <c r="C9" s="4">
        <f>MONTH(SalesData[[#This Row],[Order Date]])</f>
        <v>1</v>
      </c>
      <c r="D9" s="3" t="s">
        <v>32</v>
      </c>
      <c r="E9" s="3" t="s">
        <v>33</v>
      </c>
      <c r="F9" s="3" t="s">
        <v>34</v>
      </c>
      <c r="G9" s="3" t="s">
        <v>35</v>
      </c>
      <c r="H9" s="3" t="s">
        <v>36</v>
      </c>
      <c r="I9" s="6">
        <v>2573.8200000000002</v>
      </c>
      <c r="J9" s="4">
        <v>9</v>
      </c>
      <c r="K9" s="6">
        <v>746.41</v>
      </c>
    </row>
    <row r="10" spans="1:11" x14ac:dyDescent="0.3">
      <c r="A10" s="7">
        <v>41645</v>
      </c>
      <c r="B10" s="4">
        <f>YEAR(SalesData[[#This Row],[Order Date]])</f>
        <v>2014</v>
      </c>
      <c r="C10" s="4">
        <f>MONTH(SalesData[[#This Row],[Order Date]])</f>
        <v>1</v>
      </c>
      <c r="D10" s="3" t="s">
        <v>32</v>
      </c>
      <c r="E10" s="3" t="s">
        <v>33</v>
      </c>
      <c r="F10" s="3" t="s">
        <v>11</v>
      </c>
      <c r="G10" s="3" t="s">
        <v>20</v>
      </c>
      <c r="H10" s="3" t="s">
        <v>37</v>
      </c>
      <c r="I10" s="6">
        <v>609.98</v>
      </c>
      <c r="J10" s="4">
        <v>2</v>
      </c>
      <c r="K10" s="6">
        <v>274.49</v>
      </c>
    </row>
    <row r="11" spans="1:11" x14ac:dyDescent="0.3">
      <c r="A11" s="7">
        <v>41645</v>
      </c>
      <c r="B11" s="4">
        <f>YEAR(SalesData[[#This Row],[Order Date]])</f>
        <v>2014</v>
      </c>
      <c r="C11" s="4">
        <f>MONTH(SalesData[[#This Row],[Order Date]])</f>
        <v>1</v>
      </c>
      <c r="D11" s="3" t="s">
        <v>32</v>
      </c>
      <c r="E11" s="3" t="s">
        <v>33</v>
      </c>
      <c r="F11" s="3" t="s">
        <v>11</v>
      </c>
      <c r="G11" s="3" t="s">
        <v>24</v>
      </c>
      <c r="H11" s="3" t="s">
        <v>38</v>
      </c>
      <c r="I11" s="6">
        <v>5.48</v>
      </c>
      <c r="J11" s="4">
        <v>2</v>
      </c>
      <c r="K11" s="6">
        <v>1.48</v>
      </c>
    </row>
    <row r="12" spans="1:11" x14ac:dyDescent="0.3">
      <c r="A12" s="7">
        <v>41645</v>
      </c>
      <c r="B12" s="4">
        <f>YEAR(SalesData[[#This Row],[Order Date]])</f>
        <v>2014</v>
      </c>
      <c r="C12" s="4">
        <f>MONTH(SalesData[[#This Row],[Order Date]])</f>
        <v>1</v>
      </c>
      <c r="D12" s="3" t="s">
        <v>32</v>
      </c>
      <c r="E12" s="3" t="s">
        <v>33</v>
      </c>
      <c r="F12" s="3" t="s">
        <v>39</v>
      </c>
      <c r="G12" s="3" t="s">
        <v>40</v>
      </c>
      <c r="H12" s="3" t="s">
        <v>41</v>
      </c>
      <c r="I12" s="6">
        <v>391.98</v>
      </c>
      <c r="J12" s="4">
        <v>2</v>
      </c>
      <c r="K12" s="6">
        <v>113.67</v>
      </c>
    </row>
    <row r="13" spans="1:11" x14ac:dyDescent="0.3">
      <c r="A13" s="7">
        <v>41645</v>
      </c>
      <c r="B13" s="4">
        <f>YEAR(SalesData[[#This Row],[Order Date]])</f>
        <v>2014</v>
      </c>
      <c r="C13" s="4">
        <f>MONTH(SalesData[[#This Row],[Order Date]])</f>
        <v>1</v>
      </c>
      <c r="D13" s="3" t="s">
        <v>32</v>
      </c>
      <c r="E13" s="3" t="s">
        <v>33</v>
      </c>
      <c r="F13" s="3" t="s">
        <v>39</v>
      </c>
      <c r="G13" s="3" t="s">
        <v>40</v>
      </c>
      <c r="H13" s="3" t="s">
        <v>42</v>
      </c>
      <c r="I13" s="6">
        <v>755.96</v>
      </c>
      <c r="J13" s="4">
        <v>4</v>
      </c>
      <c r="K13" s="6">
        <v>204.11</v>
      </c>
    </row>
    <row r="14" spans="1:11" x14ac:dyDescent="0.3">
      <c r="A14" s="7">
        <v>41645</v>
      </c>
      <c r="B14" s="4">
        <f>YEAR(SalesData[[#This Row],[Order Date]])</f>
        <v>2014</v>
      </c>
      <c r="C14" s="4">
        <f>MONTH(SalesData[[#This Row],[Order Date]])</f>
        <v>1</v>
      </c>
      <c r="D14" s="3" t="s">
        <v>32</v>
      </c>
      <c r="E14" s="3" t="s">
        <v>33</v>
      </c>
      <c r="F14" s="3" t="s">
        <v>11</v>
      </c>
      <c r="G14" s="3" t="s">
        <v>43</v>
      </c>
      <c r="H14" s="3" t="s">
        <v>44</v>
      </c>
      <c r="I14" s="6">
        <v>31.12</v>
      </c>
      <c r="J14" s="4">
        <v>4</v>
      </c>
      <c r="K14" s="6">
        <v>0.31</v>
      </c>
    </row>
    <row r="15" spans="1:11" x14ac:dyDescent="0.3">
      <c r="A15" s="7">
        <v>41645</v>
      </c>
      <c r="B15" s="4">
        <f>YEAR(SalesData[[#This Row],[Order Date]])</f>
        <v>2014</v>
      </c>
      <c r="C15" s="4">
        <f>MONTH(SalesData[[#This Row],[Order Date]])</f>
        <v>1</v>
      </c>
      <c r="D15" s="3" t="s">
        <v>32</v>
      </c>
      <c r="E15" s="3" t="s">
        <v>33</v>
      </c>
      <c r="F15" s="3" t="s">
        <v>11</v>
      </c>
      <c r="G15" s="3" t="s">
        <v>12</v>
      </c>
      <c r="H15" s="3" t="s">
        <v>45</v>
      </c>
      <c r="I15" s="6">
        <v>6.54</v>
      </c>
      <c r="J15" s="4">
        <v>1</v>
      </c>
      <c r="K15" s="6">
        <v>3.01</v>
      </c>
    </row>
    <row r="16" spans="1:11" x14ac:dyDescent="0.3">
      <c r="A16" s="7">
        <v>41646</v>
      </c>
      <c r="B16" s="4">
        <f>YEAR(SalesData[[#This Row],[Order Date]])</f>
        <v>2014</v>
      </c>
      <c r="C16" s="4">
        <f>MONTH(SalesData[[#This Row],[Order Date]])</f>
        <v>1</v>
      </c>
      <c r="D16" s="3" t="s">
        <v>46</v>
      </c>
      <c r="E16" s="3" t="s">
        <v>10</v>
      </c>
      <c r="F16" s="3" t="s">
        <v>34</v>
      </c>
      <c r="G16" s="3" t="s">
        <v>47</v>
      </c>
      <c r="H16" s="3" t="s">
        <v>48</v>
      </c>
      <c r="I16" s="6">
        <v>76.73</v>
      </c>
      <c r="J16" s="4">
        <v>3</v>
      </c>
      <c r="K16" s="6">
        <v>-53.71</v>
      </c>
    </row>
    <row r="17" spans="1:11" x14ac:dyDescent="0.3">
      <c r="A17" s="7">
        <v>41646</v>
      </c>
      <c r="B17" s="4">
        <f>YEAR(SalesData[[#This Row],[Order Date]])</f>
        <v>2014</v>
      </c>
      <c r="C17" s="4">
        <f>MONTH(SalesData[[#This Row],[Order Date]])</f>
        <v>1</v>
      </c>
      <c r="D17" s="3" t="s">
        <v>46</v>
      </c>
      <c r="E17" s="3" t="s">
        <v>10</v>
      </c>
      <c r="F17" s="3" t="s">
        <v>11</v>
      </c>
      <c r="G17" s="3" t="s">
        <v>20</v>
      </c>
      <c r="H17" s="3" t="s">
        <v>49</v>
      </c>
      <c r="I17" s="6">
        <v>10.43</v>
      </c>
      <c r="J17" s="4">
        <v>7</v>
      </c>
      <c r="K17" s="6">
        <v>-18.25</v>
      </c>
    </row>
    <row r="18" spans="1:11" x14ac:dyDescent="0.3">
      <c r="A18" s="7">
        <v>41648</v>
      </c>
      <c r="B18" s="4">
        <f>YEAR(SalesData[[#This Row],[Order Date]])</f>
        <v>2014</v>
      </c>
      <c r="C18" s="4">
        <f>MONTH(SalesData[[#This Row],[Order Date]])</f>
        <v>1</v>
      </c>
      <c r="D18" s="3" t="s">
        <v>50</v>
      </c>
      <c r="E18" s="3" t="s">
        <v>10</v>
      </c>
      <c r="F18" s="3" t="s">
        <v>11</v>
      </c>
      <c r="G18" s="3" t="s">
        <v>24</v>
      </c>
      <c r="H18" s="3" t="s">
        <v>51</v>
      </c>
      <c r="I18" s="6">
        <v>9.34</v>
      </c>
      <c r="J18" s="4">
        <v>2</v>
      </c>
      <c r="K18" s="6">
        <v>1.17</v>
      </c>
    </row>
    <row r="19" spans="1:11" x14ac:dyDescent="0.3">
      <c r="A19" s="7">
        <v>41648</v>
      </c>
      <c r="B19" s="4">
        <f>YEAR(SalesData[[#This Row],[Order Date]])</f>
        <v>2014</v>
      </c>
      <c r="C19" s="4">
        <f>MONTH(SalesData[[#This Row],[Order Date]])</f>
        <v>1</v>
      </c>
      <c r="D19" s="3" t="s">
        <v>50</v>
      </c>
      <c r="E19" s="3" t="s">
        <v>10</v>
      </c>
      <c r="F19" s="3" t="s">
        <v>39</v>
      </c>
      <c r="G19" s="3" t="s">
        <v>52</v>
      </c>
      <c r="H19" s="3" t="s">
        <v>53</v>
      </c>
      <c r="I19" s="6">
        <v>31.2</v>
      </c>
      <c r="J19" s="4">
        <v>3</v>
      </c>
      <c r="K19" s="6">
        <v>9.75</v>
      </c>
    </row>
    <row r="20" spans="1:11" x14ac:dyDescent="0.3">
      <c r="A20" s="7">
        <v>41649</v>
      </c>
      <c r="B20" s="4">
        <f>YEAR(SalesData[[#This Row],[Order Date]])</f>
        <v>2014</v>
      </c>
      <c r="C20" s="4">
        <f>MONTH(SalesData[[#This Row],[Order Date]])</f>
        <v>1</v>
      </c>
      <c r="D20" s="3" t="s">
        <v>54</v>
      </c>
      <c r="E20" s="3" t="s">
        <v>55</v>
      </c>
      <c r="F20" s="3" t="s">
        <v>11</v>
      </c>
      <c r="G20" s="3" t="s">
        <v>16</v>
      </c>
      <c r="H20" s="3" t="s">
        <v>56</v>
      </c>
      <c r="I20" s="6">
        <v>2.89</v>
      </c>
      <c r="J20" s="4">
        <v>1</v>
      </c>
      <c r="K20" s="6">
        <v>1.36</v>
      </c>
    </row>
    <row r="21" spans="1:11" x14ac:dyDescent="0.3">
      <c r="A21" s="7">
        <v>41649</v>
      </c>
      <c r="B21" s="4">
        <f>YEAR(SalesData[[#This Row],[Order Date]])</f>
        <v>2014</v>
      </c>
      <c r="C21" s="4">
        <f>MONTH(SalesData[[#This Row],[Order Date]])</f>
        <v>1</v>
      </c>
      <c r="D21" s="3" t="s">
        <v>54</v>
      </c>
      <c r="E21" s="3" t="s">
        <v>55</v>
      </c>
      <c r="F21" s="3" t="s">
        <v>34</v>
      </c>
      <c r="G21" s="3" t="s">
        <v>47</v>
      </c>
      <c r="H21" s="3" t="s">
        <v>57</v>
      </c>
      <c r="I21" s="6">
        <v>51.94</v>
      </c>
      <c r="J21" s="4">
        <v>1</v>
      </c>
      <c r="K21" s="6">
        <v>21.3</v>
      </c>
    </row>
    <row r="22" spans="1:11" x14ac:dyDescent="0.3">
      <c r="A22" s="7">
        <v>41650</v>
      </c>
      <c r="B22" s="4">
        <f>YEAR(SalesData[[#This Row],[Order Date]])</f>
        <v>2014</v>
      </c>
      <c r="C22" s="4">
        <f>MONTH(SalesData[[#This Row],[Order Date]])</f>
        <v>1</v>
      </c>
      <c r="D22" s="3" t="s">
        <v>58</v>
      </c>
      <c r="E22" s="3" t="s">
        <v>59</v>
      </c>
      <c r="F22" s="3" t="s">
        <v>34</v>
      </c>
      <c r="G22" s="3" t="s">
        <v>47</v>
      </c>
      <c r="H22" s="3" t="s">
        <v>60</v>
      </c>
      <c r="I22" s="6">
        <v>9.94</v>
      </c>
      <c r="J22" s="4">
        <v>2</v>
      </c>
      <c r="K22" s="6">
        <v>3.08</v>
      </c>
    </row>
    <row r="23" spans="1:11" x14ac:dyDescent="0.3">
      <c r="A23" s="7">
        <v>41652</v>
      </c>
      <c r="B23" s="4">
        <f>YEAR(SalesData[[#This Row],[Order Date]])</f>
        <v>2014</v>
      </c>
      <c r="C23" s="4">
        <f>MONTH(SalesData[[#This Row],[Order Date]])</f>
        <v>1</v>
      </c>
      <c r="D23" s="3" t="s">
        <v>61</v>
      </c>
      <c r="E23" s="3" t="s">
        <v>62</v>
      </c>
      <c r="F23" s="3" t="s">
        <v>11</v>
      </c>
      <c r="G23" s="3" t="s">
        <v>63</v>
      </c>
      <c r="H23" s="3" t="s">
        <v>64</v>
      </c>
      <c r="I23" s="6">
        <v>11.36</v>
      </c>
      <c r="J23" s="4">
        <v>2</v>
      </c>
      <c r="K23" s="6">
        <v>5.34</v>
      </c>
    </row>
    <row r="24" spans="1:11" x14ac:dyDescent="0.3">
      <c r="A24" s="7">
        <v>41652</v>
      </c>
      <c r="B24" s="4">
        <f>YEAR(SalesData[[#This Row],[Order Date]])</f>
        <v>2014</v>
      </c>
      <c r="C24" s="4">
        <f>MONTH(SalesData[[#This Row],[Order Date]])</f>
        <v>1</v>
      </c>
      <c r="D24" s="3" t="s">
        <v>61</v>
      </c>
      <c r="E24" s="3" t="s">
        <v>62</v>
      </c>
      <c r="F24" s="3" t="s">
        <v>11</v>
      </c>
      <c r="G24" s="3" t="s">
        <v>63</v>
      </c>
      <c r="H24" s="3" t="s">
        <v>65</v>
      </c>
      <c r="I24" s="6">
        <v>50.94</v>
      </c>
      <c r="J24" s="4">
        <v>3</v>
      </c>
      <c r="K24" s="6">
        <v>25.47</v>
      </c>
    </row>
    <row r="25" spans="1:11" x14ac:dyDescent="0.3">
      <c r="A25" s="7">
        <v>41652</v>
      </c>
      <c r="B25" s="4">
        <f>YEAR(SalesData[[#This Row],[Order Date]])</f>
        <v>2014</v>
      </c>
      <c r="C25" s="4">
        <f>MONTH(SalesData[[#This Row],[Order Date]])</f>
        <v>1</v>
      </c>
      <c r="D25" s="3" t="s">
        <v>61</v>
      </c>
      <c r="E25" s="3" t="s">
        <v>62</v>
      </c>
      <c r="F25" s="3" t="s">
        <v>39</v>
      </c>
      <c r="G25" s="3" t="s">
        <v>52</v>
      </c>
      <c r="H25" s="3" t="s">
        <v>66</v>
      </c>
      <c r="I25" s="6">
        <v>646.74</v>
      </c>
      <c r="J25" s="4">
        <v>6</v>
      </c>
      <c r="K25" s="6">
        <v>258.7</v>
      </c>
    </row>
    <row r="26" spans="1:11" x14ac:dyDescent="0.3">
      <c r="A26" s="7">
        <v>41652</v>
      </c>
      <c r="B26" s="4">
        <f>YEAR(SalesData[[#This Row],[Order Date]])</f>
        <v>2014</v>
      </c>
      <c r="C26" s="4">
        <f>MONTH(SalesData[[#This Row],[Order Date]])</f>
        <v>1</v>
      </c>
      <c r="D26" s="3" t="s">
        <v>61</v>
      </c>
      <c r="E26" s="3" t="s">
        <v>62</v>
      </c>
      <c r="F26" s="3" t="s">
        <v>11</v>
      </c>
      <c r="G26" s="3" t="s">
        <v>20</v>
      </c>
      <c r="H26" s="3" t="s">
        <v>67</v>
      </c>
      <c r="I26" s="6">
        <v>5.64</v>
      </c>
      <c r="J26" s="4">
        <v>3</v>
      </c>
      <c r="K26" s="6">
        <v>2.71</v>
      </c>
    </row>
    <row r="27" spans="1:11" x14ac:dyDescent="0.3">
      <c r="A27" s="7">
        <v>41652</v>
      </c>
      <c r="B27" s="4">
        <f>YEAR(SalesData[[#This Row],[Order Date]])</f>
        <v>2014</v>
      </c>
      <c r="C27" s="4">
        <f>MONTH(SalesData[[#This Row],[Order Date]])</f>
        <v>1</v>
      </c>
      <c r="D27" s="3" t="s">
        <v>61</v>
      </c>
      <c r="E27" s="3" t="s">
        <v>62</v>
      </c>
      <c r="F27" s="3" t="s">
        <v>11</v>
      </c>
      <c r="G27" s="3" t="s">
        <v>18</v>
      </c>
      <c r="H27" s="3" t="s">
        <v>68</v>
      </c>
      <c r="I27" s="6">
        <v>572.58000000000004</v>
      </c>
      <c r="J27" s="4">
        <v>6</v>
      </c>
      <c r="K27" s="6">
        <v>34.35</v>
      </c>
    </row>
    <row r="28" spans="1:11" x14ac:dyDescent="0.3">
      <c r="A28" s="7">
        <v>41652</v>
      </c>
      <c r="B28" s="4">
        <f>YEAR(SalesData[[#This Row],[Order Date]])</f>
        <v>2014</v>
      </c>
      <c r="C28" s="4">
        <f>MONTH(SalesData[[#This Row],[Order Date]])</f>
        <v>1</v>
      </c>
      <c r="D28" s="3" t="s">
        <v>69</v>
      </c>
      <c r="E28" s="3" t="s">
        <v>70</v>
      </c>
      <c r="F28" s="3" t="s">
        <v>34</v>
      </c>
      <c r="G28" s="3" t="s">
        <v>35</v>
      </c>
      <c r="H28" s="3" t="s">
        <v>71</v>
      </c>
      <c r="I28" s="6">
        <v>545.94000000000005</v>
      </c>
      <c r="J28" s="4">
        <v>6</v>
      </c>
      <c r="K28" s="6">
        <v>87.35</v>
      </c>
    </row>
    <row r="29" spans="1:11" x14ac:dyDescent="0.3">
      <c r="A29" s="7">
        <v>41652</v>
      </c>
      <c r="B29" s="4">
        <f>YEAR(SalesData[[#This Row],[Order Date]])</f>
        <v>2014</v>
      </c>
      <c r="C29" s="4">
        <f>MONTH(SalesData[[#This Row],[Order Date]])</f>
        <v>1</v>
      </c>
      <c r="D29" s="3" t="s">
        <v>72</v>
      </c>
      <c r="E29" s="3" t="s">
        <v>27</v>
      </c>
      <c r="F29" s="3" t="s">
        <v>11</v>
      </c>
      <c r="G29" s="3" t="s">
        <v>18</v>
      </c>
      <c r="H29" s="3" t="s">
        <v>73</v>
      </c>
      <c r="I29" s="6">
        <v>1325.85</v>
      </c>
      <c r="J29" s="4">
        <v>5</v>
      </c>
      <c r="K29" s="6">
        <v>238.65</v>
      </c>
    </row>
    <row r="30" spans="1:11" x14ac:dyDescent="0.3">
      <c r="A30" s="7">
        <v>41652</v>
      </c>
      <c r="B30" s="4">
        <f>YEAR(SalesData[[#This Row],[Order Date]])</f>
        <v>2014</v>
      </c>
      <c r="C30" s="4">
        <f>MONTH(SalesData[[#This Row],[Order Date]])</f>
        <v>1</v>
      </c>
      <c r="D30" s="3" t="s">
        <v>72</v>
      </c>
      <c r="E30" s="3" t="s">
        <v>27</v>
      </c>
      <c r="F30" s="3" t="s">
        <v>34</v>
      </c>
      <c r="G30" s="3" t="s">
        <v>74</v>
      </c>
      <c r="H30" s="3" t="s">
        <v>75</v>
      </c>
      <c r="I30" s="6">
        <v>334</v>
      </c>
      <c r="J30" s="4">
        <v>3</v>
      </c>
      <c r="K30" s="6">
        <v>3.93</v>
      </c>
    </row>
    <row r="31" spans="1:11" x14ac:dyDescent="0.3">
      <c r="A31" s="7">
        <v>41652</v>
      </c>
      <c r="B31" s="4">
        <f>YEAR(SalesData[[#This Row],[Order Date]])</f>
        <v>2014</v>
      </c>
      <c r="C31" s="4">
        <f>MONTH(SalesData[[#This Row],[Order Date]])</f>
        <v>1</v>
      </c>
      <c r="D31" s="3" t="s">
        <v>72</v>
      </c>
      <c r="E31" s="3" t="s">
        <v>27</v>
      </c>
      <c r="F31" s="3" t="s">
        <v>11</v>
      </c>
      <c r="G31" s="3" t="s">
        <v>24</v>
      </c>
      <c r="H31" s="3" t="s">
        <v>76</v>
      </c>
      <c r="I31" s="6">
        <v>19.899999999999999</v>
      </c>
      <c r="J31" s="4">
        <v>5</v>
      </c>
      <c r="K31" s="6">
        <v>6.57</v>
      </c>
    </row>
    <row r="32" spans="1:11" x14ac:dyDescent="0.3">
      <c r="A32" s="7">
        <v>41652</v>
      </c>
      <c r="B32" s="4">
        <f>YEAR(SalesData[[#This Row],[Order Date]])</f>
        <v>2014</v>
      </c>
      <c r="C32" s="4">
        <f>MONTH(SalesData[[#This Row],[Order Date]])</f>
        <v>1</v>
      </c>
      <c r="D32" s="3" t="s">
        <v>77</v>
      </c>
      <c r="E32" s="3" t="s">
        <v>78</v>
      </c>
      <c r="F32" s="3" t="s">
        <v>11</v>
      </c>
      <c r="G32" s="3" t="s">
        <v>12</v>
      </c>
      <c r="H32" s="3" t="s">
        <v>79</v>
      </c>
      <c r="I32" s="6">
        <v>37.409999999999997</v>
      </c>
      <c r="J32" s="4">
        <v>7</v>
      </c>
      <c r="K32" s="6">
        <v>13.09</v>
      </c>
    </row>
    <row r="33" spans="1:11" x14ac:dyDescent="0.3">
      <c r="A33" s="7">
        <v>41652</v>
      </c>
      <c r="B33" s="4">
        <f>YEAR(SalesData[[#This Row],[Order Date]])</f>
        <v>2014</v>
      </c>
      <c r="C33" s="4">
        <f>MONTH(SalesData[[#This Row],[Order Date]])</f>
        <v>1</v>
      </c>
      <c r="D33" s="3" t="s">
        <v>77</v>
      </c>
      <c r="E33" s="3" t="s">
        <v>78</v>
      </c>
      <c r="F33" s="3" t="s">
        <v>11</v>
      </c>
      <c r="G33" s="3" t="s">
        <v>20</v>
      </c>
      <c r="H33" s="3" t="s">
        <v>80</v>
      </c>
      <c r="I33" s="6">
        <v>3.44</v>
      </c>
      <c r="J33" s="4">
        <v>2</v>
      </c>
      <c r="K33" s="6">
        <v>-2.52</v>
      </c>
    </row>
    <row r="34" spans="1:11" x14ac:dyDescent="0.3">
      <c r="A34" s="7">
        <v>41653</v>
      </c>
      <c r="B34" s="4">
        <f>YEAR(SalesData[[#This Row],[Order Date]])</f>
        <v>2014</v>
      </c>
      <c r="C34" s="4">
        <f>MONTH(SalesData[[#This Row],[Order Date]])</f>
        <v>1</v>
      </c>
      <c r="D34" s="3" t="s">
        <v>81</v>
      </c>
      <c r="E34" s="3" t="s">
        <v>23</v>
      </c>
      <c r="F34" s="3" t="s">
        <v>34</v>
      </c>
      <c r="G34" s="3" t="s">
        <v>74</v>
      </c>
      <c r="H34" s="3" t="s">
        <v>82</v>
      </c>
      <c r="I34" s="6">
        <v>61.96</v>
      </c>
      <c r="J34" s="4">
        <v>4</v>
      </c>
      <c r="K34" s="6">
        <v>-53.29</v>
      </c>
    </row>
    <row r="35" spans="1:11" x14ac:dyDescent="0.3">
      <c r="A35" s="7">
        <v>41654</v>
      </c>
      <c r="B35" s="4">
        <f>YEAR(SalesData[[#This Row],[Order Date]])</f>
        <v>2014</v>
      </c>
      <c r="C35" s="4">
        <f>MONTH(SalesData[[#This Row],[Order Date]])</f>
        <v>1</v>
      </c>
      <c r="D35" s="3" t="s">
        <v>83</v>
      </c>
      <c r="E35" s="3" t="s">
        <v>30</v>
      </c>
      <c r="F35" s="3" t="s">
        <v>39</v>
      </c>
      <c r="G35" s="3" t="s">
        <v>52</v>
      </c>
      <c r="H35" s="3" t="s">
        <v>84</v>
      </c>
      <c r="I35" s="6">
        <v>149.94999999999999</v>
      </c>
      <c r="J35" s="4">
        <v>5</v>
      </c>
      <c r="K35" s="6">
        <v>65.98</v>
      </c>
    </row>
    <row r="36" spans="1:11" x14ac:dyDescent="0.3">
      <c r="A36" s="7">
        <v>41655</v>
      </c>
      <c r="B36" s="4">
        <f>YEAR(SalesData[[#This Row],[Order Date]])</f>
        <v>2014</v>
      </c>
      <c r="C36" s="4">
        <f>MONTH(SalesData[[#This Row],[Order Date]])</f>
        <v>1</v>
      </c>
      <c r="D36" s="3" t="s">
        <v>85</v>
      </c>
      <c r="E36" s="3" t="s">
        <v>23</v>
      </c>
      <c r="F36" s="3" t="s">
        <v>34</v>
      </c>
      <c r="G36" s="3" t="s">
        <v>47</v>
      </c>
      <c r="H36" s="3" t="s">
        <v>86</v>
      </c>
      <c r="I36" s="6">
        <v>127.1</v>
      </c>
      <c r="J36" s="4">
        <v>6</v>
      </c>
      <c r="K36" s="6">
        <v>28.6</v>
      </c>
    </row>
    <row r="37" spans="1:11" x14ac:dyDescent="0.3">
      <c r="A37" s="7">
        <v>41655</v>
      </c>
      <c r="B37" s="4">
        <f>YEAR(SalesData[[#This Row],[Order Date]])</f>
        <v>2014</v>
      </c>
      <c r="C37" s="4">
        <f>MONTH(SalesData[[#This Row],[Order Date]])</f>
        <v>1</v>
      </c>
      <c r="D37" s="3" t="s">
        <v>85</v>
      </c>
      <c r="E37" s="3" t="s">
        <v>23</v>
      </c>
      <c r="F37" s="3" t="s">
        <v>39</v>
      </c>
      <c r="G37" s="3" t="s">
        <v>40</v>
      </c>
      <c r="H37" s="3" t="s">
        <v>87</v>
      </c>
      <c r="I37" s="6">
        <v>124.2</v>
      </c>
      <c r="J37" s="4">
        <v>3</v>
      </c>
      <c r="K37" s="6">
        <v>-31.05</v>
      </c>
    </row>
    <row r="38" spans="1:11" x14ac:dyDescent="0.3">
      <c r="A38" s="7">
        <v>41655</v>
      </c>
      <c r="B38" s="4">
        <f>YEAR(SalesData[[#This Row],[Order Date]])</f>
        <v>2014</v>
      </c>
      <c r="C38" s="4">
        <f>MONTH(SalesData[[#This Row],[Order Date]])</f>
        <v>1</v>
      </c>
      <c r="D38" s="3" t="s">
        <v>85</v>
      </c>
      <c r="E38" s="3" t="s">
        <v>23</v>
      </c>
      <c r="F38" s="3" t="s">
        <v>11</v>
      </c>
      <c r="G38" s="3" t="s">
        <v>20</v>
      </c>
      <c r="H38" s="3" t="s">
        <v>88</v>
      </c>
      <c r="I38" s="6">
        <v>18.59</v>
      </c>
      <c r="J38" s="4">
        <v>2</v>
      </c>
      <c r="K38" s="6">
        <v>-13.63</v>
      </c>
    </row>
    <row r="39" spans="1:11" x14ac:dyDescent="0.3">
      <c r="A39" s="7">
        <v>41655</v>
      </c>
      <c r="B39" s="4">
        <f>YEAR(SalesData[[#This Row],[Order Date]])</f>
        <v>2014</v>
      </c>
      <c r="C39" s="4">
        <f>MONTH(SalesData[[#This Row],[Order Date]])</f>
        <v>1</v>
      </c>
      <c r="D39" s="3" t="s">
        <v>85</v>
      </c>
      <c r="E39" s="3" t="s">
        <v>23</v>
      </c>
      <c r="F39" s="3" t="s">
        <v>11</v>
      </c>
      <c r="G39" s="3" t="s">
        <v>16</v>
      </c>
      <c r="H39" s="3" t="s">
        <v>89</v>
      </c>
      <c r="I39" s="6">
        <v>30.07</v>
      </c>
      <c r="J39" s="4">
        <v>3</v>
      </c>
      <c r="K39" s="6">
        <v>10.15</v>
      </c>
    </row>
    <row r="40" spans="1:11" x14ac:dyDescent="0.3">
      <c r="A40" s="7">
        <v>41657</v>
      </c>
      <c r="B40" s="4">
        <f>YEAR(SalesData[[#This Row],[Order Date]])</f>
        <v>2014</v>
      </c>
      <c r="C40" s="4">
        <f>MONTH(SalesData[[#This Row],[Order Date]])</f>
        <v>1</v>
      </c>
      <c r="D40" s="3" t="s">
        <v>90</v>
      </c>
      <c r="E40" s="3" t="s">
        <v>91</v>
      </c>
      <c r="F40" s="3" t="s">
        <v>11</v>
      </c>
      <c r="G40" s="3" t="s">
        <v>92</v>
      </c>
      <c r="H40" s="3" t="s">
        <v>93</v>
      </c>
      <c r="I40" s="6">
        <v>64.86</v>
      </c>
      <c r="J40" s="4">
        <v>4</v>
      </c>
      <c r="K40" s="6">
        <v>6.49</v>
      </c>
    </row>
    <row r="41" spans="1:11" x14ac:dyDescent="0.3">
      <c r="A41" s="7">
        <v>41658</v>
      </c>
      <c r="B41" s="4">
        <f>YEAR(SalesData[[#This Row],[Order Date]])</f>
        <v>2014</v>
      </c>
      <c r="C41" s="4">
        <f>MONTH(SalesData[[#This Row],[Order Date]])</f>
        <v>1</v>
      </c>
      <c r="D41" s="3" t="s">
        <v>94</v>
      </c>
      <c r="E41" s="3" t="s">
        <v>95</v>
      </c>
      <c r="F41" s="3" t="s">
        <v>11</v>
      </c>
      <c r="G41" s="3" t="s">
        <v>20</v>
      </c>
      <c r="H41" s="3" t="s">
        <v>96</v>
      </c>
      <c r="I41" s="6">
        <v>32.340000000000003</v>
      </c>
      <c r="J41" s="4">
        <v>10</v>
      </c>
      <c r="K41" s="6">
        <v>-23.72</v>
      </c>
    </row>
    <row r="42" spans="1:11" x14ac:dyDescent="0.3">
      <c r="A42" s="7">
        <v>41658</v>
      </c>
      <c r="B42" s="4">
        <f>YEAR(SalesData[[#This Row],[Order Date]])</f>
        <v>2014</v>
      </c>
      <c r="C42" s="4">
        <f>MONTH(SalesData[[#This Row],[Order Date]])</f>
        <v>1</v>
      </c>
      <c r="D42" s="3" t="s">
        <v>94</v>
      </c>
      <c r="E42" s="3" t="s">
        <v>95</v>
      </c>
      <c r="F42" s="3" t="s">
        <v>11</v>
      </c>
      <c r="G42" s="3" t="s">
        <v>12</v>
      </c>
      <c r="H42" s="3" t="s">
        <v>97</v>
      </c>
      <c r="I42" s="6">
        <v>56.06</v>
      </c>
      <c r="J42" s="4">
        <v>4</v>
      </c>
      <c r="K42" s="6">
        <v>19.62</v>
      </c>
    </row>
    <row r="43" spans="1:11" x14ac:dyDescent="0.3">
      <c r="A43" s="7">
        <v>41658</v>
      </c>
      <c r="B43" s="4">
        <f>YEAR(SalesData[[#This Row],[Order Date]])</f>
        <v>2014</v>
      </c>
      <c r="C43" s="4">
        <f>MONTH(SalesData[[#This Row],[Order Date]])</f>
        <v>1</v>
      </c>
      <c r="D43" s="3" t="s">
        <v>94</v>
      </c>
      <c r="E43" s="3" t="s">
        <v>95</v>
      </c>
      <c r="F43" s="3" t="s">
        <v>11</v>
      </c>
      <c r="G43" s="3" t="s">
        <v>63</v>
      </c>
      <c r="H43" s="3" t="s">
        <v>98</v>
      </c>
      <c r="I43" s="6">
        <v>108.72</v>
      </c>
      <c r="J43" s="4">
        <v>5</v>
      </c>
      <c r="K43" s="6">
        <v>36.69</v>
      </c>
    </row>
    <row r="44" spans="1:11" x14ac:dyDescent="0.3">
      <c r="A44" s="7">
        <v>41658</v>
      </c>
      <c r="B44" s="4">
        <f>YEAR(SalesData[[#This Row],[Order Date]])</f>
        <v>2014</v>
      </c>
      <c r="C44" s="4">
        <f>MONTH(SalesData[[#This Row],[Order Date]])</f>
        <v>1</v>
      </c>
      <c r="D44" s="3" t="s">
        <v>94</v>
      </c>
      <c r="E44" s="3" t="s">
        <v>95</v>
      </c>
      <c r="F44" s="3" t="s">
        <v>34</v>
      </c>
      <c r="G44" s="3" t="s">
        <v>74</v>
      </c>
      <c r="H44" s="3" t="s">
        <v>99</v>
      </c>
      <c r="I44" s="6">
        <v>181.47</v>
      </c>
      <c r="J44" s="4">
        <v>5</v>
      </c>
      <c r="K44" s="6">
        <v>-320.60000000000002</v>
      </c>
    </row>
    <row r="45" spans="1:11" x14ac:dyDescent="0.3">
      <c r="A45" s="7">
        <v>41659</v>
      </c>
      <c r="B45" s="4">
        <f>YEAR(SalesData[[#This Row],[Order Date]])</f>
        <v>2014</v>
      </c>
      <c r="C45" s="4">
        <f>MONTH(SalesData[[#This Row],[Order Date]])</f>
        <v>1</v>
      </c>
      <c r="D45" s="3" t="s">
        <v>100</v>
      </c>
      <c r="E45" s="3" t="s">
        <v>101</v>
      </c>
      <c r="F45" s="3" t="s">
        <v>39</v>
      </c>
      <c r="G45" s="3" t="s">
        <v>40</v>
      </c>
      <c r="H45" s="3" t="s">
        <v>102</v>
      </c>
      <c r="I45" s="6">
        <v>699.93</v>
      </c>
      <c r="J45" s="4">
        <v>7</v>
      </c>
      <c r="K45" s="6">
        <v>181.98</v>
      </c>
    </row>
    <row r="46" spans="1:11" x14ac:dyDescent="0.3">
      <c r="A46" s="7">
        <v>41659</v>
      </c>
      <c r="B46" s="4">
        <f>YEAR(SalesData[[#This Row],[Order Date]])</f>
        <v>2014</v>
      </c>
      <c r="C46" s="4">
        <f>MONTH(SalesData[[#This Row],[Order Date]])</f>
        <v>1</v>
      </c>
      <c r="D46" s="3" t="s">
        <v>100</v>
      </c>
      <c r="E46" s="3" t="s">
        <v>101</v>
      </c>
      <c r="F46" s="3" t="s">
        <v>11</v>
      </c>
      <c r="G46" s="3" t="s">
        <v>24</v>
      </c>
      <c r="H46" s="3" t="s">
        <v>103</v>
      </c>
      <c r="I46" s="6">
        <v>22.96</v>
      </c>
      <c r="J46" s="4">
        <v>7</v>
      </c>
      <c r="K46" s="6">
        <v>6.66</v>
      </c>
    </row>
    <row r="47" spans="1:11" x14ac:dyDescent="0.3">
      <c r="A47" s="7">
        <v>41659</v>
      </c>
      <c r="B47" s="4">
        <f>YEAR(SalesData[[#This Row],[Order Date]])</f>
        <v>2014</v>
      </c>
      <c r="C47" s="4">
        <f>MONTH(SalesData[[#This Row],[Order Date]])</f>
        <v>1</v>
      </c>
      <c r="D47" s="3" t="s">
        <v>100</v>
      </c>
      <c r="E47" s="3" t="s">
        <v>101</v>
      </c>
      <c r="F47" s="3" t="s">
        <v>34</v>
      </c>
      <c r="G47" s="3" t="s">
        <v>47</v>
      </c>
      <c r="H47" s="3" t="s">
        <v>104</v>
      </c>
      <c r="I47" s="6">
        <v>38.6</v>
      </c>
      <c r="J47" s="4">
        <v>4</v>
      </c>
      <c r="K47" s="6">
        <v>11.58</v>
      </c>
    </row>
    <row r="48" spans="1:11" x14ac:dyDescent="0.3">
      <c r="A48" s="7">
        <v>41659</v>
      </c>
      <c r="B48" s="4">
        <f>YEAR(SalesData[[#This Row],[Order Date]])</f>
        <v>2014</v>
      </c>
      <c r="C48" s="4">
        <f>MONTH(SalesData[[#This Row],[Order Date]])</f>
        <v>1</v>
      </c>
      <c r="D48" s="3" t="s">
        <v>100</v>
      </c>
      <c r="E48" s="3" t="s">
        <v>101</v>
      </c>
      <c r="F48" s="3" t="s">
        <v>11</v>
      </c>
      <c r="G48" s="3" t="s">
        <v>24</v>
      </c>
      <c r="H48" s="3" t="s">
        <v>105</v>
      </c>
      <c r="I48" s="6">
        <v>6.63</v>
      </c>
      <c r="J48" s="4">
        <v>3</v>
      </c>
      <c r="K48" s="6">
        <v>1.79</v>
      </c>
    </row>
    <row r="49" spans="1:11" x14ac:dyDescent="0.3">
      <c r="A49" s="7">
        <v>41659</v>
      </c>
      <c r="B49" s="4">
        <f>YEAR(SalesData[[#This Row],[Order Date]])</f>
        <v>2014</v>
      </c>
      <c r="C49" s="4">
        <f>MONTH(SalesData[[#This Row],[Order Date]])</f>
        <v>1</v>
      </c>
      <c r="D49" s="3" t="s">
        <v>100</v>
      </c>
      <c r="E49" s="3" t="s">
        <v>101</v>
      </c>
      <c r="F49" s="3" t="s">
        <v>11</v>
      </c>
      <c r="G49" s="3" t="s">
        <v>63</v>
      </c>
      <c r="H49" s="3" t="s">
        <v>64</v>
      </c>
      <c r="I49" s="6">
        <v>23.34</v>
      </c>
      <c r="J49" s="4">
        <v>3</v>
      </c>
      <c r="K49" s="6">
        <v>10.97</v>
      </c>
    </row>
    <row r="50" spans="1:11" x14ac:dyDescent="0.3">
      <c r="A50" s="7">
        <v>41659</v>
      </c>
      <c r="B50" s="4">
        <f>YEAR(SalesData[[#This Row],[Order Date]])</f>
        <v>2014</v>
      </c>
      <c r="C50" s="4">
        <f>MONTH(SalesData[[#This Row],[Order Date]])</f>
        <v>1</v>
      </c>
      <c r="D50" s="3" t="s">
        <v>100</v>
      </c>
      <c r="E50" s="3" t="s">
        <v>101</v>
      </c>
      <c r="F50" s="3" t="s">
        <v>34</v>
      </c>
      <c r="G50" s="3" t="s">
        <v>35</v>
      </c>
      <c r="H50" s="3" t="s">
        <v>106</v>
      </c>
      <c r="I50" s="6">
        <v>1067.94</v>
      </c>
      <c r="J50" s="4">
        <v>3</v>
      </c>
      <c r="K50" s="6">
        <v>224.27</v>
      </c>
    </row>
    <row r="51" spans="1:11" x14ac:dyDescent="0.3">
      <c r="A51" s="7">
        <v>41659</v>
      </c>
      <c r="B51" s="4">
        <f>YEAR(SalesData[[#This Row],[Order Date]])</f>
        <v>2014</v>
      </c>
      <c r="C51" s="4">
        <f>MONTH(SalesData[[#This Row],[Order Date]])</f>
        <v>1</v>
      </c>
      <c r="D51" s="3" t="s">
        <v>107</v>
      </c>
      <c r="E51" s="3" t="s">
        <v>27</v>
      </c>
      <c r="F51" s="3" t="s">
        <v>11</v>
      </c>
      <c r="G51" s="3" t="s">
        <v>12</v>
      </c>
      <c r="H51" s="3" t="s">
        <v>108</v>
      </c>
      <c r="I51" s="6">
        <v>19.36</v>
      </c>
      <c r="J51" s="4">
        <v>2</v>
      </c>
      <c r="K51" s="6">
        <v>9.2899999999999991</v>
      </c>
    </row>
    <row r="52" spans="1:11" x14ac:dyDescent="0.3">
      <c r="A52" s="7">
        <v>41659</v>
      </c>
      <c r="B52" s="4">
        <f>YEAR(SalesData[[#This Row],[Order Date]])</f>
        <v>2014</v>
      </c>
      <c r="C52" s="4">
        <f>MONTH(SalesData[[#This Row],[Order Date]])</f>
        <v>1</v>
      </c>
      <c r="D52" s="3" t="s">
        <v>107</v>
      </c>
      <c r="E52" s="3" t="s">
        <v>27</v>
      </c>
      <c r="F52" s="3" t="s">
        <v>34</v>
      </c>
      <c r="G52" s="3" t="s">
        <v>47</v>
      </c>
      <c r="H52" s="3" t="s">
        <v>104</v>
      </c>
      <c r="I52" s="6">
        <v>19.3</v>
      </c>
      <c r="J52" s="4">
        <v>2</v>
      </c>
      <c r="K52" s="6">
        <v>5.79</v>
      </c>
    </row>
    <row r="53" spans="1:11" x14ac:dyDescent="0.3">
      <c r="A53" s="7">
        <v>41659</v>
      </c>
      <c r="B53" s="4">
        <f>YEAR(SalesData[[#This Row],[Order Date]])</f>
        <v>2014</v>
      </c>
      <c r="C53" s="4">
        <f>MONTH(SalesData[[#This Row],[Order Date]])</f>
        <v>1</v>
      </c>
      <c r="D53" s="3" t="s">
        <v>109</v>
      </c>
      <c r="E53" s="3" t="s">
        <v>110</v>
      </c>
      <c r="F53" s="3" t="s">
        <v>11</v>
      </c>
      <c r="G53" s="3" t="s">
        <v>18</v>
      </c>
      <c r="H53" s="3" t="s">
        <v>111</v>
      </c>
      <c r="I53" s="6">
        <v>13.98</v>
      </c>
      <c r="J53" s="4">
        <v>1</v>
      </c>
      <c r="K53" s="6">
        <v>4.05</v>
      </c>
    </row>
    <row r="54" spans="1:11" x14ac:dyDescent="0.3">
      <c r="A54" s="7">
        <v>41659</v>
      </c>
      <c r="B54" s="4">
        <f>YEAR(SalesData[[#This Row],[Order Date]])</f>
        <v>2014</v>
      </c>
      <c r="C54" s="4">
        <f>MONTH(SalesData[[#This Row],[Order Date]])</f>
        <v>1</v>
      </c>
      <c r="D54" s="3" t="s">
        <v>109</v>
      </c>
      <c r="E54" s="3" t="s">
        <v>110</v>
      </c>
      <c r="F54" s="3" t="s">
        <v>34</v>
      </c>
      <c r="G54" s="3" t="s">
        <v>47</v>
      </c>
      <c r="H54" s="3" t="s">
        <v>112</v>
      </c>
      <c r="I54" s="6">
        <v>272.94</v>
      </c>
      <c r="J54" s="4">
        <v>3</v>
      </c>
      <c r="K54" s="6">
        <v>30.02</v>
      </c>
    </row>
    <row r="55" spans="1:11" x14ac:dyDescent="0.3">
      <c r="A55" s="7">
        <v>41659</v>
      </c>
      <c r="B55" s="4">
        <f>YEAR(SalesData[[#This Row],[Order Date]])</f>
        <v>2014</v>
      </c>
      <c r="C55" s="4">
        <f>MONTH(SalesData[[#This Row],[Order Date]])</f>
        <v>1</v>
      </c>
      <c r="D55" s="3" t="s">
        <v>109</v>
      </c>
      <c r="E55" s="3" t="s">
        <v>110</v>
      </c>
      <c r="F55" s="3" t="s">
        <v>11</v>
      </c>
      <c r="G55" s="3" t="s">
        <v>20</v>
      </c>
      <c r="H55" s="3" t="s">
        <v>113</v>
      </c>
      <c r="I55" s="6">
        <v>19.05</v>
      </c>
      <c r="J55" s="4">
        <v>5</v>
      </c>
      <c r="K55" s="6">
        <v>8.9499999999999993</v>
      </c>
    </row>
    <row r="56" spans="1:11" x14ac:dyDescent="0.3">
      <c r="A56" s="7">
        <v>41659</v>
      </c>
      <c r="B56" s="4">
        <f>YEAR(SalesData[[#This Row],[Order Date]])</f>
        <v>2014</v>
      </c>
      <c r="C56" s="4">
        <f>MONTH(SalesData[[#This Row],[Order Date]])</f>
        <v>1</v>
      </c>
      <c r="D56" s="3" t="s">
        <v>109</v>
      </c>
      <c r="E56" s="3" t="s">
        <v>110</v>
      </c>
      <c r="F56" s="3" t="s">
        <v>11</v>
      </c>
      <c r="G56" s="3" t="s">
        <v>92</v>
      </c>
      <c r="H56" s="3" t="s">
        <v>114</v>
      </c>
      <c r="I56" s="6">
        <v>247.72</v>
      </c>
      <c r="J56" s="4">
        <v>4</v>
      </c>
      <c r="K56" s="6">
        <v>93.58</v>
      </c>
    </row>
    <row r="57" spans="1:11" x14ac:dyDescent="0.3">
      <c r="A57" s="7">
        <v>41659</v>
      </c>
      <c r="B57" s="4">
        <f>YEAR(SalesData[[#This Row],[Order Date]])</f>
        <v>2014</v>
      </c>
      <c r="C57" s="4">
        <f>MONTH(SalesData[[#This Row],[Order Date]])</f>
        <v>1</v>
      </c>
      <c r="D57" s="3" t="s">
        <v>109</v>
      </c>
      <c r="E57" s="3" t="s">
        <v>110</v>
      </c>
      <c r="F57" s="3" t="s">
        <v>11</v>
      </c>
      <c r="G57" s="3" t="s">
        <v>18</v>
      </c>
      <c r="H57" s="3" t="s">
        <v>115</v>
      </c>
      <c r="I57" s="6">
        <v>66.58</v>
      </c>
      <c r="J57" s="4">
        <v>2</v>
      </c>
      <c r="K57" s="6">
        <v>15.98</v>
      </c>
    </row>
    <row r="58" spans="1:11" x14ac:dyDescent="0.3">
      <c r="A58" s="7">
        <v>41659</v>
      </c>
      <c r="B58" s="4">
        <f>YEAR(SalesData[[#This Row],[Order Date]])</f>
        <v>2014</v>
      </c>
      <c r="C58" s="4">
        <f>MONTH(SalesData[[#This Row],[Order Date]])</f>
        <v>1</v>
      </c>
      <c r="D58" s="3" t="s">
        <v>109</v>
      </c>
      <c r="E58" s="3" t="s">
        <v>110</v>
      </c>
      <c r="F58" s="3" t="s">
        <v>11</v>
      </c>
      <c r="G58" s="3" t="s">
        <v>24</v>
      </c>
      <c r="H58" s="3" t="s">
        <v>116</v>
      </c>
      <c r="I58" s="6">
        <v>43.92</v>
      </c>
      <c r="J58" s="4">
        <v>3</v>
      </c>
      <c r="K58" s="6">
        <v>12.74</v>
      </c>
    </row>
    <row r="59" spans="1:11" x14ac:dyDescent="0.3">
      <c r="A59" s="7">
        <v>41659</v>
      </c>
      <c r="B59" s="4">
        <f>YEAR(SalesData[[#This Row],[Order Date]])</f>
        <v>2014</v>
      </c>
      <c r="C59" s="4">
        <f>MONTH(SalesData[[#This Row],[Order Date]])</f>
        <v>1</v>
      </c>
      <c r="D59" s="3" t="s">
        <v>109</v>
      </c>
      <c r="E59" s="3" t="s">
        <v>110</v>
      </c>
      <c r="F59" s="3" t="s">
        <v>34</v>
      </c>
      <c r="G59" s="3" t="s">
        <v>47</v>
      </c>
      <c r="H59" s="3" t="s">
        <v>117</v>
      </c>
      <c r="I59" s="6">
        <v>14.73</v>
      </c>
      <c r="J59" s="4">
        <v>3</v>
      </c>
      <c r="K59" s="6">
        <v>4.8600000000000003</v>
      </c>
    </row>
    <row r="60" spans="1:11" x14ac:dyDescent="0.3">
      <c r="A60" s="7">
        <v>41659</v>
      </c>
      <c r="B60" s="4">
        <f>YEAR(SalesData[[#This Row],[Order Date]])</f>
        <v>2014</v>
      </c>
      <c r="C60" s="4">
        <f>MONTH(SalesData[[#This Row],[Order Date]])</f>
        <v>1</v>
      </c>
      <c r="D60" s="3" t="s">
        <v>109</v>
      </c>
      <c r="E60" s="3" t="s">
        <v>110</v>
      </c>
      <c r="F60" s="3" t="s">
        <v>11</v>
      </c>
      <c r="G60" s="3" t="s">
        <v>20</v>
      </c>
      <c r="H60" s="3" t="s">
        <v>118</v>
      </c>
      <c r="I60" s="6">
        <v>29.7</v>
      </c>
      <c r="J60" s="4">
        <v>5</v>
      </c>
      <c r="K60" s="6">
        <v>13.37</v>
      </c>
    </row>
    <row r="61" spans="1:11" x14ac:dyDescent="0.3">
      <c r="A61" s="7">
        <v>41659</v>
      </c>
      <c r="B61" s="4">
        <f>YEAR(SalesData[[#This Row],[Order Date]])</f>
        <v>2014</v>
      </c>
      <c r="C61" s="4">
        <f>MONTH(SalesData[[#This Row],[Order Date]])</f>
        <v>1</v>
      </c>
      <c r="D61" s="3" t="s">
        <v>119</v>
      </c>
      <c r="E61" s="3" t="s">
        <v>120</v>
      </c>
      <c r="F61" s="3" t="s">
        <v>11</v>
      </c>
      <c r="G61" s="3" t="s">
        <v>20</v>
      </c>
      <c r="H61" s="3" t="s">
        <v>121</v>
      </c>
      <c r="I61" s="6">
        <v>67.19</v>
      </c>
      <c r="J61" s="4">
        <v>1</v>
      </c>
      <c r="K61" s="6">
        <v>-51.52</v>
      </c>
    </row>
    <row r="62" spans="1:11" x14ac:dyDescent="0.3">
      <c r="A62" s="7">
        <v>41660</v>
      </c>
      <c r="B62" s="4">
        <f>YEAR(SalesData[[#This Row],[Order Date]])</f>
        <v>2014</v>
      </c>
      <c r="C62" s="4">
        <f>MONTH(SalesData[[#This Row],[Order Date]])</f>
        <v>1</v>
      </c>
      <c r="D62" s="3" t="s">
        <v>122</v>
      </c>
      <c r="E62" s="3" t="s">
        <v>123</v>
      </c>
      <c r="F62" s="3" t="s">
        <v>34</v>
      </c>
      <c r="G62" s="3" t="s">
        <v>47</v>
      </c>
      <c r="H62" s="3" t="s">
        <v>124</v>
      </c>
      <c r="I62" s="6">
        <v>25.25</v>
      </c>
      <c r="J62" s="4">
        <v>3</v>
      </c>
      <c r="K62" s="6">
        <v>4.0999999999999996</v>
      </c>
    </row>
    <row r="63" spans="1:11" x14ac:dyDescent="0.3">
      <c r="A63" s="7">
        <v>41662</v>
      </c>
      <c r="B63" s="4">
        <f>YEAR(SalesData[[#This Row],[Order Date]])</f>
        <v>2014</v>
      </c>
      <c r="C63" s="4">
        <f>MONTH(SalesData[[#This Row],[Order Date]])</f>
        <v>1</v>
      </c>
      <c r="D63" s="3" t="s">
        <v>125</v>
      </c>
      <c r="E63" s="3" t="s">
        <v>126</v>
      </c>
      <c r="F63" s="3" t="s">
        <v>11</v>
      </c>
      <c r="G63" s="3" t="s">
        <v>12</v>
      </c>
      <c r="H63" s="3" t="s">
        <v>127</v>
      </c>
      <c r="I63" s="6">
        <v>40.08</v>
      </c>
      <c r="J63" s="4">
        <v>6</v>
      </c>
      <c r="K63" s="6">
        <v>19.239999999999998</v>
      </c>
    </row>
    <row r="64" spans="1:11" x14ac:dyDescent="0.3">
      <c r="A64" s="7">
        <v>41662</v>
      </c>
      <c r="B64" s="4">
        <f>YEAR(SalesData[[#This Row],[Order Date]])</f>
        <v>2014</v>
      </c>
      <c r="C64" s="4">
        <f>MONTH(SalesData[[#This Row],[Order Date]])</f>
        <v>1</v>
      </c>
      <c r="D64" s="3" t="s">
        <v>128</v>
      </c>
      <c r="E64" s="3" t="s">
        <v>129</v>
      </c>
      <c r="F64" s="3" t="s">
        <v>11</v>
      </c>
      <c r="G64" s="3" t="s">
        <v>43</v>
      </c>
      <c r="H64" s="3" t="s">
        <v>130</v>
      </c>
      <c r="I64" s="6">
        <v>5.94</v>
      </c>
      <c r="J64" s="4">
        <v>3</v>
      </c>
      <c r="K64" s="6">
        <v>0</v>
      </c>
    </row>
    <row r="65" spans="1:11" x14ac:dyDescent="0.3">
      <c r="A65" s="7">
        <v>41665</v>
      </c>
      <c r="B65" s="4">
        <f>YEAR(SalesData[[#This Row],[Order Date]])</f>
        <v>2014</v>
      </c>
      <c r="C65" s="4">
        <f>MONTH(SalesData[[#This Row],[Order Date]])</f>
        <v>1</v>
      </c>
      <c r="D65" s="3" t="s">
        <v>131</v>
      </c>
      <c r="E65" s="3" t="s">
        <v>55</v>
      </c>
      <c r="F65" s="3" t="s">
        <v>34</v>
      </c>
      <c r="G65" s="3" t="s">
        <v>47</v>
      </c>
      <c r="H65" s="3" t="s">
        <v>132</v>
      </c>
      <c r="I65" s="6">
        <v>62.82</v>
      </c>
      <c r="J65" s="4">
        <v>3</v>
      </c>
      <c r="K65" s="6">
        <v>30.78</v>
      </c>
    </row>
    <row r="66" spans="1:11" x14ac:dyDescent="0.3">
      <c r="A66" s="7">
        <v>41665</v>
      </c>
      <c r="B66" s="4">
        <f>YEAR(SalesData[[#This Row],[Order Date]])</f>
        <v>2014</v>
      </c>
      <c r="C66" s="4">
        <f>MONTH(SalesData[[#This Row],[Order Date]])</f>
        <v>1</v>
      </c>
      <c r="D66" s="3" t="s">
        <v>131</v>
      </c>
      <c r="E66" s="3" t="s">
        <v>55</v>
      </c>
      <c r="F66" s="3" t="s">
        <v>11</v>
      </c>
      <c r="G66" s="3" t="s">
        <v>18</v>
      </c>
      <c r="H66" s="3" t="s">
        <v>133</v>
      </c>
      <c r="I66" s="6">
        <v>489.92</v>
      </c>
      <c r="J66" s="4">
        <v>8</v>
      </c>
      <c r="K66" s="6">
        <v>0</v>
      </c>
    </row>
    <row r="67" spans="1:11" x14ac:dyDescent="0.3">
      <c r="A67" s="7">
        <v>41665</v>
      </c>
      <c r="B67" s="4">
        <f>YEAR(SalesData[[#This Row],[Order Date]])</f>
        <v>2014</v>
      </c>
      <c r="C67" s="4">
        <f>MONTH(SalesData[[#This Row],[Order Date]])</f>
        <v>1</v>
      </c>
      <c r="D67" s="3" t="s">
        <v>131</v>
      </c>
      <c r="E67" s="3" t="s">
        <v>55</v>
      </c>
      <c r="F67" s="3" t="s">
        <v>11</v>
      </c>
      <c r="G67" s="3" t="s">
        <v>12</v>
      </c>
      <c r="H67" s="3" t="s">
        <v>134</v>
      </c>
      <c r="I67" s="6">
        <v>19.440000000000001</v>
      </c>
      <c r="J67" s="4">
        <v>3</v>
      </c>
      <c r="K67" s="6">
        <v>9.33</v>
      </c>
    </row>
    <row r="68" spans="1:11" x14ac:dyDescent="0.3">
      <c r="A68" s="7">
        <v>41665</v>
      </c>
      <c r="B68" s="4">
        <f>YEAR(SalesData[[#This Row],[Order Date]])</f>
        <v>2014</v>
      </c>
      <c r="C68" s="4">
        <f>MONTH(SalesData[[#This Row],[Order Date]])</f>
        <v>1</v>
      </c>
      <c r="D68" s="3" t="s">
        <v>131</v>
      </c>
      <c r="E68" s="3" t="s">
        <v>55</v>
      </c>
      <c r="F68" s="3" t="s">
        <v>11</v>
      </c>
      <c r="G68" s="3" t="s">
        <v>12</v>
      </c>
      <c r="H68" s="3" t="s">
        <v>135</v>
      </c>
      <c r="I68" s="6">
        <v>16.68</v>
      </c>
      <c r="J68" s="4">
        <v>2</v>
      </c>
      <c r="K68" s="6">
        <v>8.34</v>
      </c>
    </row>
    <row r="69" spans="1:11" x14ac:dyDescent="0.3">
      <c r="A69" s="7">
        <v>41665</v>
      </c>
      <c r="B69" s="4">
        <f>YEAR(SalesData[[#This Row],[Order Date]])</f>
        <v>2014</v>
      </c>
      <c r="C69" s="4">
        <f>MONTH(SalesData[[#This Row],[Order Date]])</f>
        <v>1</v>
      </c>
      <c r="D69" s="3" t="s">
        <v>131</v>
      </c>
      <c r="E69" s="3" t="s">
        <v>55</v>
      </c>
      <c r="F69" s="3" t="s">
        <v>39</v>
      </c>
      <c r="G69" s="3" t="s">
        <v>40</v>
      </c>
      <c r="H69" s="3" t="s">
        <v>136</v>
      </c>
      <c r="I69" s="6">
        <v>155.35</v>
      </c>
      <c r="J69" s="4">
        <v>13</v>
      </c>
      <c r="K69" s="6">
        <v>0</v>
      </c>
    </row>
    <row r="70" spans="1:11" x14ac:dyDescent="0.3">
      <c r="A70" s="7">
        <v>41665</v>
      </c>
      <c r="B70" s="4">
        <f>YEAR(SalesData[[#This Row],[Order Date]])</f>
        <v>2014</v>
      </c>
      <c r="C70" s="4">
        <f>MONTH(SalesData[[#This Row],[Order Date]])</f>
        <v>1</v>
      </c>
      <c r="D70" s="3" t="s">
        <v>131</v>
      </c>
      <c r="E70" s="3" t="s">
        <v>55</v>
      </c>
      <c r="F70" s="3" t="s">
        <v>34</v>
      </c>
      <c r="G70" s="3" t="s">
        <v>47</v>
      </c>
      <c r="H70" s="3" t="s">
        <v>137</v>
      </c>
      <c r="I70" s="6">
        <v>12.42</v>
      </c>
      <c r="J70" s="4">
        <v>3</v>
      </c>
      <c r="K70" s="6">
        <v>4.47</v>
      </c>
    </row>
    <row r="71" spans="1:11" x14ac:dyDescent="0.3">
      <c r="A71" s="7">
        <v>41665</v>
      </c>
      <c r="B71" s="4">
        <f>YEAR(SalesData[[#This Row],[Order Date]])</f>
        <v>2014</v>
      </c>
      <c r="C71" s="4">
        <f>MONTH(SalesData[[#This Row],[Order Date]])</f>
        <v>1</v>
      </c>
      <c r="D71" s="3" t="s">
        <v>131</v>
      </c>
      <c r="E71" s="3" t="s">
        <v>55</v>
      </c>
      <c r="F71" s="3" t="s">
        <v>39</v>
      </c>
      <c r="G71" s="3" t="s">
        <v>40</v>
      </c>
      <c r="H71" s="3" t="s">
        <v>138</v>
      </c>
      <c r="I71" s="6">
        <v>187.98</v>
      </c>
      <c r="J71" s="4">
        <v>2</v>
      </c>
      <c r="K71" s="6">
        <v>52.63</v>
      </c>
    </row>
    <row r="72" spans="1:11" x14ac:dyDescent="0.3">
      <c r="A72" s="7">
        <v>41665</v>
      </c>
      <c r="B72" s="4">
        <f>YEAR(SalesData[[#This Row],[Order Date]])</f>
        <v>2014</v>
      </c>
      <c r="C72" s="4">
        <f>MONTH(SalesData[[#This Row],[Order Date]])</f>
        <v>1</v>
      </c>
      <c r="D72" s="3" t="s">
        <v>139</v>
      </c>
      <c r="E72" s="3" t="s">
        <v>140</v>
      </c>
      <c r="F72" s="3" t="s">
        <v>11</v>
      </c>
      <c r="G72" s="3" t="s">
        <v>20</v>
      </c>
      <c r="H72" s="3" t="s">
        <v>141</v>
      </c>
      <c r="I72" s="6">
        <v>10.68</v>
      </c>
      <c r="J72" s="4">
        <v>2</v>
      </c>
      <c r="K72" s="6">
        <v>5.0199999999999996</v>
      </c>
    </row>
    <row r="73" spans="1:11" x14ac:dyDescent="0.3">
      <c r="A73" s="7">
        <v>41665</v>
      </c>
      <c r="B73" s="4">
        <f>YEAR(SalesData[[#This Row],[Order Date]])</f>
        <v>2014</v>
      </c>
      <c r="C73" s="4">
        <f>MONTH(SalesData[[#This Row],[Order Date]])</f>
        <v>1</v>
      </c>
      <c r="D73" s="3" t="s">
        <v>139</v>
      </c>
      <c r="E73" s="3" t="s">
        <v>140</v>
      </c>
      <c r="F73" s="3" t="s">
        <v>34</v>
      </c>
      <c r="G73" s="3" t="s">
        <v>74</v>
      </c>
      <c r="H73" s="3" t="s">
        <v>142</v>
      </c>
      <c r="I73" s="6">
        <v>141.96</v>
      </c>
      <c r="J73" s="4">
        <v>2</v>
      </c>
      <c r="K73" s="6">
        <v>39.75</v>
      </c>
    </row>
    <row r="74" spans="1:11" x14ac:dyDescent="0.3">
      <c r="A74" s="7">
        <v>41666</v>
      </c>
      <c r="B74" s="4">
        <f>YEAR(SalesData[[#This Row],[Order Date]])</f>
        <v>2014</v>
      </c>
      <c r="C74" s="4">
        <f>MONTH(SalesData[[#This Row],[Order Date]])</f>
        <v>1</v>
      </c>
      <c r="D74" s="3" t="s">
        <v>143</v>
      </c>
      <c r="E74" s="3" t="s">
        <v>27</v>
      </c>
      <c r="F74" s="3" t="s">
        <v>11</v>
      </c>
      <c r="G74" s="3" t="s">
        <v>18</v>
      </c>
      <c r="H74" s="3" t="s">
        <v>144</v>
      </c>
      <c r="I74" s="6">
        <v>57.23</v>
      </c>
      <c r="J74" s="4">
        <v>1</v>
      </c>
      <c r="K74" s="6">
        <v>14.31</v>
      </c>
    </row>
    <row r="75" spans="1:11" x14ac:dyDescent="0.3">
      <c r="A75" s="7">
        <v>41666</v>
      </c>
      <c r="B75" s="4">
        <f>YEAR(SalesData[[#This Row],[Order Date]])</f>
        <v>2014</v>
      </c>
      <c r="C75" s="4">
        <f>MONTH(SalesData[[#This Row],[Order Date]])</f>
        <v>1</v>
      </c>
      <c r="D75" s="3" t="s">
        <v>143</v>
      </c>
      <c r="E75" s="3" t="s">
        <v>27</v>
      </c>
      <c r="F75" s="3" t="s">
        <v>34</v>
      </c>
      <c r="G75" s="3" t="s">
        <v>145</v>
      </c>
      <c r="H75" s="3" t="s">
        <v>146</v>
      </c>
      <c r="I75" s="6">
        <v>333</v>
      </c>
      <c r="J75" s="4">
        <v>3</v>
      </c>
      <c r="K75" s="6">
        <v>-16.649999999999999</v>
      </c>
    </row>
    <row r="76" spans="1:11" x14ac:dyDescent="0.3">
      <c r="A76" s="7">
        <v>41666</v>
      </c>
      <c r="B76" s="4">
        <f>YEAR(SalesData[[#This Row],[Order Date]])</f>
        <v>2014</v>
      </c>
      <c r="C76" s="4">
        <f>MONTH(SalesData[[#This Row],[Order Date]])</f>
        <v>1</v>
      </c>
      <c r="D76" s="3" t="s">
        <v>143</v>
      </c>
      <c r="E76" s="3" t="s">
        <v>27</v>
      </c>
      <c r="F76" s="3" t="s">
        <v>11</v>
      </c>
      <c r="G76" s="3" t="s">
        <v>24</v>
      </c>
      <c r="H76" s="3" t="s">
        <v>147</v>
      </c>
      <c r="I76" s="6">
        <v>36.44</v>
      </c>
      <c r="J76" s="4">
        <v>4</v>
      </c>
      <c r="K76" s="6">
        <v>12.03</v>
      </c>
    </row>
    <row r="77" spans="1:11" x14ac:dyDescent="0.3">
      <c r="A77" s="7">
        <v>41667</v>
      </c>
      <c r="B77" s="4">
        <f>YEAR(SalesData[[#This Row],[Order Date]])</f>
        <v>2014</v>
      </c>
      <c r="C77" s="4">
        <f>MONTH(SalesData[[#This Row],[Order Date]])</f>
        <v>1</v>
      </c>
      <c r="D77" s="3" t="s">
        <v>148</v>
      </c>
      <c r="E77" s="3" t="s">
        <v>149</v>
      </c>
      <c r="F77" s="3" t="s">
        <v>11</v>
      </c>
      <c r="G77" s="3" t="s">
        <v>20</v>
      </c>
      <c r="H77" s="3" t="s">
        <v>150</v>
      </c>
      <c r="I77" s="6">
        <v>3.93</v>
      </c>
      <c r="J77" s="4">
        <v>1</v>
      </c>
      <c r="K77" s="6">
        <v>1.33</v>
      </c>
    </row>
    <row r="78" spans="1:11" x14ac:dyDescent="0.3">
      <c r="A78" s="7">
        <v>41669</v>
      </c>
      <c r="B78" s="4">
        <f>YEAR(SalesData[[#This Row],[Order Date]])</f>
        <v>2014</v>
      </c>
      <c r="C78" s="4">
        <f>MONTH(SalesData[[#This Row],[Order Date]])</f>
        <v>1</v>
      </c>
      <c r="D78" s="3" t="s">
        <v>151</v>
      </c>
      <c r="E78" s="3" t="s">
        <v>110</v>
      </c>
      <c r="F78" s="3" t="s">
        <v>11</v>
      </c>
      <c r="G78" s="3" t="s">
        <v>12</v>
      </c>
      <c r="H78" s="3" t="s">
        <v>152</v>
      </c>
      <c r="I78" s="6">
        <v>10.56</v>
      </c>
      <c r="J78" s="4">
        <v>2</v>
      </c>
      <c r="K78" s="6">
        <v>4.75</v>
      </c>
    </row>
    <row r="79" spans="1:11" x14ac:dyDescent="0.3">
      <c r="A79" s="7">
        <v>41669</v>
      </c>
      <c r="B79" s="4">
        <f>YEAR(SalesData[[#This Row],[Order Date]])</f>
        <v>2014</v>
      </c>
      <c r="C79" s="4">
        <f>MONTH(SalesData[[#This Row],[Order Date]])</f>
        <v>1</v>
      </c>
      <c r="D79" s="3" t="s">
        <v>151</v>
      </c>
      <c r="E79" s="3" t="s">
        <v>110</v>
      </c>
      <c r="F79" s="3" t="s">
        <v>11</v>
      </c>
      <c r="G79" s="3" t="s">
        <v>18</v>
      </c>
      <c r="H79" s="3" t="s">
        <v>153</v>
      </c>
      <c r="I79" s="6">
        <v>229.94</v>
      </c>
      <c r="J79" s="4">
        <v>2</v>
      </c>
      <c r="K79" s="6">
        <v>6.9</v>
      </c>
    </row>
    <row r="80" spans="1:11" x14ac:dyDescent="0.3">
      <c r="A80" s="7">
        <v>41670</v>
      </c>
      <c r="B80" s="4">
        <f>YEAR(SalesData[[#This Row],[Order Date]])</f>
        <v>2014</v>
      </c>
      <c r="C80" s="4">
        <f>MONTH(SalesData[[#This Row],[Order Date]])</f>
        <v>1</v>
      </c>
      <c r="D80" s="3" t="s">
        <v>154</v>
      </c>
      <c r="E80" s="3" t="s">
        <v>27</v>
      </c>
      <c r="F80" s="3" t="s">
        <v>34</v>
      </c>
      <c r="G80" s="3" t="s">
        <v>74</v>
      </c>
      <c r="H80" s="3" t="s">
        <v>155</v>
      </c>
      <c r="I80" s="6">
        <v>290.67</v>
      </c>
      <c r="J80" s="4">
        <v>2</v>
      </c>
      <c r="K80" s="6">
        <v>3.42</v>
      </c>
    </row>
    <row r="81" spans="1:11" x14ac:dyDescent="0.3">
      <c r="A81" s="7">
        <v>41671</v>
      </c>
      <c r="B81" s="4">
        <f>YEAR(SalesData[[#This Row],[Order Date]])</f>
        <v>2014</v>
      </c>
      <c r="C81" s="4">
        <f>MONTH(SalesData[[#This Row],[Order Date]])</f>
        <v>2</v>
      </c>
      <c r="D81" s="3" t="s">
        <v>156</v>
      </c>
      <c r="E81" s="3" t="s">
        <v>157</v>
      </c>
      <c r="F81" s="3" t="s">
        <v>39</v>
      </c>
      <c r="G81" s="3" t="s">
        <v>52</v>
      </c>
      <c r="H81" s="3" t="s">
        <v>158</v>
      </c>
      <c r="I81" s="6">
        <v>468.9</v>
      </c>
      <c r="J81" s="4">
        <v>6</v>
      </c>
      <c r="K81" s="6">
        <v>206.32</v>
      </c>
    </row>
    <row r="82" spans="1:11" x14ac:dyDescent="0.3">
      <c r="A82" s="7">
        <v>41672</v>
      </c>
      <c r="B82" s="4">
        <f>YEAR(SalesData[[#This Row],[Order Date]])</f>
        <v>2014</v>
      </c>
      <c r="C82" s="4">
        <f>MONTH(SalesData[[#This Row],[Order Date]])</f>
        <v>2</v>
      </c>
      <c r="D82" s="3" t="s">
        <v>159</v>
      </c>
      <c r="E82" s="3" t="s">
        <v>27</v>
      </c>
      <c r="F82" s="3" t="s">
        <v>11</v>
      </c>
      <c r="G82" s="3" t="s">
        <v>43</v>
      </c>
      <c r="H82" s="3" t="s">
        <v>160</v>
      </c>
      <c r="I82" s="6">
        <v>12.35</v>
      </c>
      <c r="J82" s="4">
        <v>5</v>
      </c>
      <c r="K82" s="6">
        <v>5.8</v>
      </c>
    </row>
    <row r="83" spans="1:11" x14ac:dyDescent="0.3">
      <c r="A83" s="7">
        <v>41672</v>
      </c>
      <c r="B83" s="4">
        <f>YEAR(SalesData[[#This Row],[Order Date]])</f>
        <v>2014</v>
      </c>
      <c r="C83" s="4">
        <f>MONTH(SalesData[[#This Row],[Order Date]])</f>
        <v>2</v>
      </c>
      <c r="D83" s="3" t="s">
        <v>161</v>
      </c>
      <c r="E83" s="3" t="s">
        <v>123</v>
      </c>
      <c r="F83" s="3" t="s">
        <v>11</v>
      </c>
      <c r="G83" s="3" t="s">
        <v>20</v>
      </c>
      <c r="H83" s="3" t="s">
        <v>162</v>
      </c>
      <c r="I83" s="6">
        <v>18.34</v>
      </c>
      <c r="J83" s="4">
        <v>2</v>
      </c>
      <c r="K83" s="6">
        <v>-12.22</v>
      </c>
    </row>
    <row r="84" spans="1:11" x14ac:dyDescent="0.3">
      <c r="A84" s="7">
        <v>41672</v>
      </c>
      <c r="B84" s="4">
        <f>YEAR(SalesData[[#This Row],[Order Date]])</f>
        <v>2014</v>
      </c>
      <c r="C84" s="4">
        <f>MONTH(SalesData[[#This Row],[Order Date]])</f>
        <v>2</v>
      </c>
      <c r="D84" s="3" t="s">
        <v>161</v>
      </c>
      <c r="E84" s="3" t="s">
        <v>123</v>
      </c>
      <c r="F84" s="3" t="s">
        <v>39</v>
      </c>
      <c r="G84" s="3" t="s">
        <v>40</v>
      </c>
      <c r="H84" s="3" t="s">
        <v>163</v>
      </c>
      <c r="I84" s="6">
        <v>180.96</v>
      </c>
      <c r="J84" s="4">
        <v>5</v>
      </c>
      <c r="K84" s="6">
        <v>13.57</v>
      </c>
    </row>
    <row r="85" spans="1:11" x14ac:dyDescent="0.3">
      <c r="A85" s="7">
        <v>41673</v>
      </c>
      <c r="B85" s="4">
        <f>YEAR(SalesData[[#This Row],[Order Date]])</f>
        <v>2014</v>
      </c>
      <c r="C85" s="4">
        <f>MONTH(SalesData[[#This Row],[Order Date]])</f>
        <v>2</v>
      </c>
      <c r="D85" s="3" t="s">
        <v>122</v>
      </c>
      <c r="E85" s="3" t="s">
        <v>164</v>
      </c>
      <c r="F85" s="3" t="s">
        <v>11</v>
      </c>
      <c r="G85" s="3" t="s">
        <v>20</v>
      </c>
      <c r="H85" s="3" t="s">
        <v>165</v>
      </c>
      <c r="I85" s="6">
        <v>83.84</v>
      </c>
      <c r="J85" s="4">
        <v>2</v>
      </c>
      <c r="K85" s="6">
        <v>27.25</v>
      </c>
    </row>
    <row r="86" spans="1:11" x14ac:dyDescent="0.3">
      <c r="A86" s="7">
        <v>41673</v>
      </c>
      <c r="B86" s="4">
        <f>YEAR(SalesData[[#This Row],[Order Date]])</f>
        <v>2014</v>
      </c>
      <c r="C86" s="4">
        <f>MONTH(SalesData[[#This Row],[Order Date]])</f>
        <v>2</v>
      </c>
      <c r="D86" s="3" t="s">
        <v>122</v>
      </c>
      <c r="E86" s="3" t="s">
        <v>164</v>
      </c>
      <c r="F86" s="3" t="s">
        <v>11</v>
      </c>
      <c r="G86" s="3" t="s">
        <v>20</v>
      </c>
      <c r="H86" s="3" t="s">
        <v>166</v>
      </c>
      <c r="I86" s="6">
        <v>13.27</v>
      </c>
      <c r="J86" s="4">
        <v>3</v>
      </c>
      <c r="K86" s="6">
        <v>4.3099999999999996</v>
      </c>
    </row>
    <row r="87" spans="1:11" x14ac:dyDescent="0.3">
      <c r="A87" s="7">
        <v>41674</v>
      </c>
      <c r="B87" s="4">
        <f>YEAR(SalesData[[#This Row],[Order Date]])</f>
        <v>2014</v>
      </c>
      <c r="C87" s="4">
        <f>MONTH(SalesData[[#This Row],[Order Date]])</f>
        <v>2</v>
      </c>
      <c r="D87" s="3" t="s">
        <v>167</v>
      </c>
      <c r="E87" s="3" t="s">
        <v>27</v>
      </c>
      <c r="F87" s="3" t="s">
        <v>11</v>
      </c>
      <c r="G87" s="3" t="s">
        <v>20</v>
      </c>
      <c r="H87" s="3" t="s">
        <v>168</v>
      </c>
      <c r="I87" s="6">
        <v>82.9</v>
      </c>
      <c r="J87" s="4">
        <v>3</v>
      </c>
      <c r="K87" s="6">
        <v>29.01</v>
      </c>
    </row>
    <row r="88" spans="1:11" x14ac:dyDescent="0.3">
      <c r="A88" s="7">
        <v>41674</v>
      </c>
      <c r="B88" s="4">
        <f>YEAR(SalesData[[#This Row],[Order Date]])</f>
        <v>2014</v>
      </c>
      <c r="C88" s="4">
        <f>MONTH(SalesData[[#This Row],[Order Date]])</f>
        <v>2</v>
      </c>
      <c r="D88" s="3" t="s">
        <v>167</v>
      </c>
      <c r="E88" s="3" t="s">
        <v>27</v>
      </c>
      <c r="F88" s="3" t="s">
        <v>11</v>
      </c>
      <c r="G88" s="3" t="s">
        <v>12</v>
      </c>
      <c r="H88" s="3" t="s">
        <v>169</v>
      </c>
      <c r="I88" s="6">
        <v>34.24</v>
      </c>
      <c r="J88" s="4">
        <v>4</v>
      </c>
      <c r="K88" s="6">
        <v>16.09</v>
      </c>
    </row>
    <row r="89" spans="1:11" x14ac:dyDescent="0.3">
      <c r="A89" s="7">
        <v>41674</v>
      </c>
      <c r="B89" s="4">
        <f>YEAR(SalesData[[#This Row],[Order Date]])</f>
        <v>2014</v>
      </c>
      <c r="C89" s="4">
        <f>MONTH(SalesData[[#This Row],[Order Date]])</f>
        <v>2</v>
      </c>
      <c r="D89" s="3" t="s">
        <v>170</v>
      </c>
      <c r="E89" s="3" t="s">
        <v>27</v>
      </c>
      <c r="F89" s="3" t="s">
        <v>11</v>
      </c>
      <c r="G89" s="3" t="s">
        <v>20</v>
      </c>
      <c r="H89" s="3" t="s">
        <v>96</v>
      </c>
      <c r="I89" s="6">
        <v>17.25</v>
      </c>
      <c r="J89" s="4">
        <v>2</v>
      </c>
      <c r="K89" s="6">
        <v>6.04</v>
      </c>
    </row>
    <row r="90" spans="1:11" x14ac:dyDescent="0.3">
      <c r="A90" s="7">
        <v>41676</v>
      </c>
      <c r="B90" s="4">
        <f>YEAR(SalesData[[#This Row],[Order Date]])</f>
        <v>2014</v>
      </c>
      <c r="C90" s="4">
        <f>MONTH(SalesData[[#This Row],[Order Date]])</f>
        <v>2</v>
      </c>
      <c r="D90" s="3" t="s">
        <v>171</v>
      </c>
      <c r="E90" s="3" t="s">
        <v>55</v>
      </c>
      <c r="F90" s="3" t="s">
        <v>11</v>
      </c>
      <c r="G90" s="3" t="s">
        <v>16</v>
      </c>
      <c r="H90" s="3" t="s">
        <v>172</v>
      </c>
      <c r="I90" s="6">
        <v>15</v>
      </c>
      <c r="J90" s="4">
        <v>4</v>
      </c>
      <c r="K90" s="6">
        <v>7.2</v>
      </c>
    </row>
    <row r="91" spans="1:11" x14ac:dyDescent="0.3">
      <c r="A91" s="7">
        <v>41676</v>
      </c>
      <c r="B91" s="4">
        <f>YEAR(SalesData[[#This Row],[Order Date]])</f>
        <v>2014</v>
      </c>
      <c r="C91" s="4">
        <f>MONTH(SalesData[[#This Row],[Order Date]])</f>
        <v>2</v>
      </c>
      <c r="D91" s="3" t="s">
        <v>171</v>
      </c>
      <c r="E91" s="3" t="s">
        <v>55</v>
      </c>
      <c r="F91" s="3" t="s">
        <v>39</v>
      </c>
      <c r="G91" s="3" t="s">
        <v>40</v>
      </c>
      <c r="H91" s="3" t="s">
        <v>173</v>
      </c>
      <c r="I91" s="6">
        <v>161.61000000000001</v>
      </c>
      <c r="J91" s="4">
        <v>1</v>
      </c>
      <c r="K91" s="6">
        <v>42.02</v>
      </c>
    </row>
    <row r="92" spans="1:11" x14ac:dyDescent="0.3">
      <c r="A92" s="7">
        <v>41676</v>
      </c>
      <c r="B92" s="4">
        <f>YEAR(SalesData[[#This Row],[Order Date]])</f>
        <v>2014</v>
      </c>
      <c r="C92" s="4">
        <f>MONTH(SalesData[[#This Row],[Order Date]])</f>
        <v>2</v>
      </c>
      <c r="D92" s="3" t="s">
        <v>171</v>
      </c>
      <c r="E92" s="3" t="s">
        <v>55</v>
      </c>
      <c r="F92" s="3" t="s">
        <v>39</v>
      </c>
      <c r="G92" s="3" t="s">
        <v>40</v>
      </c>
      <c r="H92" s="3" t="s">
        <v>174</v>
      </c>
      <c r="I92" s="6">
        <v>144.94999999999999</v>
      </c>
      <c r="J92" s="4">
        <v>5</v>
      </c>
      <c r="K92" s="6">
        <v>42.04</v>
      </c>
    </row>
    <row r="93" spans="1:11" x14ac:dyDescent="0.3">
      <c r="A93" s="7">
        <v>41676</v>
      </c>
      <c r="B93" s="4">
        <f>YEAR(SalesData[[#This Row],[Order Date]])</f>
        <v>2014</v>
      </c>
      <c r="C93" s="4">
        <f>MONTH(SalesData[[#This Row],[Order Date]])</f>
        <v>2</v>
      </c>
      <c r="D93" s="3" t="s">
        <v>85</v>
      </c>
      <c r="E93" s="3" t="s">
        <v>15</v>
      </c>
      <c r="F93" s="3" t="s">
        <v>11</v>
      </c>
      <c r="G93" s="3" t="s">
        <v>20</v>
      </c>
      <c r="H93" s="3" t="s">
        <v>175</v>
      </c>
      <c r="I93" s="6">
        <v>8.9499999999999993</v>
      </c>
      <c r="J93" s="4">
        <v>2</v>
      </c>
      <c r="K93" s="6">
        <v>-14.77</v>
      </c>
    </row>
    <row r="94" spans="1:11" x14ac:dyDescent="0.3">
      <c r="A94" s="7">
        <v>41677</v>
      </c>
      <c r="B94" s="4">
        <f>YEAR(SalesData[[#This Row],[Order Date]])</f>
        <v>2014</v>
      </c>
      <c r="C94" s="4">
        <f>MONTH(SalesData[[#This Row],[Order Date]])</f>
        <v>2</v>
      </c>
      <c r="D94" s="3" t="s">
        <v>176</v>
      </c>
      <c r="E94" s="3" t="s">
        <v>177</v>
      </c>
      <c r="F94" s="3" t="s">
        <v>39</v>
      </c>
      <c r="G94" s="3" t="s">
        <v>52</v>
      </c>
      <c r="H94" s="3" t="s">
        <v>178</v>
      </c>
      <c r="I94" s="6">
        <v>115.36</v>
      </c>
      <c r="J94" s="4">
        <v>7</v>
      </c>
      <c r="K94" s="6">
        <v>49.6</v>
      </c>
    </row>
    <row r="95" spans="1:11" x14ac:dyDescent="0.3">
      <c r="A95" s="7">
        <v>41677</v>
      </c>
      <c r="B95" s="4">
        <f>YEAR(SalesData[[#This Row],[Order Date]])</f>
        <v>2014</v>
      </c>
      <c r="C95" s="4">
        <f>MONTH(SalesData[[#This Row],[Order Date]])</f>
        <v>2</v>
      </c>
      <c r="D95" s="3" t="s">
        <v>61</v>
      </c>
      <c r="E95" s="3" t="s">
        <v>149</v>
      </c>
      <c r="F95" s="3" t="s">
        <v>11</v>
      </c>
      <c r="G95" s="3" t="s">
        <v>18</v>
      </c>
      <c r="H95" s="3" t="s">
        <v>179</v>
      </c>
      <c r="I95" s="6">
        <v>64.959999999999994</v>
      </c>
      <c r="J95" s="4">
        <v>4</v>
      </c>
      <c r="K95" s="6">
        <v>9.74</v>
      </c>
    </row>
    <row r="96" spans="1:11" x14ac:dyDescent="0.3">
      <c r="A96" s="7">
        <v>41678</v>
      </c>
      <c r="B96" s="4">
        <f>YEAR(SalesData[[#This Row],[Order Date]])</f>
        <v>2014</v>
      </c>
      <c r="C96" s="4">
        <f>MONTH(SalesData[[#This Row],[Order Date]])</f>
        <v>2</v>
      </c>
      <c r="D96" s="3" t="s">
        <v>180</v>
      </c>
      <c r="E96" s="3" t="s">
        <v>126</v>
      </c>
      <c r="F96" s="3" t="s">
        <v>34</v>
      </c>
      <c r="G96" s="3" t="s">
        <v>47</v>
      </c>
      <c r="H96" s="3" t="s">
        <v>181</v>
      </c>
      <c r="I96" s="6">
        <v>14.56</v>
      </c>
      <c r="J96" s="4">
        <v>2</v>
      </c>
      <c r="K96" s="6">
        <v>5.53</v>
      </c>
    </row>
    <row r="97" spans="1:11" x14ac:dyDescent="0.3">
      <c r="A97" s="7">
        <v>41681</v>
      </c>
      <c r="B97" s="4">
        <f>YEAR(SalesData[[#This Row],[Order Date]])</f>
        <v>2014</v>
      </c>
      <c r="C97" s="4">
        <f>MONTH(SalesData[[#This Row],[Order Date]])</f>
        <v>2</v>
      </c>
      <c r="D97" s="3" t="s">
        <v>182</v>
      </c>
      <c r="E97" s="3" t="s">
        <v>55</v>
      </c>
      <c r="F97" s="3" t="s">
        <v>39</v>
      </c>
      <c r="G97" s="3" t="s">
        <v>52</v>
      </c>
      <c r="H97" s="3" t="s">
        <v>158</v>
      </c>
      <c r="I97" s="6">
        <v>234.45</v>
      </c>
      <c r="J97" s="4">
        <v>3</v>
      </c>
      <c r="K97" s="6">
        <v>103.16</v>
      </c>
    </row>
    <row r="98" spans="1:11" x14ac:dyDescent="0.3">
      <c r="A98" s="7">
        <v>41681</v>
      </c>
      <c r="B98" s="4">
        <f>YEAR(SalesData[[#This Row],[Order Date]])</f>
        <v>2014</v>
      </c>
      <c r="C98" s="4">
        <f>MONTH(SalesData[[#This Row],[Order Date]])</f>
        <v>2</v>
      </c>
      <c r="D98" s="3" t="s">
        <v>182</v>
      </c>
      <c r="E98" s="3" t="s">
        <v>55</v>
      </c>
      <c r="F98" s="3" t="s">
        <v>34</v>
      </c>
      <c r="G98" s="3" t="s">
        <v>145</v>
      </c>
      <c r="H98" s="3" t="s">
        <v>183</v>
      </c>
      <c r="I98" s="6">
        <v>1256.22</v>
      </c>
      <c r="J98" s="4">
        <v>6</v>
      </c>
      <c r="K98" s="6">
        <v>75.37</v>
      </c>
    </row>
    <row r="99" spans="1:11" x14ac:dyDescent="0.3">
      <c r="A99" s="7">
        <v>41681</v>
      </c>
      <c r="B99" s="4">
        <f>YEAR(SalesData[[#This Row],[Order Date]])</f>
        <v>2014</v>
      </c>
      <c r="C99" s="4">
        <f>MONTH(SalesData[[#This Row],[Order Date]])</f>
        <v>2</v>
      </c>
      <c r="D99" s="3" t="s">
        <v>182</v>
      </c>
      <c r="E99" s="3" t="s">
        <v>55</v>
      </c>
      <c r="F99" s="3" t="s">
        <v>11</v>
      </c>
      <c r="G99" s="3" t="s">
        <v>20</v>
      </c>
      <c r="H99" s="3" t="s">
        <v>184</v>
      </c>
      <c r="I99" s="6">
        <v>17.46</v>
      </c>
      <c r="J99" s="4">
        <v>2</v>
      </c>
      <c r="K99" s="6">
        <v>8.2100000000000009</v>
      </c>
    </row>
    <row r="100" spans="1:11" x14ac:dyDescent="0.3">
      <c r="A100" s="7">
        <v>41681</v>
      </c>
      <c r="B100" s="4">
        <f>YEAR(SalesData[[#This Row],[Order Date]])</f>
        <v>2014</v>
      </c>
      <c r="C100" s="4">
        <f>MONTH(SalesData[[#This Row],[Order Date]])</f>
        <v>2</v>
      </c>
      <c r="D100" s="3" t="s">
        <v>185</v>
      </c>
      <c r="E100" s="3" t="s">
        <v>186</v>
      </c>
      <c r="F100" s="3" t="s">
        <v>34</v>
      </c>
      <c r="G100" s="3" t="s">
        <v>35</v>
      </c>
      <c r="H100" s="3" t="s">
        <v>187</v>
      </c>
      <c r="I100" s="6">
        <v>60.89</v>
      </c>
      <c r="J100" s="4">
        <v>1</v>
      </c>
      <c r="K100" s="6">
        <v>15.22</v>
      </c>
    </row>
    <row r="101" spans="1:11" x14ac:dyDescent="0.3">
      <c r="A101" s="7">
        <v>41681</v>
      </c>
      <c r="B101" s="4">
        <f>YEAR(SalesData[[#This Row],[Order Date]])</f>
        <v>2014</v>
      </c>
      <c r="C101" s="4">
        <f>MONTH(SalesData[[#This Row],[Order Date]])</f>
        <v>2</v>
      </c>
      <c r="D101" s="3" t="s">
        <v>185</v>
      </c>
      <c r="E101" s="3" t="s">
        <v>186</v>
      </c>
      <c r="F101" s="3" t="s">
        <v>11</v>
      </c>
      <c r="G101" s="3" t="s">
        <v>16</v>
      </c>
      <c r="H101" s="3" t="s">
        <v>188</v>
      </c>
      <c r="I101" s="6">
        <v>14.94</v>
      </c>
      <c r="J101" s="4">
        <v>3</v>
      </c>
      <c r="K101" s="6">
        <v>6.87</v>
      </c>
    </row>
    <row r="102" spans="1:11" x14ac:dyDescent="0.3">
      <c r="A102" s="7">
        <v>41681</v>
      </c>
      <c r="B102" s="4">
        <f>YEAR(SalesData[[#This Row],[Order Date]])</f>
        <v>2014</v>
      </c>
      <c r="C102" s="4">
        <f>MONTH(SalesData[[#This Row],[Order Date]])</f>
        <v>2</v>
      </c>
      <c r="D102" s="3" t="s">
        <v>185</v>
      </c>
      <c r="E102" s="3" t="s">
        <v>186</v>
      </c>
      <c r="F102" s="3" t="s">
        <v>11</v>
      </c>
      <c r="G102" s="3" t="s">
        <v>20</v>
      </c>
      <c r="H102" s="3" t="s">
        <v>189</v>
      </c>
      <c r="I102" s="6">
        <v>9.64</v>
      </c>
      <c r="J102" s="4">
        <v>2</v>
      </c>
      <c r="K102" s="6">
        <v>4.43</v>
      </c>
    </row>
    <row r="103" spans="1:11" x14ac:dyDescent="0.3">
      <c r="A103" s="7">
        <v>41681</v>
      </c>
      <c r="B103" s="4">
        <f>YEAR(SalesData[[#This Row],[Order Date]])</f>
        <v>2014</v>
      </c>
      <c r="C103" s="4">
        <f>MONTH(SalesData[[#This Row],[Order Date]])</f>
        <v>2</v>
      </c>
      <c r="D103" s="3" t="s">
        <v>185</v>
      </c>
      <c r="E103" s="3" t="s">
        <v>186</v>
      </c>
      <c r="F103" s="3" t="s">
        <v>34</v>
      </c>
      <c r="G103" s="3" t="s">
        <v>47</v>
      </c>
      <c r="H103" s="3" t="s">
        <v>190</v>
      </c>
      <c r="I103" s="6">
        <v>332.94</v>
      </c>
      <c r="J103" s="4">
        <v>3</v>
      </c>
      <c r="K103" s="6">
        <v>53.27</v>
      </c>
    </row>
    <row r="104" spans="1:11" x14ac:dyDescent="0.3">
      <c r="A104" s="7">
        <v>41681</v>
      </c>
      <c r="B104" s="4">
        <f>YEAR(SalesData[[#This Row],[Order Date]])</f>
        <v>2014</v>
      </c>
      <c r="C104" s="4">
        <f>MONTH(SalesData[[#This Row],[Order Date]])</f>
        <v>2</v>
      </c>
      <c r="D104" s="3" t="s">
        <v>185</v>
      </c>
      <c r="E104" s="3" t="s">
        <v>186</v>
      </c>
      <c r="F104" s="3" t="s">
        <v>11</v>
      </c>
      <c r="G104" s="3" t="s">
        <v>20</v>
      </c>
      <c r="H104" s="3" t="s">
        <v>191</v>
      </c>
      <c r="I104" s="6">
        <v>51.9</v>
      </c>
      <c r="J104" s="4">
        <v>3</v>
      </c>
      <c r="K104" s="6">
        <v>24.39</v>
      </c>
    </row>
    <row r="105" spans="1:11" x14ac:dyDescent="0.3">
      <c r="A105" s="7">
        <v>41681</v>
      </c>
      <c r="B105" s="4">
        <f>YEAR(SalesData[[#This Row],[Order Date]])</f>
        <v>2014</v>
      </c>
      <c r="C105" s="4">
        <f>MONTH(SalesData[[#This Row],[Order Date]])</f>
        <v>2</v>
      </c>
      <c r="D105" s="3" t="s">
        <v>185</v>
      </c>
      <c r="E105" s="3" t="s">
        <v>186</v>
      </c>
      <c r="F105" s="3" t="s">
        <v>11</v>
      </c>
      <c r="G105" s="3" t="s">
        <v>18</v>
      </c>
      <c r="H105" s="3" t="s">
        <v>192</v>
      </c>
      <c r="I105" s="6">
        <v>64.959999999999994</v>
      </c>
      <c r="J105" s="4">
        <v>2</v>
      </c>
      <c r="K105" s="6">
        <v>2.6</v>
      </c>
    </row>
    <row r="106" spans="1:11" x14ac:dyDescent="0.3">
      <c r="A106" s="7">
        <v>41682</v>
      </c>
      <c r="B106" s="4">
        <f>YEAR(SalesData[[#This Row],[Order Date]])</f>
        <v>2014</v>
      </c>
      <c r="C106" s="4">
        <f>MONTH(SalesData[[#This Row],[Order Date]])</f>
        <v>2</v>
      </c>
      <c r="D106" s="3" t="s">
        <v>193</v>
      </c>
      <c r="E106" s="3" t="s">
        <v>27</v>
      </c>
      <c r="F106" s="3" t="s">
        <v>34</v>
      </c>
      <c r="G106" s="3" t="s">
        <v>35</v>
      </c>
      <c r="H106" s="3" t="s">
        <v>194</v>
      </c>
      <c r="I106" s="6">
        <v>129.57</v>
      </c>
      <c r="J106" s="4">
        <v>2</v>
      </c>
      <c r="K106" s="6">
        <v>-24.29</v>
      </c>
    </row>
    <row r="107" spans="1:11" x14ac:dyDescent="0.3">
      <c r="A107" s="7">
        <v>41684</v>
      </c>
      <c r="B107" s="4">
        <f>YEAR(SalesData[[#This Row],[Order Date]])</f>
        <v>2014</v>
      </c>
      <c r="C107" s="4">
        <f>MONTH(SalesData[[#This Row],[Order Date]])</f>
        <v>2</v>
      </c>
      <c r="D107" s="3" t="s">
        <v>195</v>
      </c>
      <c r="E107" s="3" t="s">
        <v>10</v>
      </c>
      <c r="F107" s="3" t="s">
        <v>11</v>
      </c>
      <c r="G107" s="3" t="s">
        <v>12</v>
      </c>
      <c r="H107" s="3" t="s">
        <v>196</v>
      </c>
      <c r="I107" s="6">
        <v>16.18</v>
      </c>
      <c r="J107" s="4">
        <v>3</v>
      </c>
      <c r="K107" s="6">
        <v>6.07</v>
      </c>
    </row>
    <row r="108" spans="1:11" x14ac:dyDescent="0.3">
      <c r="A108" s="7">
        <v>41684</v>
      </c>
      <c r="B108" s="4">
        <f>YEAR(SalesData[[#This Row],[Order Date]])</f>
        <v>2014</v>
      </c>
      <c r="C108" s="4">
        <f>MONTH(SalesData[[#This Row],[Order Date]])</f>
        <v>2</v>
      </c>
      <c r="D108" s="3" t="s">
        <v>197</v>
      </c>
      <c r="E108" s="3" t="s">
        <v>164</v>
      </c>
      <c r="F108" s="3" t="s">
        <v>39</v>
      </c>
      <c r="G108" s="3" t="s">
        <v>52</v>
      </c>
      <c r="H108" s="3" t="s">
        <v>198</v>
      </c>
      <c r="I108" s="6">
        <v>239.97</v>
      </c>
      <c r="J108" s="4">
        <v>3</v>
      </c>
      <c r="K108" s="6">
        <v>86.39</v>
      </c>
    </row>
    <row r="109" spans="1:11" x14ac:dyDescent="0.3">
      <c r="A109" s="7">
        <v>41684</v>
      </c>
      <c r="B109" s="4">
        <f>YEAR(SalesData[[#This Row],[Order Date]])</f>
        <v>2014</v>
      </c>
      <c r="C109" s="4">
        <f>MONTH(SalesData[[#This Row],[Order Date]])</f>
        <v>2</v>
      </c>
      <c r="D109" s="3" t="s">
        <v>197</v>
      </c>
      <c r="E109" s="3" t="s">
        <v>164</v>
      </c>
      <c r="F109" s="3" t="s">
        <v>11</v>
      </c>
      <c r="G109" s="3" t="s">
        <v>92</v>
      </c>
      <c r="H109" s="3" t="s">
        <v>199</v>
      </c>
      <c r="I109" s="6">
        <v>81.96</v>
      </c>
      <c r="J109" s="4">
        <v>2</v>
      </c>
      <c r="K109" s="6">
        <v>22.95</v>
      </c>
    </row>
    <row r="110" spans="1:11" x14ac:dyDescent="0.3">
      <c r="A110" s="7">
        <v>41684</v>
      </c>
      <c r="B110" s="4">
        <f>YEAR(SalesData[[#This Row],[Order Date]])</f>
        <v>2014</v>
      </c>
      <c r="C110" s="4">
        <f>MONTH(SalesData[[#This Row],[Order Date]])</f>
        <v>2</v>
      </c>
      <c r="D110" s="3" t="s">
        <v>197</v>
      </c>
      <c r="E110" s="3" t="s">
        <v>164</v>
      </c>
      <c r="F110" s="3" t="s">
        <v>11</v>
      </c>
      <c r="G110" s="3" t="s">
        <v>200</v>
      </c>
      <c r="H110" s="3" t="s">
        <v>201</v>
      </c>
      <c r="I110" s="6">
        <v>238.62</v>
      </c>
      <c r="J110" s="4">
        <v>2</v>
      </c>
      <c r="K110" s="6">
        <v>4.7699999999999996</v>
      </c>
    </row>
    <row r="111" spans="1:11" x14ac:dyDescent="0.3">
      <c r="A111" s="7">
        <v>41685</v>
      </c>
      <c r="B111" s="4">
        <f>YEAR(SalesData[[#This Row],[Order Date]])</f>
        <v>2014</v>
      </c>
      <c r="C111" s="4">
        <f>MONTH(SalesData[[#This Row],[Order Date]])</f>
        <v>2</v>
      </c>
      <c r="D111" s="3" t="s">
        <v>202</v>
      </c>
      <c r="E111" s="3" t="s">
        <v>164</v>
      </c>
      <c r="F111" s="3" t="s">
        <v>11</v>
      </c>
      <c r="G111" s="3" t="s">
        <v>20</v>
      </c>
      <c r="H111" s="3" t="s">
        <v>203</v>
      </c>
      <c r="I111" s="6">
        <v>21.36</v>
      </c>
      <c r="J111" s="4">
        <v>5</v>
      </c>
      <c r="K111" s="6">
        <v>7.21</v>
      </c>
    </row>
    <row r="112" spans="1:11" x14ac:dyDescent="0.3">
      <c r="A112" s="7">
        <v>41686</v>
      </c>
      <c r="B112" s="4">
        <f>YEAR(SalesData[[#This Row],[Order Date]])</f>
        <v>2014</v>
      </c>
      <c r="C112" s="4">
        <f>MONTH(SalesData[[#This Row],[Order Date]])</f>
        <v>2</v>
      </c>
      <c r="D112" s="3" t="s">
        <v>204</v>
      </c>
      <c r="E112" s="3" t="s">
        <v>10</v>
      </c>
      <c r="F112" s="3" t="s">
        <v>11</v>
      </c>
      <c r="G112" s="3" t="s">
        <v>20</v>
      </c>
      <c r="H112" s="3" t="s">
        <v>205</v>
      </c>
      <c r="I112" s="6">
        <v>1.08</v>
      </c>
      <c r="J112" s="4">
        <v>3</v>
      </c>
      <c r="K112" s="6">
        <v>-1.73</v>
      </c>
    </row>
    <row r="113" spans="1:11" x14ac:dyDescent="0.3">
      <c r="A113" s="7">
        <v>41686</v>
      </c>
      <c r="B113" s="4">
        <f>YEAR(SalesData[[#This Row],[Order Date]])</f>
        <v>2014</v>
      </c>
      <c r="C113" s="4">
        <f>MONTH(SalesData[[#This Row],[Order Date]])</f>
        <v>2</v>
      </c>
      <c r="D113" s="3" t="s">
        <v>204</v>
      </c>
      <c r="E113" s="3" t="s">
        <v>10</v>
      </c>
      <c r="F113" s="3" t="s">
        <v>11</v>
      </c>
      <c r="G113" s="3" t="s">
        <v>92</v>
      </c>
      <c r="H113" s="3" t="s">
        <v>206</v>
      </c>
      <c r="I113" s="6">
        <v>7.96</v>
      </c>
      <c r="J113" s="4">
        <v>2</v>
      </c>
      <c r="K113" s="6">
        <v>-13.93</v>
      </c>
    </row>
    <row r="114" spans="1:11" x14ac:dyDescent="0.3">
      <c r="A114" s="7">
        <v>41687</v>
      </c>
      <c r="B114" s="4">
        <f>YEAR(SalesData[[#This Row],[Order Date]])</f>
        <v>2014</v>
      </c>
      <c r="C114" s="4">
        <f>MONTH(SalesData[[#This Row],[Order Date]])</f>
        <v>2</v>
      </c>
      <c r="D114" s="3" t="s">
        <v>85</v>
      </c>
      <c r="E114" s="3" t="s">
        <v>15</v>
      </c>
      <c r="F114" s="3" t="s">
        <v>11</v>
      </c>
      <c r="G114" s="3" t="s">
        <v>24</v>
      </c>
      <c r="H114" s="3" t="s">
        <v>207</v>
      </c>
      <c r="I114" s="6">
        <v>54.21</v>
      </c>
      <c r="J114" s="4">
        <v>14</v>
      </c>
      <c r="K114" s="6">
        <v>8.81</v>
      </c>
    </row>
    <row r="115" spans="1:11" x14ac:dyDescent="0.3">
      <c r="A115" s="7">
        <v>41688</v>
      </c>
      <c r="B115" s="4">
        <f>YEAR(SalesData[[#This Row],[Order Date]])</f>
        <v>2014</v>
      </c>
      <c r="C115" s="4">
        <f>MONTH(SalesData[[#This Row],[Order Date]])</f>
        <v>2</v>
      </c>
      <c r="D115" s="3" t="s">
        <v>208</v>
      </c>
      <c r="E115" s="3" t="s">
        <v>10</v>
      </c>
      <c r="F115" s="3" t="s">
        <v>34</v>
      </c>
      <c r="G115" s="3" t="s">
        <v>47</v>
      </c>
      <c r="H115" s="3" t="s">
        <v>209</v>
      </c>
      <c r="I115" s="6">
        <v>25.16</v>
      </c>
      <c r="J115" s="4">
        <v>5</v>
      </c>
      <c r="K115" s="6">
        <v>-11.32</v>
      </c>
    </row>
    <row r="116" spans="1:11" x14ac:dyDescent="0.3">
      <c r="A116" s="7">
        <v>41688</v>
      </c>
      <c r="B116" s="4">
        <f>YEAR(SalesData[[#This Row],[Order Date]])</f>
        <v>2014</v>
      </c>
      <c r="C116" s="4">
        <f>MONTH(SalesData[[#This Row],[Order Date]])</f>
        <v>2</v>
      </c>
      <c r="D116" s="3" t="s">
        <v>210</v>
      </c>
      <c r="E116" s="3" t="s">
        <v>10</v>
      </c>
      <c r="F116" s="3" t="s">
        <v>11</v>
      </c>
      <c r="G116" s="3" t="s">
        <v>18</v>
      </c>
      <c r="H116" s="3" t="s">
        <v>211</v>
      </c>
      <c r="I116" s="6">
        <v>12.62</v>
      </c>
      <c r="J116" s="4">
        <v>2</v>
      </c>
      <c r="K116" s="6">
        <v>-2.52</v>
      </c>
    </row>
    <row r="117" spans="1:11" x14ac:dyDescent="0.3">
      <c r="A117" s="7">
        <v>41690</v>
      </c>
      <c r="B117" s="4">
        <f>YEAR(SalesData[[#This Row],[Order Date]])</f>
        <v>2014</v>
      </c>
      <c r="C117" s="4">
        <f>MONTH(SalesData[[#This Row],[Order Date]])</f>
        <v>2</v>
      </c>
      <c r="D117" s="3" t="s">
        <v>212</v>
      </c>
      <c r="E117" s="3" t="s">
        <v>129</v>
      </c>
      <c r="F117" s="3" t="s">
        <v>39</v>
      </c>
      <c r="G117" s="3" t="s">
        <v>52</v>
      </c>
      <c r="H117" s="3" t="s">
        <v>213</v>
      </c>
      <c r="I117" s="6">
        <v>62.31</v>
      </c>
      <c r="J117" s="4">
        <v>3</v>
      </c>
      <c r="K117" s="6">
        <v>22.43</v>
      </c>
    </row>
    <row r="118" spans="1:11" x14ac:dyDescent="0.3">
      <c r="A118" s="7">
        <v>41690</v>
      </c>
      <c r="B118" s="4">
        <f>YEAR(SalesData[[#This Row],[Order Date]])</f>
        <v>2014</v>
      </c>
      <c r="C118" s="4">
        <f>MONTH(SalesData[[#This Row],[Order Date]])</f>
        <v>2</v>
      </c>
      <c r="D118" s="3" t="s">
        <v>212</v>
      </c>
      <c r="E118" s="3" t="s">
        <v>129</v>
      </c>
      <c r="F118" s="3" t="s">
        <v>34</v>
      </c>
      <c r="G118" s="3" t="s">
        <v>47</v>
      </c>
      <c r="H118" s="3" t="s">
        <v>214</v>
      </c>
      <c r="I118" s="6">
        <v>20.32</v>
      </c>
      <c r="J118" s="4">
        <v>4</v>
      </c>
      <c r="K118" s="6">
        <v>6.91</v>
      </c>
    </row>
    <row r="119" spans="1:11" x14ac:dyDescent="0.3">
      <c r="A119" s="7">
        <v>41690</v>
      </c>
      <c r="B119" s="4">
        <f>YEAR(SalesData[[#This Row],[Order Date]])</f>
        <v>2014</v>
      </c>
      <c r="C119" s="4">
        <f>MONTH(SalesData[[#This Row],[Order Date]])</f>
        <v>2</v>
      </c>
      <c r="D119" s="3" t="s">
        <v>215</v>
      </c>
      <c r="E119" s="3" t="s">
        <v>27</v>
      </c>
      <c r="F119" s="3" t="s">
        <v>11</v>
      </c>
      <c r="G119" s="3" t="s">
        <v>12</v>
      </c>
      <c r="H119" s="3" t="s">
        <v>216</v>
      </c>
      <c r="I119" s="6">
        <v>12.96</v>
      </c>
      <c r="J119" s="4">
        <v>2</v>
      </c>
      <c r="K119" s="6">
        <v>6.22</v>
      </c>
    </row>
    <row r="120" spans="1:11" x14ac:dyDescent="0.3">
      <c r="A120" s="7">
        <v>41691</v>
      </c>
      <c r="B120" s="4">
        <f>YEAR(SalesData[[#This Row],[Order Date]])</f>
        <v>2014</v>
      </c>
      <c r="C120" s="4">
        <f>MONTH(SalesData[[#This Row],[Order Date]])</f>
        <v>2</v>
      </c>
      <c r="D120" s="3" t="s">
        <v>217</v>
      </c>
      <c r="E120" s="3" t="s">
        <v>15</v>
      </c>
      <c r="F120" s="3" t="s">
        <v>11</v>
      </c>
      <c r="G120" s="3" t="s">
        <v>20</v>
      </c>
      <c r="H120" s="3" t="s">
        <v>21</v>
      </c>
      <c r="I120" s="6">
        <v>8.85</v>
      </c>
      <c r="J120" s="4">
        <v>5</v>
      </c>
      <c r="K120" s="6">
        <v>-13.72</v>
      </c>
    </row>
    <row r="121" spans="1:11" x14ac:dyDescent="0.3">
      <c r="A121" s="7">
        <v>41692</v>
      </c>
      <c r="B121" s="4">
        <f>YEAR(SalesData[[#This Row],[Order Date]])</f>
        <v>2014</v>
      </c>
      <c r="C121" s="4">
        <f>MONTH(SalesData[[#This Row],[Order Date]])</f>
        <v>2</v>
      </c>
      <c r="D121" s="3" t="s">
        <v>218</v>
      </c>
      <c r="E121" s="3" t="s">
        <v>27</v>
      </c>
      <c r="F121" s="3" t="s">
        <v>11</v>
      </c>
      <c r="G121" s="3" t="s">
        <v>12</v>
      </c>
      <c r="H121" s="3" t="s">
        <v>219</v>
      </c>
      <c r="I121" s="6">
        <v>19.440000000000001</v>
      </c>
      <c r="J121" s="4">
        <v>3</v>
      </c>
      <c r="K121" s="6">
        <v>9.33</v>
      </c>
    </row>
    <row r="122" spans="1:11" x14ac:dyDescent="0.3">
      <c r="A122" s="7">
        <v>41693</v>
      </c>
      <c r="B122" s="4">
        <f>YEAR(SalesData[[#This Row],[Order Date]])</f>
        <v>2014</v>
      </c>
      <c r="C122" s="4">
        <f>MONTH(SalesData[[#This Row],[Order Date]])</f>
        <v>2</v>
      </c>
      <c r="D122" s="3" t="s">
        <v>220</v>
      </c>
      <c r="E122" s="3" t="s">
        <v>10</v>
      </c>
      <c r="F122" s="3" t="s">
        <v>11</v>
      </c>
      <c r="G122" s="3" t="s">
        <v>16</v>
      </c>
      <c r="H122" s="3" t="s">
        <v>221</v>
      </c>
      <c r="I122" s="6">
        <v>6.94</v>
      </c>
      <c r="J122" s="4">
        <v>3</v>
      </c>
      <c r="K122" s="6">
        <v>2.34</v>
      </c>
    </row>
    <row r="123" spans="1:11" x14ac:dyDescent="0.3">
      <c r="A123" s="7">
        <v>41693</v>
      </c>
      <c r="B123" s="4">
        <f>YEAR(SalesData[[#This Row],[Order Date]])</f>
        <v>2014</v>
      </c>
      <c r="C123" s="4">
        <f>MONTH(SalesData[[#This Row],[Order Date]])</f>
        <v>2</v>
      </c>
      <c r="D123" s="3" t="s">
        <v>220</v>
      </c>
      <c r="E123" s="3" t="s">
        <v>10</v>
      </c>
      <c r="F123" s="3" t="s">
        <v>11</v>
      </c>
      <c r="G123" s="3" t="s">
        <v>20</v>
      </c>
      <c r="H123" s="3" t="s">
        <v>222</v>
      </c>
      <c r="I123" s="6">
        <v>4.43</v>
      </c>
      <c r="J123" s="4">
        <v>3</v>
      </c>
      <c r="K123" s="6">
        <v>-6.86</v>
      </c>
    </row>
    <row r="124" spans="1:11" x14ac:dyDescent="0.3">
      <c r="A124" s="7">
        <v>41694</v>
      </c>
      <c r="B124" s="4">
        <f>YEAR(SalesData[[#This Row],[Order Date]])</f>
        <v>2014</v>
      </c>
      <c r="C124" s="4">
        <f>MONTH(SalesData[[#This Row],[Order Date]])</f>
        <v>2</v>
      </c>
      <c r="D124" s="3" t="s">
        <v>223</v>
      </c>
      <c r="E124" s="3" t="s">
        <v>91</v>
      </c>
      <c r="F124" s="3" t="s">
        <v>11</v>
      </c>
      <c r="G124" s="3" t="s">
        <v>12</v>
      </c>
      <c r="H124" s="3" t="s">
        <v>13</v>
      </c>
      <c r="I124" s="6">
        <v>32.9</v>
      </c>
      <c r="J124" s="4">
        <v>4</v>
      </c>
      <c r="K124" s="6">
        <v>11.1</v>
      </c>
    </row>
    <row r="125" spans="1:11" x14ac:dyDescent="0.3">
      <c r="A125" s="7">
        <v>41694</v>
      </c>
      <c r="B125" s="4">
        <f>YEAR(SalesData[[#This Row],[Order Date]])</f>
        <v>2014</v>
      </c>
      <c r="C125" s="4">
        <f>MONTH(SalesData[[#This Row],[Order Date]])</f>
        <v>2</v>
      </c>
      <c r="D125" s="3" t="s">
        <v>223</v>
      </c>
      <c r="E125" s="3" t="s">
        <v>91</v>
      </c>
      <c r="F125" s="3" t="s">
        <v>11</v>
      </c>
      <c r="G125" s="3" t="s">
        <v>12</v>
      </c>
      <c r="H125" s="3" t="s">
        <v>224</v>
      </c>
      <c r="I125" s="6">
        <v>22.78</v>
      </c>
      <c r="J125" s="4">
        <v>3</v>
      </c>
      <c r="K125" s="6">
        <v>7.69</v>
      </c>
    </row>
    <row r="126" spans="1:11" x14ac:dyDescent="0.3">
      <c r="A126" s="7">
        <v>41697</v>
      </c>
      <c r="B126" s="4">
        <f>YEAR(SalesData[[#This Row],[Order Date]])</f>
        <v>2014</v>
      </c>
      <c r="C126" s="4">
        <f>MONTH(SalesData[[#This Row],[Order Date]])</f>
        <v>2</v>
      </c>
      <c r="D126" s="3" t="s">
        <v>225</v>
      </c>
      <c r="E126" s="3" t="s">
        <v>78</v>
      </c>
      <c r="F126" s="3" t="s">
        <v>11</v>
      </c>
      <c r="G126" s="3" t="s">
        <v>24</v>
      </c>
      <c r="H126" s="3" t="s">
        <v>226</v>
      </c>
      <c r="I126" s="6">
        <v>19.46</v>
      </c>
      <c r="J126" s="4">
        <v>4</v>
      </c>
      <c r="K126" s="6">
        <v>3.4</v>
      </c>
    </row>
    <row r="127" spans="1:11" x14ac:dyDescent="0.3">
      <c r="A127" s="7">
        <v>41699</v>
      </c>
      <c r="B127" s="4">
        <f>YEAR(SalesData[[#This Row],[Order Date]])</f>
        <v>2014</v>
      </c>
      <c r="C127" s="4">
        <f>MONTH(SalesData[[#This Row],[Order Date]])</f>
        <v>3</v>
      </c>
      <c r="D127" s="3" t="s">
        <v>227</v>
      </c>
      <c r="E127" s="3" t="s">
        <v>164</v>
      </c>
      <c r="F127" s="3" t="s">
        <v>34</v>
      </c>
      <c r="G127" s="3" t="s">
        <v>35</v>
      </c>
      <c r="H127" s="3" t="s">
        <v>36</v>
      </c>
      <c r="I127" s="6">
        <v>457.57</v>
      </c>
      <c r="J127" s="4">
        <v>2</v>
      </c>
      <c r="K127" s="6">
        <v>51.48</v>
      </c>
    </row>
    <row r="128" spans="1:11" x14ac:dyDescent="0.3">
      <c r="A128" s="7">
        <v>41699</v>
      </c>
      <c r="B128" s="4">
        <f>YEAR(SalesData[[#This Row],[Order Date]])</f>
        <v>2014</v>
      </c>
      <c r="C128" s="4">
        <f>MONTH(SalesData[[#This Row],[Order Date]])</f>
        <v>3</v>
      </c>
      <c r="D128" s="3" t="s">
        <v>228</v>
      </c>
      <c r="E128" s="3" t="s">
        <v>149</v>
      </c>
      <c r="F128" s="3" t="s">
        <v>39</v>
      </c>
      <c r="G128" s="3" t="s">
        <v>40</v>
      </c>
      <c r="H128" s="3" t="s">
        <v>229</v>
      </c>
      <c r="I128" s="6">
        <v>5.94</v>
      </c>
      <c r="J128" s="4">
        <v>3</v>
      </c>
      <c r="K128" s="6">
        <v>1.6</v>
      </c>
    </row>
    <row r="129" spans="1:11" x14ac:dyDescent="0.3">
      <c r="A129" s="7">
        <v>41699</v>
      </c>
      <c r="B129" s="4">
        <f>YEAR(SalesData[[#This Row],[Order Date]])</f>
        <v>2014</v>
      </c>
      <c r="C129" s="4">
        <f>MONTH(SalesData[[#This Row],[Order Date]])</f>
        <v>3</v>
      </c>
      <c r="D129" s="3" t="s">
        <v>230</v>
      </c>
      <c r="E129" s="3" t="s">
        <v>15</v>
      </c>
      <c r="F129" s="3" t="s">
        <v>34</v>
      </c>
      <c r="G129" s="3" t="s">
        <v>35</v>
      </c>
      <c r="H129" s="3" t="s">
        <v>231</v>
      </c>
      <c r="I129" s="6">
        <v>634.12</v>
      </c>
      <c r="J129" s="4">
        <v>6</v>
      </c>
      <c r="K129" s="6">
        <v>-172.12</v>
      </c>
    </row>
    <row r="130" spans="1:11" x14ac:dyDescent="0.3">
      <c r="A130" s="7">
        <v>41699</v>
      </c>
      <c r="B130" s="4">
        <f>YEAR(SalesData[[#This Row],[Order Date]])</f>
        <v>2014</v>
      </c>
      <c r="C130" s="4">
        <f>MONTH(SalesData[[#This Row],[Order Date]])</f>
        <v>3</v>
      </c>
      <c r="D130" s="3" t="s">
        <v>230</v>
      </c>
      <c r="E130" s="3" t="s">
        <v>15</v>
      </c>
      <c r="F130" s="3" t="s">
        <v>11</v>
      </c>
      <c r="G130" s="3" t="s">
        <v>12</v>
      </c>
      <c r="H130" s="3" t="s">
        <v>232</v>
      </c>
      <c r="I130" s="6">
        <v>17.47</v>
      </c>
      <c r="J130" s="4">
        <v>3</v>
      </c>
      <c r="K130" s="6">
        <v>5.68</v>
      </c>
    </row>
    <row r="131" spans="1:11" x14ac:dyDescent="0.3">
      <c r="A131" s="7">
        <v>41699</v>
      </c>
      <c r="B131" s="4">
        <f>YEAR(SalesData[[#This Row],[Order Date]])</f>
        <v>2014</v>
      </c>
      <c r="C131" s="4">
        <f>MONTH(SalesData[[#This Row],[Order Date]])</f>
        <v>3</v>
      </c>
      <c r="D131" s="3" t="s">
        <v>233</v>
      </c>
      <c r="E131" s="3" t="s">
        <v>10</v>
      </c>
      <c r="F131" s="3" t="s">
        <v>11</v>
      </c>
      <c r="G131" s="3" t="s">
        <v>43</v>
      </c>
      <c r="H131" s="3" t="s">
        <v>234</v>
      </c>
      <c r="I131" s="6">
        <v>18.84</v>
      </c>
      <c r="J131" s="4">
        <v>5</v>
      </c>
      <c r="K131" s="6">
        <v>-3.53</v>
      </c>
    </row>
    <row r="132" spans="1:11" x14ac:dyDescent="0.3">
      <c r="A132" s="7">
        <v>41699</v>
      </c>
      <c r="B132" s="4">
        <f>YEAR(SalesData[[#This Row],[Order Date]])</f>
        <v>2014</v>
      </c>
      <c r="C132" s="4">
        <f>MONTH(SalesData[[#This Row],[Order Date]])</f>
        <v>3</v>
      </c>
      <c r="D132" s="3" t="s">
        <v>233</v>
      </c>
      <c r="E132" s="3" t="s">
        <v>10</v>
      </c>
      <c r="F132" s="3" t="s">
        <v>34</v>
      </c>
      <c r="G132" s="3" t="s">
        <v>35</v>
      </c>
      <c r="H132" s="3" t="s">
        <v>235</v>
      </c>
      <c r="I132" s="6">
        <v>362.25</v>
      </c>
      <c r="J132" s="4">
        <v>6</v>
      </c>
      <c r="K132" s="6">
        <v>0</v>
      </c>
    </row>
    <row r="133" spans="1:11" x14ac:dyDescent="0.3">
      <c r="A133" s="7">
        <v>41699</v>
      </c>
      <c r="B133" s="4">
        <f>YEAR(SalesData[[#This Row],[Order Date]])</f>
        <v>2014</v>
      </c>
      <c r="C133" s="4">
        <f>MONTH(SalesData[[#This Row],[Order Date]])</f>
        <v>3</v>
      </c>
      <c r="D133" s="3" t="s">
        <v>233</v>
      </c>
      <c r="E133" s="3" t="s">
        <v>10</v>
      </c>
      <c r="F133" s="3" t="s">
        <v>34</v>
      </c>
      <c r="G133" s="3" t="s">
        <v>47</v>
      </c>
      <c r="H133" s="3" t="s">
        <v>86</v>
      </c>
      <c r="I133" s="6">
        <v>63.55</v>
      </c>
      <c r="J133" s="4">
        <v>6</v>
      </c>
      <c r="K133" s="6">
        <v>-34.950000000000003</v>
      </c>
    </row>
    <row r="134" spans="1:11" x14ac:dyDescent="0.3">
      <c r="A134" s="7">
        <v>41699</v>
      </c>
      <c r="B134" s="4">
        <f>YEAR(SalesData[[#This Row],[Order Date]])</f>
        <v>2014</v>
      </c>
      <c r="C134" s="4">
        <f>MONTH(SalesData[[#This Row],[Order Date]])</f>
        <v>3</v>
      </c>
      <c r="D134" s="3" t="s">
        <v>233</v>
      </c>
      <c r="E134" s="3" t="s">
        <v>10</v>
      </c>
      <c r="F134" s="3" t="s">
        <v>11</v>
      </c>
      <c r="G134" s="3" t="s">
        <v>18</v>
      </c>
      <c r="H134" s="3" t="s">
        <v>236</v>
      </c>
      <c r="I134" s="6">
        <v>129.55000000000001</v>
      </c>
      <c r="J134" s="4">
        <v>3</v>
      </c>
      <c r="K134" s="6">
        <v>-22.67</v>
      </c>
    </row>
    <row r="135" spans="1:11" x14ac:dyDescent="0.3">
      <c r="A135" s="7">
        <v>41699</v>
      </c>
      <c r="B135" s="4">
        <f>YEAR(SalesData[[#This Row],[Order Date]])</f>
        <v>2014</v>
      </c>
      <c r="C135" s="4">
        <f>MONTH(SalesData[[#This Row],[Order Date]])</f>
        <v>3</v>
      </c>
      <c r="D135" s="3" t="s">
        <v>237</v>
      </c>
      <c r="E135" s="3" t="s">
        <v>10</v>
      </c>
      <c r="F135" s="3" t="s">
        <v>11</v>
      </c>
      <c r="G135" s="3" t="s">
        <v>18</v>
      </c>
      <c r="H135" s="3" t="s">
        <v>144</v>
      </c>
      <c r="I135" s="6">
        <v>137.35</v>
      </c>
      <c r="J135" s="4">
        <v>3</v>
      </c>
      <c r="K135" s="6">
        <v>8.58</v>
      </c>
    </row>
    <row r="136" spans="1:11" x14ac:dyDescent="0.3">
      <c r="A136" s="7">
        <v>41699</v>
      </c>
      <c r="B136" s="4">
        <f>YEAR(SalesData[[#This Row],[Order Date]])</f>
        <v>2014</v>
      </c>
      <c r="C136" s="4">
        <f>MONTH(SalesData[[#This Row],[Order Date]])</f>
        <v>3</v>
      </c>
      <c r="D136" s="3" t="s">
        <v>237</v>
      </c>
      <c r="E136" s="3" t="s">
        <v>10</v>
      </c>
      <c r="F136" s="3" t="s">
        <v>34</v>
      </c>
      <c r="G136" s="3" t="s">
        <v>145</v>
      </c>
      <c r="H136" s="3" t="s">
        <v>238</v>
      </c>
      <c r="I136" s="6">
        <v>376.51</v>
      </c>
      <c r="J136" s="4">
        <v>3</v>
      </c>
      <c r="K136" s="6">
        <v>-43.03</v>
      </c>
    </row>
    <row r="137" spans="1:11" x14ac:dyDescent="0.3">
      <c r="A137" s="7">
        <v>41700</v>
      </c>
      <c r="B137" s="4">
        <f>YEAR(SalesData[[#This Row],[Order Date]])</f>
        <v>2014</v>
      </c>
      <c r="C137" s="4">
        <f>MONTH(SalesData[[#This Row],[Order Date]])</f>
        <v>3</v>
      </c>
      <c r="D137" s="3" t="s">
        <v>239</v>
      </c>
      <c r="E137" s="3" t="s">
        <v>149</v>
      </c>
      <c r="F137" s="3" t="s">
        <v>11</v>
      </c>
      <c r="G137" s="3" t="s">
        <v>63</v>
      </c>
      <c r="H137" s="3" t="s">
        <v>64</v>
      </c>
      <c r="I137" s="6">
        <v>11.36</v>
      </c>
      <c r="J137" s="4">
        <v>2</v>
      </c>
      <c r="K137" s="6">
        <v>5.34</v>
      </c>
    </row>
    <row r="138" spans="1:11" x14ac:dyDescent="0.3">
      <c r="A138" s="7">
        <v>41700</v>
      </c>
      <c r="B138" s="4">
        <f>YEAR(SalesData[[#This Row],[Order Date]])</f>
        <v>2014</v>
      </c>
      <c r="C138" s="4">
        <f>MONTH(SalesData[[#This Row],[Order Date]])</f>
        <v>3</v>
      </c>
      <c r="D138" s="3" t="s">
        <v>239</v>
      </c>
      <c r="E138" s="3" t="s">
        <v>149</v>
      </c>
      <c r="F138" s="3" t="s">
        <v>11</v>
      </c>
      <c r="G138" s="3" t="s">
        <v>12</v>
      </c>
      <c r="H138" s="3" t="s">
        <v>240</v>
      </c>
      <c r="I138" s="6">
        <v>36.4</v>
      </c>
      <c r="J138" s="4">
        <v>5</v>
      </c>
      <c r="K138" s="6">
        <v>17.47</v>
      </c>
    </row>
    <row r="139" spans="1:11" x14ac:dyDescent="0.3">
      <c r="A139" s="7">
        <v>41700</v>
      </c>
      <c r="B139" s="4">
        <f>YEAR(SalesData[[#This Row],[Order Date]])</f>
        <v>2014</v>
      </c>
      <c r="C139" s="4">
        <f>MONTH(SalesData[[#This Row],[Order Date]])</f>
        <v>3</v>
      </c>
      <c r="D139" s="3" t="s">
        <v>241</v>
      </c>
      <c r="E139" s="3" t="s">
        <v>23</v>
      </c>
      <c r="F139" s="3" t="s">
        <v>11</v>
      </c>
      <c r="G139" s="3" t="s">
        <v>12</v>
      </c>
      <c r="H139" s="3" t="s">
        <v>242</v>
      </c>
      <c r="I139" s="6">
        <v>3.42</v>
      </c>
      <c r="J139" s="4">
        <v>1</v>
      </c>
      <c r="K139" s="6">
        <v>1.07</v>
      </c>
    </row>
    <row r="140" spans="1:11" x14ac:dyDescent="0.3">
      <c r="A140" s="7">
        <v>41700</v>
      </c>
      <c r="B140" s="4">
        <f>YEAR(SalesData[[#This Row],[Order Date]])</f>
        <v>2014</v>
      </c>
      <c r="C140" s="4">
        <f>MONTH(SalesData[[#This Row],[Order Date]])</f>
        <v>3</v>
      </c>
      <c r="D140" s="3" t="s">
        <v>241</v>
      </c>
      <c r="E140" s="3" t="s">
        <v>23</v>
      </c>
      <c r="F140" s="3" t="s">
        <v>39</v>
      </c>
      <c r="G140" s="3" t="s">
        <v>52</v>
      </c>
      <c r="H140" s="3" t="s">
        <v>243</v>
      </c>
      <c r="I140" s="6">
        <v>151.19999999999999</v>
      </c>
      <c r="J140" s="4">
        <v>3</v>
      </c>
      <c r="K140" s="6">
        <v>32.130000000000003</v>
      </c>
    </row>
    <row r="141" spans="1:11" x14ac:dyDescent="0.3">
      <c r="A141" s="7">
        <v>41701</v>
      </c>
      <c r="B141" s="4">
        <f>YEAR(SalesData[[#This Row],[Order Date]])</f>
        <v>2014</v>
      </c>
      <c r="C141" s="4">
        <f>MONTH(SalesData[[#This Row],[Order Date]])</f>
        <v>3</v>
      </c>
      <c r="D141" s="3" t="s">
        <v>244</v>
      </c>
      <c r="E141" s="3" t="s">
        <v>245</v>
      </c>
      <c r="F141" s="3" t="s">
        <v>11</v>
      </c>
      <c r="G141" s="3" t="s">
        <v>24</v>
      </c>
      <c r="H141" s="3" t="s">
        <v>226</v>
      </c>
      <c r="I141" s="6">
        <v>19.46</v>
      </c>
      <c r="J141" s="4">
        <v>4</v>
      </c>
      <c r="K141" s="6">
        <v>3.4</v>
      </c>
    </row>
    <row r="142" spans="1:11" x14ac:dyDescent="0.3">
      <c r="A142" s="7">
        <v>41701</v>
      </c>
      <c r="B142" s="4">
        <f>YEAR(SalesData[[#This Row],[Order Date]])</f>
        <v>2014</v>
      </c>
      <c r="C142" s="4">
        <f>MONTH(SalesData[[#This Row],[Order Date]])</f>
        <v>3</v>
      </c>
      <c r="D142" s="3" t="s">
        <v>246</v>
      </c>
      <c r="E142" s="3" t="s">
        <v>149</v>
      </c>
      <c r="F142" s="3" t="s">
        <v>39</v>
      </c>
      <c r="G142" s="3" t="s">
        <v>40</v>
      </c>
      <c r="H142" s="3" t="s">
        <v>247</v>
      </c>
      <c r="I142" s="6">
        <v>9.99</v>
      </c>
      <c r="J142" s="4">
        <v>1</v>
      </c>
      <c r="K142" s="6">
        <v>4.5999999999999996</v>
      </c>
    </row>
    <row r="143" spans="1:11" x14ac:dyDescent="0.3">
      <c r="A143" s="7">
        <v>41701</v>
      </c>
      <c r="B143" s="4">
        <f>YEAR(SalesData[[#This Row],[Order Date]])</f>
        <v>2014</v>
      </c>
      <c r="C143" s="4">
        <f>MONTH(SalesData[[#This Row],[Order Date]])</f>
        <v>3</v>
      </c>
      <c r="D143" s="3" t="s">
        <v>246</v>
      </c>
      <c r="E143" s="3" t="s">
        <v>149</v>
      </c>
      <c r="F143" s="3" t="s">
        <v>11</v>
      </c>
      <c r="G143" s="3" t="s">
        <v>20</v>
      </c>
      <c r="H143" s="3" t="s">
        <v>165</v>
      </c>
      <c r="I143" s="6">
        <v>125.76</v>
      </c>
      <c r="J143" s="4">
        <v>3</v>
      </c>
      <c r="K143" s="6">
        <v>40.869999999999997</v>
      </c>
    </row>
    <row r="144" spans="1:11" x14ac:dyDescent="0.3">
      <c r="A144" s="7">
        <v>41701</v>
      </c>
      <c r="B144" s="4">
        <f>YEAR(SalesData[[#This Row],[Order Date]])</f>
        <v>2014</v>
      </c>
      <c r="C144" s="4">
        <f>MONTH(SalesData[[#This Row],[Order Date]])</f>
        <v>3</v>
      </c>
      <c r="D144" s="3" t="s">
        <v>246</v>
      </c>
      <c r="E144" s="3" t="s">
        <v>149</v>
      </c>
      <c r="F144" s="3" t="s">
        <v>11</v>
      </c>
      <c r="G144" s="3" t="s">
        <v>20</v>
      </c>
      <c r="H144" s="3" t="s">
        <v>248</v>
      </c>
      <c r="I144" s="6">
        <v>25.32</v>
      </c>
      <c r="J144" s="4">
        <v>5</v>
      </c>
      <c r="K144" s="6">
        <v>9.18</v>
      </c>
    </row>
    <row r="145" spans="1:11" x14ac:dyDescent="0.3">
      <c r="A145" s="7">
        <v>41701</v>
      </c>
      <c r="B145" s="4">
        <f>YEAR(SalesData[[#This Row],[Order Date]])</f>
        <v>2014</v>
      </c>
      <c r="C145" s="4">
        <f>MONTH(SalesData[[#This Row],[Order Date]])</f>
        <v>3</v>
      </c>
      <c r="D145" s="3" t="s">
        <v>249</v>
      </c>
      <c r="E145" s="3" t="s">
        <v>78</v>
      </c>
      <c r="F145" s="3" t="s">
        <v>11</v>
      </c>
      <c r="G145" s="3" t="s">
        <v>16</v>
      </c>
      <c r="H145" s="3" t="s">
        <v>250</v>
      </c>
      <c r="I145" s="6">
        <v>15.12</v>
      </c>
      <c r="J145" s="4">
        <v>3</v>
      </c>
      <c r="K145" s="6">
        <v>4.91</v>
      </c>
    </row>
    <row r="146" spans="1:11" x14ac:dyDescent="0.3">
      <c r="A146" s="7">
        <v>41701</v>
      </c>
      <c r="B146" s="4">
        <f>YEAR(SalesData[[#This Row],[Order Date]])</f>
        <v>2014</v>
      </c>
      <c r="C146" s="4">
        <f>MONTH(SalesData[[#This Row],[Order Date]])</f>
        <v>3</v>
      </c>
      <c r="D146" s="3" t="s">
        <v>249</v>
      </c>
      <c r="E146" s="3" t="s">
        <v>78</v>
      </c>
      <c r="F146" s="3" t="s">
        <v>34</v>
      </c>
      <c r="G146" s="3" t="s">
        <v>74</v>
      </c>
      <c r="H146" s="3" t="s">
        <v>99</v>
      </c>
      <c r="I146" s="6">
        <v>302.45</v>
      </c>
      <c r="J146" s="4">
        <v>5</v>
      </c>
      <c r="K146" s="6">
        <v>-199.62</v>
      </c>
    </row>
    <row r="147" spans="1:11" x14ac:dyDescent="0.3">
      <c r="A147" s="7">
        <v>41701</v>
      </c>
      <c r="B147" s="4">
        <f>YEAR(SalesData[[#This Row],[Order Date]])</f>
        <v>2014</v>
      </c>
      <c r="C147" s="4">
        <f>MONTH(SalesData[[#This Row],[Order Date]])</f>
        <v>3</v>
      </c>
      <c r="D147" s="3" t="s">
        <v>249</v>
      </c>
      <c r="E147" s="3" t="s">
        <v>78</v>
      </c>
      <c r="F147" s="3" t="s">
        <v>11</v>
      </c>
      <c r="G147" s="3" t="s">
        <v>18</v>
      </c>
      <c r="H147" s="3" t="s">
        <v>251</v>
      </c>
      <c r="I147" s="6">
        <v>44.67</v>
      </c>
      <c r="J147" s="4">
        <v>8</v>
      </c>
      <c r="K147" s="6">
        <v>-10.050000000000001</v>
      </c>
    </row>
    <row r="148" spans="1:11" x14ac:dyDescent="0.3">
      <c r="A148" s="7">
        <v>41701</v>
      </c>
      <c r="B148" s="4">
        <f>YEAR(SalesData[[#This Row],[Order Date]])</f>
        <v>2014</v>
      </c>
      <c r="C148" s="4">
        <f>MONTH(SalesData[[#This Row],[Order Date]])</f>
        <v>3</v>
      </c>
      <c r="D148" s="3" t="s">
        <v>252</v>
      </c>
      <c r="E148" s="3" t="s">
        <v>10</v>
      </c>
      <c r="F148" s="3" t="s">
        <v>11</v>
      </c>
      <c r="G148" s="3" t="s">
        <v>92</v>
      </c>
      <c r="H148" s="3" t="s">
        <v>253</v>
      </c>
      <c r="I148" s="6">
        <v>176.77</v>
      </c>
      <c r="J148" s="4">
        <v>3</v>
      </c>
      <c r="K148" s="6">
        <v>-459.61</v>
      </c>
    </row>
    <row r="149" spans="1:11" x14ac:dyDescent="0.3">
      <c r="A149" s="7">
        <v>41701</v>
      </c>
      <c r="B149" s="4">
        <f>YEAR(SalesData[[#This Row],[Order Date]])</f>
        <v>2014</v>
      </c>
      <c r="C149" s="4">
        <f>MONTH(SalesData[[#This Row],[Order Date]])</f>
        <v>3</v>
      </c>
      <c r="D149" s="3" t="s">
        <v>254</v>
      </c>
      <c r="E149" s="3" t="s">
        <v>27</v>
      </c>
      <c r="F149" s="3" t="s">
        <v>34</v>
      </c>
      <c r="G149" s="3" t="s">
        <v>145</v>
      </c>
      <c r="H149" s="3" t="s">
        <v>255</v>
      </c>
      <c r="I149" s="6">
        <v>626.35</v>
      </c>
      <c r="J149" s="4">
        <v>3</v>
      </c>
      <c r="K149" s="6">
        <v>-23.49</v>
      </c>
    </row>
    <row r="150" spans="1:11" x14ac:dyDescent="0.3">
      <c r="A150" s="7">
        <v>41702</v>
      </c>
      <c r="B150" s="4">
        <f>YEAR(SalesData[[#This Row],[Order Date]])</f>
        <v>2014</v>
      </c>
      <c r="C150" s="4">
        <f>MONTH(SalesData[[#This Row],[Order Date]])</f>
        <v>3</v>
      </c>
      <c r="D150" s="3" t="s">
        <v>256</v>
      </c>
      <c r="E150" s="3" t="s">
        <v>70</v>
      </c>
      <c r="F150" s="3" t="s">
        <v>11</v>
      </c>
      <c r="G150" s="3" t="s">
        <v>18</v>
      </c>
      <c r="H150" s="3" t="s">
        <v>257</v>
      </c>
      <c r="I150" s="6">
        <v>354.9</v>
      </c>
      <c r="J150" s="4">
        <v>5</v>
      </c>
      <c r="K150" s="6">
        <v>17.75</v>
      </c>
    </row>
    <row r="151" spans="1:11" x14ac:dyDescent="0.3">
      <c r="A151" s="7">
        <v>41702</v>
      </c>
      <c r="B151" s="4">
        <f>YEAR(SalesData[[#This Row],[Order Date]])</f>
        <v>2014</v>
      </c>
      <c r="C151" s="4">
        <f>MONTH(SalesData[[#This Row],[Order Date]])</f>
        <v>3</v>
      </c>
      <c r="D151" s="3" t="s">
        <v>193</v>
      </c>
      <c r="E151" s="3" t="s">
        <v>123</v>
      </c>
      <c r="F151" s="3" t="s">
        <v>11</v>
      </c>
      <c r="G151" s="3" t="s">
        <v>24</v>
      </c>
      <c r="H151" s="3" t="s">
        <v>258</v>
      </c>
      <c r="I151" s="6">
        <v>15.55</v>
      </c>
      <c r="J151" s="4">
        <v>3</v>
      </c>
      <c r="K151" s="6">
        <v>2.33</v>
      </c>
    </row>
    <row r="152" spans="1:11" x14ac:dyDescent="0.3">
      <c r="A152" s="7">
        <v>41703</v>
      </c>
      <c r="B152" s="4">
        <f>YEAR(SalesData[[#This Row],[Order Date]])</f>
        <v>2014</v>
      </c>
      <c r="C152" s="4">
        <f>MONTH(SalesData[[#This Row],[Order Date]])</f>
        <v>3</v>
      </c>
      <c r="D152" s="3" t="s">
        <v>259</v>
      </c>
      <c r="E152" s="3" t="s">
        <v>149</v>
      </c>
      <c r="F152" s="3" t="s">
        <v>11</v>
      </c>
      <c r="G152" s="3" t="s">
        <v>24</v>
      </c>
      <c r="H152" s="3" t="s">
        <v>260</v>
      </c>
      <c r="I152" s="6">
        <v>59.52</v>
      </c>
      <c r="J152" s="4">
        <v>3</v>
      </c>
      <c r="K152" s="6">
        <v>15.48</v>
      </c>
    </row>
    <row r="153" spans="1:11" x14ac:dyDescent="0.3">
      <c r="A153" s="7">
        <v>41703</v>
      </c>
      <c r="B153" s="4">
        <f>YEAR(SalesData[[#This Row],[Order Date]])</f>
        <v>2014</v>
      </c>
      <c r="C153" s="4">
        <f>MONTH(SalesData[[#This Row],[Order Date]])</f>
        <v>3</v>
      </c>
      <c r="D153" s="3" t="s">
        <v>259</v>
      </c>
      <c r="E153" s="3" t="s">
        <v>149</v>
      </c>
      <c r="F153" s="3" t="s">
        <v>39</v>
      </c>
      <c r="G153" s="3" t="s">
        <v>52</v>
      </c>
      <c r="H153" s="3" t="s">
        <v>261</v>
      </c>
      <c r="I153" s="6">
        <v>479.97</v>
      </c>
      <c r="J153" s="4">
        <v>3</v>
      </c>
      <c r="K153" s="6">
        <v>177.59</v>
      </c>
    </row>
    <row r="154" spans="1:11" x14ac:dyDescent="0.3">
      <c r="A154" s="7">
        <v>41703</v>
      </c>
      <c r="B154" s="4">
        <f>YEAR(SalesData[[#This Row],[Order Date]])</f>
        <v>2014</v>
      </c>
      <c r="C154" s="4">
        <f>MONTH(SalesData[[#This Row],[Order Date]])</f>
        <v>3</v>
      </c>
      <c r="D154" s="3" t="s">
        <v>259</v>
      </c>
      <c r="E154" s="3" t="s">
        <v>149</v>
      </c>
      <c r="F154" s="3" t="s">
        <v>11</v>
      </c>
      <c r="G154" s="3" t="s">
        <v>200</v>
      </c>
      <c r="H154" s="3" t="s">
        <v>262</v>
      </c>
      <c r="I154" s="6">
        <v>18.62</v>
      </c>
      <c r="J154" s="4">
        <v>2</v>
      </c>
      <c r="K154" s="6">
        <v>5.4</v>
      </c>
    </row>
    <row r="155" spans="1:11" x14ac:dyDescent="0.3">
      <c r="A155" s="7">
        <v>41703</v>
      </c>
      <c r="B155" s="4">
        <f>YEAR(SalesData[[#This Row],[Order Date]])</f>
        <v>2014</v>
      </c>
      <c r="C155" s="4">
        <f>MONTH(SalesData[[#This Row],[Order Date]])</f>
        <v>3</v>
      </c>
      <c r="D155" s="3" t="s">
        <v>259</v>
      </c>
      <c r="E155" s="3" t="s">
        <v>149</v>
      </c>
      <c r="F155" s="3" t="s">
        <v>11</v>
      </c>
      <c r="G155" s="3" t="s">
        <v>20</v>
      </c>
      <c r="H155" s="3" t="s">
        <v>263</v>
      </c>
      <c r="I155" s="6">
        <v>49.63</v>
      </c>
      <c r="J155" s="4">
        <v>6</v>
      </c>
      <c r="K155" s="6">
        <v>16.75</v>
      </c>
    </row>
    <row r="156" spans="1:11" x14ac:dyDescent="0.3">
      <c r="A156" s="7">
        <v>41703</v>
      </c>
      <c r="B156" s="4">
        <f>YEAR(SalesData[[#This Row],[Order Date]])</f>
        <v>2014</v>
      </c>
      <c r="C156" s="4">
        <f>MONTH(SalesData[[#This Row],[Order Date]])</f>
        <v>3</v>
      </c>
      <c r="D156" s="3" t="s">
        <v>259</v>
      </c>
      <c r="E156" s="3" t="s">
        <v>149</v>
      </c>
      <c r="F156" s="3" t="s">
        <v>11</v>
      </c>
      <c r="G156" s="3" t="s">
        <v>12</v>
      </c>
      <c r="H156" s="3" t="s">
        <v>264</v>
      </c>
      <c r="I156" s="6">
        <v>97.82</v>
      </c>
      <c r="J156" s="4">
        <v>2</v>
      </c>
      <c r="K156" s="6">
        <v>45.98</v>
      </c>
    </row>
    <row r="157" spans="1:11" x14ac:dyDescent="0.3">
      <c r="A157" s="7">
        <v>41705</v>
      </c>
      <c r="B157" s="4">
        <f>YEAR(SalesData[[#This Row],[Order Date]])</f>
        <v>2014</v>
      </c>
      <c r="C157" s="4">
        <f>MONTH(SalesData[[#This Row],[Order Date]])</f>
        <v>3</v>
      </c>
      <c r="D157" s="3" t="s">
        <v>210</v>
      </c>
      <c r="E157" s="3" t="s">
        <v>164</v>
      </c>
      <c r="F157" s="3" t="s">
        <v>34</v>
      </c>
      <c r="G157" s="3" t="s">
        <v>35</v>
      </c>
      <c r="H157" s="3" t="s">
        <v>265</v>
      </c>
      <c r="I157" s="6">
        <v>48.71</v>
      </c>
      <c r="J157" s="4">
        <v>1</v>
      </c>
      <c r="K157" s="6">
        <v>5.48</v>
      </c>
    </row>
    <row r="158" spans="1:11" x14ac:dyDescent="0.3">
      <c r="A158" s="7">
        <v>41705</v>
      </c>
      <c r="B158" s="4">
        <f>YEAR(SalesData[[#This Row],[Order Date]])</f>
        <v>2014</v>
      </c>
      <c r="C158" s="4">
        <f>MONTH(SalesData[[#This Row],[Order Date]])</f>
        <v>3</v>
      </c>
      <c r="D158" s="3" t="s">
        <v>210</v>
      </c>
      <c r="E158" s="3" t="s">
        <v>164</v>
      </c>
      <c r="F158" s="3" t="s">
        <v>11</v>
      </c>
      <c r="G158" s="3" t="s">
        <v>24</v>
      </c>
      <c r="H158" s="3" t="s">
        <v>266</v>
      </c>
      <c r="I158" s="6">
        <v>17.940000000000001</v>
      </c>
      <c r="J158" s="4">
        <v>3</v>
      </c>
      <c r="K158" s="6">
        <v>4.66</v>
      </c>
    </row>
    <row r="159" spans="1:11" x14ac:dyDescent="0.3">
      <c r="A159" s="7">
        <v>41705</v>
      </c>
      <c r="B159" s="4">
        <f>YEAR(SalesData[[#This Row],[Order Date]])</f>
        <v>2014</v>
      </c>
      <c r="C159" s="4">
        <f>MONTH(SalesData[[#This Row],[Order Date]])</f>
        <v>3</v>
      </c>
      <c r="D159" s="3" t="s">
        <v>210</v>
      </c>
      <c r="E159" s="3" t="s">
        <v>164</v>
      </c>
      <c r="F159" s="3" t="s">
        <v>11</v>
      </c>
      <c r="G159" s="3" t="s">
        <v>18</v>
      </c>
      <c r="H159" s="3" t="s">
        <v>267</v>
      </c>
      <c r="I159" s="6">
        <v>242.94</v>
      </c>
      <c r="J159" s="4">
        <v>3</v>
      </c>
      <c r="K159" s="6">
        <v>4.8600000000000003</v>
      </c>
    </row>
    <row r="160" spans="1:11" x14ac:dyDescent="0.3">
      <c r="A160" s="7">
        <v>41705</v>
      </c>
      <c r="B160" s="4">
        <f>YEAR(SalesData[[#This Row],[Order Date]])</f>
        <v>2014</v>
      </c>
      <c r="C160" s="4">
        <f>MONTH(SalesData[[#This Row],[Order Date]])</f>
        <v>3</v>
      </c>
      <c r="D160" s="3" t="s">
        <v>268</v>
      </c>
      <c r="E160" s="3" t="s">
        <v>164</v>
      </c>
      <c r="F160" s="3" t="s">
        <v>11</v>
      </c>
      <c r="G160" s="3" t="s">
        <v>20</v>
      </c>
      <c r="H160" s="3" t="s">
        <v>269</v>
      </c>
      <c r="I160" s="6">
        <v>107.65</v>
      </c>
      <c r="J160" s="4">
        <v>2</v>
      </c>
      <c r="K160" s="6">
        <v>33.64</v>
      </c>
    </row>
    <row r="161" spans="1:11" x14ac:dyDescent="0.3">
      <c r="A161" s="7">
        <v>41705</v>
      </c>
      <c r="B161" s="4">
        <f>YEAR(SalesData[[#This Row],[Order Date]])</f>
        <v>2014</v>
      </c>
      <c r="C161" s="4">
        <f>MONTH(SalesData[[#This Row],[Order Date]])</f>
        <v>3</v>
      </c>
      <c r="D161" s="3" t="s">
        <v>270</v>
      </c>
      <c r="E161" s="3" t="s">
        <v>164</v>
      </c>
      <c r="F161" s="3" t="s">
        <v>11</v>
      </c>
      <c r="G161" s="3" t="s">
        <v>24</v>
      </c>
      <c r="H161" s="3" t="s">
        <v>271</v>
      </c>
      <c r="I161" s="6">
        <v>20.65</v>
      </c>
      <c r="J161" s="4">
        <v>5</v>
      </c>
      <c r="K161" s="6">
        <v>9.5</v>
      </c>
    </row>
    <row r="162" spans="1:11" x14ac:dyDescent="0.3">
      <c r="A162" s="7">
        <v>41705</v>
      </c>
      <c r="B162" s="4">
        <f>YEAR(SalesData[[#This Row],[Order Date]])</f>
        <v>2014</v>
      </c>
      <c r="C162" s="4">
        <f>MONTH(SalesData[[#This Row],[Order Date]])</f>
        <v>3</v>
      </c>
      <c r="D162" s="3" t="s">
        <v>270</v>
      </c>
      <c r="E162" s="3" t="s">
        <v>164</v>
      </c>
      <c r="F162" s="3" t="s">
        <v>11</v>
      </c>
      <c r="G162" s="3" t="s">
        <v>18</v>
      </c>
      <c r="H162" s="3" t="s">
        <v>272</v>
      </c>
      <c r="I162" s="6">
        <v>204.9</v>
      </c>
      <c r="J162" s="4">
        <v>5</v>
      </c>
      <c r="K162" s="6">
        <v>0</v>
      </c>
    </row>
    <row r="163" spans="1:11" x14ac:dyDescent="0.3">
      <c r="A163" s="7">
        <v>41705</v>
      </c>
      <c r="B163" s="4">
        <f>YEAR(SalesData[[#This Row],[Order Date]])</f>
        <v>2014</v>
      </c>
      <c r="C163" s="4">
        <f>MONTH(SalesData[[#This Row],[Order Date]])</f>
        <v>3</v>
      </c>
      <c r="D163" s="3" t="s">
        <v>270</v>
      </c>
      <c r="E163" s="3" t="s">
        <v>164</v>
      </c>
      <c r="F163" s="3" t="s">
        <v>34</v>
      </c>
      <c r="G163" s="3" t="s">
        <v>35</v>
      </c>
      <c r="H163" s="3" t="s">
        <v>273</v>
      </c>
      <c r="I163" s="6">
        <v>436.7</v>
      </c>
      <c r="J163" s="4">
        <v>6</v>
      </c>
      <c r="K163" s="6">
        <v>21.84</v>
      </c>
    </row>
    <row r="164" spans="1:11" x14ac:dyDescent="0.3">
      <c r="A164" s="7">
        <v>41705</v>
      </c>
      <c r="B164" s="4">
        <f>YEAR(SalesData[[#This Row],[Order Date]])</f>
        <v>2014</v>
      </c>
      <c r="C164" s="4">
        <f>MONTH(SalesData[[#This Row],[Order Date]])</f>
        <v>3</v>
      </c>
      <c r="D164" s="3" t="s">
        <v>270</v>
      </c>
      <c r="E164" s="3" t="s">
        <v>164</v>
      </c>
      <c r="F164" s="3" t="s">
        <v>34</v>
      </c>
      <c r="G164" s="3" t="s">
        <v>35</v>
      </c>
      <c r="H164" s="3" t="s">
        <v>274</v>
      </c>
      <c r="I164" s="6">
        <v>481.57</v>
      </c>
      <c r="J164" s="4">
        <v>2</v>
      </c>
      <c r="K164" s="6">
        <v>54.18</v>
      </c>
    </row>
    <row r="165" spans="1:11" x14ac:dyDescent="0.3">
      <c r="A165" s="7">
        <v>41708</v>
      </c>
      <c r="B165" s="4">
        <f>YEAR(SalesData[[#This Row],[Order Date]])</f>
        <v>2014</v>
      </c>
      <c r="C165" s="4">
        <f>MONTH(SalesData[[#This Row],[Order Date]])</f>
        <v>3</v>
      </c>
      <c r="D165" s="3" t="s">
        <v>275</v>
      </c>
      <c r="E165" s="3" t="s">
        <v>110</v>
      </c>
      <c r="F165" s="3" t="s">
        <v>11</v>
      </c>
      <c r="G165" s="3" t="s">
        <v>12</v>
      </c>
      <c r="H165" s="3" t="s">
        <v>276</v>
      </c>
      <c r="I165" s="6">
        <v>22.38</v>
      </c>
      <c r="J165" s="4">
        <v>2</v>
      </c>
      <c r="K165" s="6">
        <v>10.74</v>
      </c>
    </row>
    <row r="166" spans="1:11" x14ac:dyDescent="0.3">
      <c r="A166" s="7">
        <v>41708</v>
      </c>
      <c r="B166" s="4">
        <f>YEAR(SalesData[[#This Row],[Order Date]])</f>
        <v>2014</v>
      </c>
      <c r="C166" s="4">
        <f>MONTH(SalesData[[#This Row],[Order Date]])</f>
        <v>3</v>
      </c>
      <c r="D166" s="3" t="s">
        <v>277</v>
      </c>
      <c r="E166" s="3" t="s">
        <v>278</v>
      </c>
      <c r="F166" s="3" t="s">
        <v>11</v>
      </c>
      <c r="G166" s="3" t="s">
        <v>18</v>
      </c>
      <c r="H166" s="3" t="s">
        <v>73</v>
      </c>
      <c r="I166" s="6">
        <v>636.41</v>
      </c>
      <c r="J166" s="4">
        <v>3</v>
      </c>
      <c r="K166" s="6">
        <v>-15.91</v>
      </c>
    </row>
    <row r="167" spans="1:11" x14ac:dyDescent="0.3">
      <c r="A167" s="7">
        <v>41708</v>
      </c>
      <c r="B167" s="4">
        <f>YEAR(SalesData[[#This Row],[Order Date]])</f>
        <v>2014</v>
      </c>
      <c r="C167" s="4">
        <f>MONTH(SalesData[[#This Row],[Order Date]])</f>
        <v>3</v>
      </c>
      <c r="D167" s="3" t="s">
        <v>277</v>
      </c>
      <c r="E167" s="3" t="s">
        <v>278</v>
      </c>
      <c r="F167" s="3" t="s">
        <v>11</v>
      </c>
      <c r="G167" s="3" t="s">
        <v>24</v>
      </c>
      <c r="H167" s="3" t="s">
        <v>279</v>
      </c>
      <c r="I167" s="6">
        <v>83.17</v>
      </c>
      <c r="J167" s="4">
        <v>4</v>
      </c>
      <c r="K167" s="6">
        <v>9.36</v>
      </c>
    </row>
    <row r="168" spans="1:11" x14ac:dyDescent="0.3">
      <c r="A168" s="7">
        <v>41709</v>
      </c>
      <c r="B168" s="4">
        <f>YEAR(SalesData[[#This Row],[Order Date]])</f>
        <v>2014</v>
      </c>
      <c r="C168" s="4">
        <f>MONTH(SalesData[[#This Row],[Order Date]])</f>
        <v>3</v>
      </c>
      <c r="D168" s="3" t="s">
        <v>280</v>
      </c>
      <c r="E168" s="3" t="s">
        <v>78</v>
      </c>
      <c r="F168" s="3" t="s">
        <v>34</v>
      </c>
      <c r="G168" s="3" t="s">
        <v>47</v>
      </c>
      <c r="H168" s="3" t="s">
        <v>281</v>
      </c>
      <c r="I168" s="6">
        <v>8.32</v>
      </c>
      <c r="J168" s="4">
        <v>5</v>
      </c>
      <c r="K168" s="6">
        <v>2.29</v>
      </c>
    </row>
    <row r="169" spans="1:11" x14ac:dyDescent="0.3">
      <c r="A169" s="7">
        <v>41709</v>
      </c>
      <c r="B169" s="4">
        <f>YEAR(SalesData[[#This Row],[Order Date]])</f>
        <v>2014</v>
      </c>
      <c r="C169" s="4">
        <f>MONTH(SalesData[[#This Row],[Order Date]])</f>
        <v>3</v>
      </c>
      <c r="D169" s="3" t="s">
        <v>280</v>
      </c>
      <c r="E169" s="3" t="s">
        <v>78</v>
      </c>
      <c r="F169" s="3" t="s">
        <v>11</v>
      </c>
      <c r="G169" s="3" t="s">
        <v>43</v>
      </c>
      <c r="H169" s="3" t="s">
        <v>282</v>
      </c>
      <c r="I169" s="6">
        <v>10.46</v>
      </c>
      <c r="J169" s="4">
        <v>6</v>
      </c>
      <c r="K169" s="6">
        <v>1.7</v>
      </c>
    </row>
    <row r="170" spans="1:11" x14ac:dyDescent="0.3">
      <c r="A170" s="7">
        <v>41709</v>
      </c>
      <c r="B170" s="4">
        <f>YEAR(SalesData[[#This Row],[Order Date]])</f>
        <v>2014</v>
      </c>
      <c r="C170" s="4">
        <f>MONTH(SalesData[[#This Row],[Order Date]])</f>
        <v>3</v>
      </c>
      <c r="D170" s="3" t="s">
        <v>283</v>
      </c>
      <c r="E170" s="3" t="s">
        <v>149</v>
      </c>
      <c r="F170" s="3" t="s">
        <v>11</v>
      </c>
      <c r="G170" s="3" t="s">
        <v>12</v>
      </c>
      <c r="H170" s="3" t="s">
        <v>284</v>
      </c>
      <c r="I170" s="6">
        <v>108.92</v>
      </c>
      <c r="J170" s="4">
        <v>14</v>
      </c>
      <c r="K170" s="6">
        <v>49.01</v>
      </c>
    </row>
    <row r="171" spans="1:11" x14ac:dyDescent="0.3">
      <c r="A171" s="7">
        <v>41709</v>
      </c>
      <c r="B171" s="4">
        <f>YEAR(SalesData[[#This Row],[Order Date]])</f>
        <v>2014</v>
      </c>
      <c r="C171" s="4">
        <f>MONTH(SalesData[[#This Row],[Order Date]])</f>
        <v>3</v>
      </c>
      <c r="D171" s="3" t="s">
        <v>285</v>
      </c>
      <c r="E171" s="3" t="s">
        <v>33</v>
      </c>
      <c r="F171" s="3" t="s">
        <v>11</v>
      </c>
      <c r="G171" s="3" t="s">
        <v>92</v>
      </c>
      <c r="H171" s="3" t="s">
        <v>286</v>
      </c>
      <c r="I171" s="6">
        <v>146.76</v>
      </c>
      <c r="J171" s="4">
        <v>3</v>
      </c>
      <c r="K171" s="6">
        <v>38.159999999999997</v>
      </c>
    </row>
    <row r="172" spans="1:11" x14ac:dyDescent="0.3">
      <c r="A172" s="7">
        <v>41709</v>
      </c>
      <c r="B172" s="4">
        <f>YEAR(SalesData[[#This Row],[Order Date]])</f>
        <v>2014</v>
      </c>
      <c r="C172" s="4">
        <f>MONTH(SalesData[[#This Row],[Order Date]])</f>
        <v>3</v>
      </c>
      <c r="D172" s="3" t="s">
        <v>285</v>
      </c>
      <c r="E172" s="3" t="s">
        <v>33</v>
      </c>
      <c r="F172" s="3" t="s">
        <v>39</v>
      </c>
      <c r="G172" s="3" t="s">
        <v>52</v>
      </c>
      <c r="H172" s="3" t="s">
        <v>178</v>
      </c>
      <c r="I172" s="6">
        <v>32.96</v>
      </c>
      <c r="J172" s="4">
        <v>2</v>
      </c>
      <c r="K172" s="6">
        <v>14.17</v>
      </c>
    </row>
    <row r="173" spans="1:11" x14ac:dyDescent="0.3">
      <c r="A173" s="7">
        <v>41709</v>
      </c>
      <c r="B173" s="4">
        <f>YEAR(SalesData[[#This Row],[Order Date]])</f>
        <v>2014</v>
      </c>
      <c r="C173" s="4">
        <f>MONTH(SalesData[[#This Row],[Order Date]])</f>
        <v>3</v>
      </c>
      <c r="D173" s="3" t="s">
        <v>285</v>
      </c>
      <c r="E173" s="3" t="s">
        <v>33</v>
      </c>
      <c r="F173" s="3" t="s">
        <v>39</v>
      </c>
      <c r="G173" s="3" t="s">
        <v>40</v>
      </c>
      <c r="H173" s="3" t="s">
        <v>287</v>
      </c>
      <c r="I173" s="6">
        <v>587.97</v>
      </c>
      <c r="J173" s="4">
        <v>3</v>
      </c>
      <c r="K173" s="6">
        <v>164.63</v>
      </c>
    </row>
    <row r="174" spans="1:11" x14ac:dyDescent="0.3">
      <c r="A174" s="7">
        <v>41709</v>
      </c>
      <c r="B174" s="4">
        <f>YEAR(SalesData[[#This Row],[Order Date]])</f>
        <v>2014</v>
      </c>
      <c r="C174" s="4">
        <f>MONTH(SalesData[[#This Row],[Order Date]])</f>
        <v>3</v>
      </c>
      <c r="D174" s="3" t="s">
        <v>285</v>
      </c>
      <c r="E174" s="3" t="s">
        <v>33</v>
      </c>
      <c r="F174" s="3" t="s">
        <v>11</v>
      </c>
      <c r="G174" s="3" t="s">
        <v>12</v>
      </c>
      <c r="H174" s="3" t="s">
        <v>288</v>
      </c>
      <c r="I174" s="6">
        <v>14.94</v>
      </c>
      <c r="J174" s="4">
        <v>3</v>
      </c>
      <c r="K174" s="6">
        <v>7.02</v>
      </c>
    </row>
    <row r="175" spans="1:11" x14ac:dyDescent="0.3">
      <c r="A175" s="7">
        <v>41709</v>
      </c>
      <c r="B175" s="4">
        <f>YEAR(SalesData[[#This Row],[Order Date]])</f>
        <v>2014</v>
      </c>
      <c r="C175" s="4">
        <f>MONTH(SalesData[[#This Row],[Order Date]])</f>
        <v>3</v>
      </c>
      <c r="D175" s="3" t="s">
        <v>289</v>
      </c>
      <c r="E175" s="3" t="s">
        <v>27</v>
      </c>
      <c r="F175" s="3" t="s">
        <v>11</v>
      </c>
      <c r="G175" s="3" t="s">
        <v>24</v>
      </c>
      <c r="H175" s="3" t="s">
        <v>290</v>
      </c>
      <c r="I175" s="6">
        <v>7.98</v>
      </c>
      <c r="J175" s="4">
        <v>3</v>
      </c>
      <c r="K175" s="6">
        <v>2.0699999999999998</v>
      </c>
    </row>
    <row r="176" spans="1:11" x14ac:dyDescent="0.3">
      <c r="A176" s="7">
        <v>41712</v>
      </c>
      <c r="B176" s="4">
        <f>YEAR(SalesData[[#This Row],[Order Date]])</f>
        <v>2014</v>
      </c>
      <c r="C176" s="4">
        <f>MONTH(SalesData[[#This Row],[Order Date]])</f>
        <v>3</v>
      </c>
      <c r="D176" s="3" t="s">
        <v>291</v>
      </c>
      <c r="E176" s="3" t="s">
        <v>27</v>
      </c>
      <c r="F176" s="3" t="s">
        <v>11</v>
      </c>
      <c r="G176" s="3" t="s">
        <v>12</v>
      </c>
      <c r="H176" s="3" t="s">
        <v>152</v>
      </c>
      <c r="I176" s="6">
        <v>10.56</v>
      </c>
      <c r="J176" s="4">
        <v>2</v>
      </c>
      <c r="K176" s="6">
        <v>4.75</v>
      </c>
    </row>
    <row r="177" spans="1:11" x14ac:dyDescent="0.3">
      <c r="A177" s="7">
        <v>41712</v>
      </c>
      <c r="B177" s="4">
        <f>YEAR(SalesData[[#This Row],[Order Date]])</f>
        <v>2014</v>
      </c>
      <c r="C177" s="4">
        <f>MONTH(SalesData[[#This Row],[Order Date]])</f>
        <v>3</v>
      </c>
      <c r="D177" s="3" t="s">
        <v>291</v>
      </c>
      <c r="E177" s="3" t="s">
        <v>27</v>
      </c>
      <c r="F177" s="3" t="s">
        <v>11</v>
      </c>
      <c r="G177" s="3" t="s">
        <v>24</v>
      </c>
      <c r="H177" s="3" t="s">
        <v>292</v>
      </c>
      <c r="I177" s="6">
        <v>3.38</v>
      </c>
      <c r="J177" s="4">
        <v>1</v>
      </c>
      <c r="K177" s="6">
        <v>1.25</v>
      </c>
    </row>
    <row r="178" spans="1:11" x14ac:dyDescent="0.3">
      <c r="A178" s="7">
        <v>41712</v>
      </c>
      <c r="B178" s="4">
        <f>YEAR(SalesData[[#This Row],[Order Date]])</f>
        <v>2014</v>
      </c>
      <c r="C178" s="4">
        <f>MONTH(SalesData[[#This Row],[Order Date]])</f>
        <v>3</v>
      </c>
      <c r="D178" s="3" t="s">
        <v>293</v>
      </c>
      <c r="E178" s="3" t="s">
        <v>55</v>
      </c>
      <c r="F178" s="3" t="s">
        <v>34</v>
      </c>
      <c r="G178" s="3" t="s">
        <v>35</v>
      </c>
      <c r="H178" s="3" t="s">
        <v>294</v>
      </c>
      <c r="I178" s="6">
        <v>1139.92</v>
      </c>
      <c r="J178" s="4">
        <v>4</v>
      </c>
      <c r="K178" s="6">
        <v>284.98</v>
      </c>
    </row>
    <row r="179" spans="1:11" x14ac:dyDescent="0.3">
      <c r="A179" s="7">
        <v>41712</v>
      </c>
      <c r="B179" s="4">
        <f>YEAR(SalesData[[#This Row],[Order Date]])</f>
        <v>2014</v>
      </c>
      <c r="C179" s="4">
        <f>MONTH(SalesData[[#This Row],[Order Date]])</f>
        <v>3</v>
      </c>
      <c r="D179" s="3" t="s">
        <v>295</v>
      </c>
      <c r="E179" s="3" t="s">
        <v>296</v>
      </c>
      <c r="F179" s="3" t="s">
        <v>11</v>
      </c>
      <c r="G179" s="3" t="s">
        <v>20</v>
      </c>
      <c r="H179" s="3" t="s">
        <v>263</v>
      </c>
      <c r="I179" s="6">
        <v>33.090000000000003</v>
      </c>
      <c r="J179" s="4">
        <v>4</v>
      </c>
      <c r="K179" s="6">
        <v>11.17</v>
      </c>
    </row>
    <row r="180" spans="1:11" x14ac:dyDescent="0.3">
      <c r="A180" s="7">
        <v>41712</v>
      </c>
      <c r="B180" s="4">
        <f>YEAR(SalesData[[#This Row],[Order Date]])</f>
        <v>2014</v>
      </c>
      <c r="C180" s="4">
        <f>MONTH(SalesData[[#This Row],[Order Date]])</f>
        <v>3</v>
      </c>
      <c r="D180" s="3" t="s">
        <v>295</v>
      </c>
      <c r="E180" s="3" t="s">
        <v>296</v>
      </c>
      <c r="F180" s="3" t="s">
        <v>11</v>
      </c>
      <c r="G180" s="3" t="s">
        <v>18</v>
      </c>
      <c r="H180" s="3" t="s">
        <v>297</v>
      </c>
      <c r="I180" s="6">
        <v>80.98</v>
      </c>
      <c r="J180" s="4">
        <v>1</v>
      </c>
      <c r="K180" s="6">
        <v>3.24</v>
      </c>
    </row>
    <row r="181" spans="1:11" x14ac:dyDescent="0.3">
      <c r="A181" s="7">
        <v>41712</v>
      </c>
      <c r="B181" s="4">
        <f>YEAR(SalesData[[#This Row],[Order Date]])</f>
        <v>2014</v>
      </c>
      <c r="C181" s="4">
        <f>MONTH(SalesData[[#This Row],[Order Date]])</f>
        <v>3</v>
      </c>
      <c r="D181" s="3" t="s">
        <v>295</v>
      </c>
      <c r="E181" s="3" t="s">
        <v>296</v>
      </c>
      <c r="F181" s="3" t="s">
        <v>39</v>
      </c>
      <c r="G181" s="3" t="s">
        <v>52</v>
      </c>
      <c r="H181" s="3" t="s">
        <v>298</v>
      </c>
      <c r="I181" s="6">
        <v>82.8</v>
      </c>
      <c r="J181" s="4">
        <v>12</v>
      </c>
      <c r="K181" s="6">
        <v>6.62</v>
      </c>
    </row>
    <row r="182" spans="1:11" x14ac:dyDescent="0.3">
      <c r="A182" s="7">
        <v>41712</v>
      </c>
      <c r="B182" s="4">
        <f>YEAR(SalesData[[#This Row],[Order Date]])</f>
        <v>2014</v>
      </c>
      <c r="C182" s="4">
        <f>MONTH(SalesData[[#This Row],[Order Date]])</f>
        <v>3</v>
      </c>
      <c r="D182" s="3" t="s">
        <v>295</v>
      </c>
      <c r="E182" s="3" t="s">
        <v>296</v>
      </c>
      <c r="F182" s="3" t="s">
        <v>11</v>
      </c>
      <c r="G182" s="3" t="s">
        <v>18</v>
      </c>
      <c r="H182" s="3" t="s">
        <v>299</v>
      </c>
      <c r="I182" s="6">
        <v>21.36</v>
      </c>
      <c r="J182" s="4">
        <v>2</v>
      </c>
      <c r="K182" s="6">
        <v>5.77</v>
      </c>
    </row>
    <row r="183" spans="1:11" x14ac:dyDescent="0.3">
      <c r="A183" s="7">
        <v>41712</v>
      </c>
      <c r="B183" s="4">
        <f>YEAR(SalesData[[#This Row],[Order Date]])</f>
        <v>2014</v>
      </c>
      <c r="C183" s="4">
        <f>MONTH(SalesData[[#This Row],[Order Date]])</f>
        <v>3</v>
      </c>
      <c r="D183" s="3" t="s">
        <v>295</v>
      </c>
      <c r="E183" s="3" t="s">
        <v>296</v>
      </c>
      <c r="F183" s="3" t="s">
        <v>11</v>
      </c>
      <c r="G183" s="3" t="s">
        <v>20</v>
      </c>
      <c r="H183" s="3" t="s">
        <v>300</v>
      </c>
      <c r="I183" s="6">
        <v>62.05</v>
      </c>
      <c r="J183" s="4">
        <v>2</v>
      </c>
      <c r="K183" s="6">
        <v>20.170000000000002</v>
      </c>
    </row>
    <row r="184" spans="1:11" x14ac:dyDescent="0.3">
      <c r="A184" s="7">
        <v>41712</v>
      </c>
      <c r="B184" s="4">
        <f>YEAR(SalesData[[#This Row],[Order Date]])</f>
        <v>2014</v>
      </c>
      <c r="C184" s="4">
        <f>MONTH(SalesData[[#This Row],[Order Date]])</f>
        <v>3</v>
      </c>
      <c r="D184" s="3" t="s">
        <v>301</v>
      </c>
      <c r="E184" s="3" t="s">
        <v>15</v>
      </c>
      <c r="F184" s="3" t="s">
        <v>39</v>
      </c>
      <c r="G184" s="3" t="s">
        <v>302</v>
      </c>
      <c r="H184" s="3" t="s">
        <v>303</v>
      </c>
      <c r="I184" s="6">
        <v>574.91</v>
      </c>
      <c r="J184" s="4">
        <v>2</v>
      </c>
      <c r="K184" s="6">
        <v>156.05000000000001</v>
      </c>
    </row>
    <row r="185" spans="1:11" x14ac:dyDescent="0.3">
      <c r="A185" s="7">
        <v>41712</v>
      </c>
      <c r="B185" s="4">
        <f>YEAR(SalesData[[#This Row],[Order Date]])</f>
        <v>2014</v>
      </c>
      <c r="C185" s="4">
        <f>MONTH(SalesData[[#This Row],[Order Date]])</f>
        <v>3</v>
      </c>
      <c r="D185" s="3" t="s">
        <v>301</v>
      </c>
      <c r="E185" s="3" t="s">
        <v>15</v>
      </c>
      <c r="F185" s="3" t="s">
        <v>11</v>
      </c>
      <c r="G185" s="3" t="s">
        <v>12</v>
      </c>
      <c r="H185" s="3" t="s">
        <v>304</v>
      </c>
      <c r="I185" s="6">
        <v>8.4499999999999993</v>
      </c>
      <c r="J185" s="4">
        <v>2</v>
      </c>
      <c r="K185" s="6">
        <v>2.64</v>
      </c>
    </row>
    <row r="186" spans="1:11" x14ac:dyDescent="0.3">
      <c r="A186" s="7">
        <v>41712</v>
      </c>
      <c r="B186" s="4">
        <f>YEAR(SalesData[[#This Row],[Order Date]])</f>
        <v>2014</v>
      </c>
      <c r="C186" s="4">
        <f>MONTH(SalesData[[#This Row],[Order Date]])</f>
        <v>3</v>
      </c>
      <c r="D186" s="3" t="s">
        <v>305</v>
      </c>
      <c r="E186" s="3" t="s">
        <v>123</v>
      </c>
      <c r="F186" s="3" t="s">
        <v>11</v>
      </c>
      <c r="G186" s="3" t="s">
        <v>12</v>
      </c>
      <c r="H186" s="3" t="s">
        <v>306</v>
      </c>
      <c r="I186" s="6">
        <v>91.06</v>
      </c>
      <c r="J186" s="4">
        <v>6</v>
      </c>
      <c r="K186" s="6">
        <v>31.87</v>
      </c>
    </row>
    <row r="187" spans="1:11" x14ac:dyDescent="0.3">
      <c r="A187" s="7">
        <v>41713</v>
      </c>
      <c r="B187" s="4">
        <f>YEAR(SalesData[[#This Row],[Order Date]])</f>
        <v>2014</v>
      </c>
      <c r="C187" s="4">
        <f>MONTH(SalesData[[#This Row],[Order Date]])</f>
        <v>3</v>
      </c>
      <c r="D187" s="3" t="s">
        <v>307</v>
      </c>
      <c r="E187" s="3" t="s">
        <v>123</v>
      </c>
      <c r="F187" s="3" t="s">
        <v>11</v>
      </c>
      <c r="G187" s="3" t="s">
        <v>18</v>
      </c>
      <c r="H187" s="3" t="s">
        <v>308</v>
      </c>
      <c r="I187" s="6">
        <v>142.78</v>
      </c>
      <c r="J187" s="4">
        <v>1</v>
      </c>
      <c r="K187" s="6">
        <v>17.850000000000001</v>
      </c>
    </row>
    <row r="188" spans="1:11" x14ac:dyDescent="0.3">
      <c r="A188" s="7">
        <v>41713</v>
      </c>
      <c r="B188" s="4">
        <f>YEAR(SalesData[[#This Row],[Order Date]])</f>
        <v>2014</v>
      </c>
      <c r="C188" s="4">
        <f>MONTH(SalesData[[#This Row],[Order Date]])</f>
        <v>3</v>
      </c>
      <c r="D188" s="3" t="s">
        <v>307</v>
      </c>
      <c r="E188" s="3" t="s">
        <v>123</v>
      </c>
      <c r="F188" s="3" t="s">
        <v>34</v>
      </c>
      <c r="G188" s="3" t="s">
        <v>47</v>
      </c>
      <c r="H188" s="3" t="s">
        <v>309</v>
      </c>
      <c r="I188" s="6">
        <v>45.7</v>
      </c>
      <c r="J188" s="4">
        <v>3</v>
      </c>
      <c r="K188" s="6">
        <v>5.14</v>
      </c>
    </row>
    <row r="189" spans="1:11" x14ac:dyDescent="0.3">
      <c r="A189" s="7">
        <v>41713</v>
      </c>
      <c r="B189" s="4">
        <f>YEAR(SalesData[[#This Row],[Order Date]])</f>
        <v>2014</v>
      </c>
      <c r="C189" s="4">
        <f>MONTH(SalesData[[#This Row],[Order Date]])</f>
        <v>3</v>
      </c>
      <c r="D189" s="3" t="s">
        <v>307</v>
      </c>
      <c r="E189" s="3" t="s">
        <v>123</v>
      </c>
      <c r="F189" s="3" t="s">
        <v>11</v>
      </c>
      <c r="G189" s="3" t="s">
        <v>20</v>
      </c>
      <c r="H189" s="3" t="s">
        <v>310</v>
      </c>
      <c r="I189" s="6">
        <v>7.22</v>
      </c>
      <c r="J189" s="4">
        <v>3</v>
      </c>
      <c r="K189" s="6">
        <v>-5.53</v>
      </c>
    </row>
    <row r="190" spans="1:11" x14ac:dyDescent="0.3">
      <c r="A190" s="7">
        <v>41713</v>
      </c>
      <c r="B190" s="4">
        <f>YEAR(SalesData[[#This Row],[Order Date]])</f>
        <v>2014</v>
      </c>
      <c r="C190" s="4">
        <f>MONTH(SalesData[[#This Row],[Order Date]])</f>
        <v>3</v>
      </c>
      <c r="D190" s="3" t="s">
        <v>307</v>
      </c>
      <c r="E190" s="3" t="s">
        <v>123</v>
      </c>
      <c r="F190" s="3" t="s">
        <v>11</v>
      </c>
      <c r="G190" s="3" t="s">
        <v>20</v>
      </c>
      <c r="H190" s="3" t="s">
        <v>311</v>
      </c>
      <c r="I190" s="6">
        <v>43.19</v>
      </c>
      <c r="J190" s="4">
        <v>4</v>
      </c>
      <c r="K190" s="6">
        <v>-31.67</v>
      </c>
    </row>
    <row r="191" spans="1:11" x14ac:dyDescent="0.3">
      <c r="A191" s="7">
        <v>41713</v>
      </c>
      <c r="B191" s="4">
        <f>YEAR(SalesData[[#This Row],[Order Date]])</f>
        <v>2014</v>
      </c>
      <c r="C191" s="4">
        <f>MONTH(SalesData[[#This Row],[Order Date]])</f>
        <v>3</v>
      </c>
      <c r="D191" s="3" t="s">
        <v>307</v>
      </c>
      <c r="E191" s="3" t="s">
        <v>123</v>
      </c>
      <c r="F191" s="3" t="s">
        <v>11</v>
      </c>
      <c r="G191" s="3" t="s">
        <v>12</v>
      </c>
      <c r="H191" s="3" t="s">
        <v>312</v>
      </c>
      <c r="I191" s="6">
        <v>131.9</v>
      </c>
      <c r="J191" s="4">
        <v>3</v>
      </c>
      <c r="K191" s="6">
        <v>47.82</v>
      </c>
    </row>
    <row r="192" spans="1:11" x14ac:dyDescent="0.3">
      <c r="A192" s="7">
        <v>41714</v>
      </c>
      <c r="B192" s="4">
        <f>YEAR(SalesData[[#This Row],[Order Date]])</f>
        <v>2014</v>
      </c>
      <c r="C192" s="4">
        <f>MONTH(SalesData[[#This Row],[Order Date]])</f>
        <v>3</v>
      </c>
      <c r="D192" s="3" t="s">
        <v>239</v>
      </c>
      <c r="E192" s="3" t="s">
        <v>245</v>
      </c>
      <c r="F192" s="3" t="s">
        <v>39</v>
      </c>
      <c r="G192" s="3" t="s">
        <v>40</v>
      </c>
      <c r="H192" s="3" t="s">
        <v>313</v>
      </c>
      <c r="I192" s="6">
        <v>471.92</v>
      </c>
      <c r="J192" s="4">
        <v>2</v>
      </c>
      <c r="K192" s="6">
        <v>29.5</v>
      </c>
    </row>
    <row r="193" spans="1:11" x14ac:dyDescent="0.3">
      <c r="A193" s="7">
        <v>41715</v>
      </c>
      <c r="B193" s="4">
        <f>YEAR(SalesData[[#This Row],[Order Date]])</f>
        <v>2014</v>
      </c>
      <c r="C193" s="4">
        <f>MONTH(SalesData[[#This Row],[Order Date]])</f>
        <v>3</v>
      </c>
      <c r="D193" s="3" t="s">
        <v>314</v>
      </c>
      <c r="E193" s="3" t="s">
        <v>315</v>
      </c>
      <c r="F193" s="3" t="s">
        <v>11</v>
      </c>
      <c r="G193" s="3" t="s">
        <v>92</v>
      </c>
      <c r="H193" s="3" t="s">
        <v>316</v>
      </c>
      <c r="I193" s="6">
        <v>93.78</v>
      </c>
      <c r="J193" s="4">
        <v>2</v>
      </c>
      <c r="K193" s="6">
        <v>36.57</v>
      </c>
    </row>
    <row r="194" spans="1:11" x14ac:dyDescent="0.3">
      <c r="A194" s="7">
        <v>41715</v>
      </c>
      <c r="B194" s="4">
        <f>YEAR(SalesData[[#This Row],[Order Date]])</f>
        <v>2014</v>
      </c>
      <c r="C194" s="4">
        <f>MONTH(SalesData[[#This Row],[Order Date]])</f>
        <v>3</v>
      </c>
      <c r="D194" s="3" t="s">
        <v>314</v>
      </c>
      <c r="E194" s="3" t="s">
        <v>315</v>
      </c>
      <c r="F194" s="3" t="s">
        <v>11</v>
      </c>
      <c r="G194" s="3" t="s">
        <v>12</v>
      </c>
      <c r="H194" s="3" t="s">
        <v>196</v>
      </c>
      <c r="I194" s="6">
        <v>47.18</v>
      </c>
      <c r="J194" s="4">
        <v>7</v>
      </c>
      <c r="K194" s="6">
        <v>23.59</v>
      </c>
    </row>
    <row r="195" spans="1:11" x14ac:dyDescent="0.3">
      <c r="A195" s="7">
        <v>41715</v>
      </c>
      <c r="B195" s="4">
        <f>YEAR(SalesData[[#This Row],[Order Date]])</f>
        <v>2014</v>
      </c>
      <c r="C195" s="4">
        <f>MONTH(SalesData[[#This Row],[Order Date]])</f>
        <v>3</v>
      </c>
      <c r="D195" s="3" t="s">
        <v>314</v>
      </c>
      <c r="E195" s="3" t="s">
        <v>315</v>
      </c>
      <c r="F195" s="3" t="s">
        <v>11</v>
      </c>
      <c r="G195" s="3" t="s">
        <v>24</v>
      </c>
      <c r="H195" s="3" t="s">
        <v>317</v>
      </c>
      <c r="I195" s="6">
        <v>19.68</v>
      </c>
      <c r="J195" s="4">
        <v>6</v>
      </c>
      <c r="K195" s="6">
        <v>5.71</v>
      </c>
    </row>
    <row r="196" spans="1:11" x14ac:dyDescent="0.3">
      <c r="A196" s="7">
        <v>41715</v>
      </c>
      <c r="B196" s="4">
        <f>YEAR(SalesData[[#This Row],[Order Date]])</f>
        <v>2014</v>
      </c>
      <c r="C196" s="4">
        <f>MONTH(SalesData[[#This Row],[Order Date]])</f>
        <v>3</v>
      </c>
      <c r="D196" s="3" t="s">
        <v>314</v>
      </c>
      <c r="E196" s="3" t="s">
        <v>315</v>
      </c>
      <c r="F196" s="3" t="s">
        <v>11</v>
      </c>
      <c r="G196" s="3" t="s">
        <v>20</v>
      </c>
      <c r="H196" s="3" t="s">
        <v>141</v>
      </c>
      <c r="I196" s="6">
        <v>53.4</v>
      </c>
      <c r="J196" s="4">
        <v>10</v>
      </c>
      <c r="K196" s="6">
        <v>25.1</v>
      </c>
    </row>
    <row r="197" spans="1:11" x14ac:dyDescent="0.3">
      <c r="A197" s="7">
        <v>41715</v>
      </c>
      <c r="B197" s="4">
        <f>YEAR(SalesData[[#This Row],[Order Date]])</f>
        <v>2014</v>
      </c>
      <c r="C197" s="4">
        <f>MONTH(SalesData[[#This Row],[Order Date]])</f>
        <v>3</v>
      </c>
      <c r="D197" s="3" t="s">
        <v>314</v>
      </c>
      <c r="E197" s="3" t="s">
        <v>315</v>
      </c>
      <c r="F197" s="3" t="s">
        <v>11</v>
      </c>
      <c r="G197" s="3" t="s">
        <v>20</v>
      </c>
      <c r="H197" s="3" t="s">
        <v>318</v>
      </c>
      <c r="I197" s="6">
        <v>35.880000000000003</v>
      </c>
      <c r="J197" s="4">
        <v>6</v>
      </c>
      <c r="K197" s="6">
        <v>17.22</v>
      </c>
    </row>
    <row r="198" spans="1:11" x14ac:dyDescent="0.3">
      <c r="A198" s="7">
        <v>41715</v>
      </c>
      <c r="B198" s="4">
        <f>YEAR(SalesData[[#This Row],[Order Date]])</f>
        <v>2014</v>
      </c>
      <c r="C198" s="4">
        <f>MONTH(SalesData[[#This Row],[Order Date]])</f>
        <v>3</v>
      </c>
      <c r="D198" s="3" t="s">
        <v>319</v>
      </c>
      <c r="E198" s="3" t="s">
        <v>149</v>
      </c>
      <c r="F198" s="3" t="s">
        <v>34</v>
      </c>
      <c r="G198" s="3" t="s">
        <v>145</v>
      </c>
      <c r="H198" s="3" t="s">
        <v>320</v>
      </c>
      <c r="I198" s="6">
        <v>1579.75</v>
      </c>
      <c r="J198" s="4">
        <v>7</v>
      </c>
      <c r="K198" s="6">
        <v>-447.59</v>
      </c>
    </row>
    <row r="199" spans="1:11" x14ac:dyDescent="0.3">
      <c r="A199" s="7">
        <v>41715</v>
      </c>
      <c r="B199" s="4">
        <f>YEAR(SalesData[[#This Row],[Order Date]])</f>
        <v>2014</v>
      </c>
      <c r="C199" s="4">
        <f>MONTH(SalesData[[#This Row],[Order Date]])</f>
        <v>3</v>
      </c>
      <c r="D199" s="3" t="s">
        <v>319</v>
      </c>
      <c r="E199" s="3" t="s">
        <v>149</v>
      </c>
      <c r="F199" s="3" t="s">
        <v>34</v>
      </c>
      <c r="G199" s="3" t="s">
        <v>145</v>
      </c>
      <c r="H199" s="3" t="s">
        <v>321</v>
      </c>
      <c r="I199" s="6">
        <v>1071.58</v>
      </c>
      <c r="J199" s="4">
        <v>4</v>
      </c>
      <c r="K199" s="6">
        <v>-553.65</v>
      </c>
    </row>
    <row r="200" spans="1:11" x14ac:dyDescent="0.3">
      <c r="A200" s="7">
        <v>41715</v>
      </c>
      <c r="B200" s="4">
        <f>YEAR(SalesData[[#This Row],[Order Date]])</f>
        <v>2014</v>
      </c>
      <c r="C200" s="4">
        <f>MONTH(SalesData[[#This Row],[Order Date]])</f>
        <v>3</v>
      </c>
      <c r="D200" s="3" t="s">
        <v>319</v>
      </c>
      <c r="E200" s="3" t="s">
        <v>149</v>
      </c>
      <c r="F200" s="3" t="s">
        <v>34</v>
      </c>
      <c r="G200" s="3" t="s">
        <v>145</v>
      </c>
      <c r="H200" s="3" t="s">
        <v>322</v>
      </c>
      <c r="I200" s="6">
        <v>613.91</v>
      </c>
      <c r="J200" s="4">
        <v>3</v>
      </c>
      <c r="K200" s="6">
        <v>-122.78</v>
      </c>
    </row>
    <row r="201" spans="1:11" x14ac:dyDescent="0.3">
      <c r="A201" s="7">
        <v>41715</v>
      </c>
      <c r="B201" s="4">
        <f>YEAR(SalesData[[#This Row],[Order Date]])</f>
        <v>2014</v>
      </c>
      <c r="C201" s="4">
        <f>MONTH(SalesData[[#This Row],[Order Date]])</f>
        <v>3</v>
      </c>
      <c r="D201" s="3" t="s">
        <v>319</v>
      </c>
      <c r="E201" s="3" t="s">
        <v>149</v>
      </c>
      <c r="F201" s="3" t="s">
        <v>11</v>
      </c>
      <c r="G201" s="3" t="s">
        <v>12</v>
      </c>
      <c r="H201" s="3" t="s">
        <v>323</v>
      </c>
      <c r="I201" s="6">
        <v>34.86</v>
      </c>
      <c r="J201" s="4">
        <v>7</v>
      </c>
      <c r="K201" s="6">
        <v>16.38</v>
      </c>
    </row>
    <row r="202" spans="1:11" x14ac:dyDescent="0.3">
      <c r="A202" s="7">
        <v>41715</v>
      </c>
      <c r="B202" s="4">
        <f>YEAR(SalesData[[#This Row],[Order Date]])</f>
        <v>2014</v>
      </c>
      <c r="C202" s="4">
        <f>MONTH(SalesData[[#This Row],[Order Date]])</f>
        <v>3</v>
      </c>
      <c r="D202" s="3" t="s">
        <v>319</v>
      </c>
      <c r="E202" s="3" t="s">
        <v>149</v>
      </c>
      <c r="F202" s="3" t="s">
        <v>11</v>
      </c>
      <c r="G202" s="3" t="s">
        <v>12</v>
      </c>
      <c r="H202" s="3" t="s">
        <v>324</v>
      </c>
      <c r="I202" s="6">
        <v>155.04</v>
      </c>
      <c r="J202" s="4">
        <v>4</v>
      </c>
      <c r="K202" s="6">
        <v>75.97</v>
      </c>
    </row>
    <row r="203" spans="1:11" x14ac:dyDescent="0.3">
      <c r="A203" s="7">
        <v>41715</v>
      </c>
      <c r="B203" s="4">
        <f>YEAR(SalesData[[#This Row],[Order Date]])</f>
        <v>2014</v>
      </c>
      <c r="C203" s="4">
        <f>MONTH(SalesData[[#This Row],[Order Date]])</f>
        <v>3</v>
      </c>
      <c r="D203" s="3" t="s">
        <v>325</v>
      </c>
      <c r="E203" s="3" t="s">
        <v>10</v>
      </c>
      <c r="F203" s="3" t="s">
        <v>11</v>
      </c>
      <c r="G203" s="3" t="s">
        <v>24</v>
      </c>
      <c r="H203" s="3" t="s">
        <v>326</v>
      </c>
      <c r="I203" s="6">
        <v>4.45</v>
      </c>
      <c r="J203" s="4">
        <v>2</v>
      </c>
      <c r="K203" s="6">
        <v>0.33</v>
      </c>
    </row>
    <row r="204" spans="1:11" x14ac:dyDescent="0.3">
      <c r="A204" s="7">
        <v>41715</v>
      </c>
      <c r="B204" s="4">
        <f>YEAR(SalesData[[#This Row],[Order Date]])</f>
        <v>2014</v>
      </c>
      <c r="C204" s="4">
        <f>MONTH(SalesData[[#This Row],[Order Date]])</f>
        <v>3</v>
      </c>
      <c r="D204" s="3" t="s">
        <v>325</v>
      </c>
      <c r="E204" s="3" t="s">
        <v>10</v>
      </c>
      <c r="F204" s="3" t="s">
        <v>11</v>
      </c>
      <c r="G204" s="3" t="s">
        <v>12</v>
      </c>
      <c r="H204" s="3" t="s">
        <v>327</v>
      </c>
      <c r="I204" s="6">
        <v>5.18</v>
      </c>
      <c r="J204" s="4">
        <v>1</v>
      </c>
      <c r="K204" s="6">
        <v>1.88</v>
      </c>
    </row>
    <row r="205" spans="1:11" x14ac:dyDescent="0.3">
      <c r="A205" s="7">
        <v>41715</v>
      </c>
      <c r="B205" s="4">
        <f>YEAR(SalesData[[#This Row],[Order Date]])</f>
        <v>2014</v>
      </c>
      <c r="C205" s="4">
        <f>MONTH(SalesData[[#This Row],[Order Date]])</f>
        <v>3</v>
      </c>
      <c r="D205" s="3" t="s">
        <v>325</v>
      </c>
      <c r="E205" s="3" t="s">
        <v>10</v>
      </c>
      <c r="F205" s="3" t="s">
        <v>11</v>
      </c>
      <c r="G205" s="3" t="s">
        <v>12</v>
      </c>
      <c r="H205" s="3" t="s">
        <v>328</v>
      </c>
      <c r="I205" s="6">
        <v>15.55</v>
      </c>
      <c r="J205" s="4">
        <v>3</v>
      </c>
      <c r="K205" s="6">
        <v>5.44</v>
      </c>
    </row>
    <row r="206" spans="1:11" x14ac:dyDescent="0.3">
      <c r="A206" s="7">
        <v>41715</v>
      </c>
      <c r="B206" s="4">
        <f>YEAR(SalesData[[#This Row],[Order Date]])</f>
        <v>2014</v>
      </c>
      <c r="C206" s="4">
        <f>MONTH(SalesData[[#This Row],[Order Date]])</f>
        <v>3</v>
      </c>
      <c r="D206" s="3" t="s">
        <v>170</v>
      </c>
      <c r="E206" s="3" t="s">
        <v>329</v>
      </c>
      <c r="F206" s="3" t="s">
        <v>11</v>
      </c>
      <c r="G206" s="3" t="s">
        <v>20</v>
      </c>
      <c r="H206" s="3" t="s">
        <v>113</v>
      </c>
      <c r="I206" s="6">
        <v>11.43</v>
      </c>
      <c r="J206" s="4">
        <v>3</v>
      </c>
      <c r="K206" s="6">
        <v>5.37</v>
      </c>
    </row>
    <row r="207" spans="1:11" x14ac:dyDescent="0.3">
      <c r="A207" s="7">
        <v>41715</v>
      </c>
      <c r="B207" s="4">
        <f>YEAR(SalesData[[#This Row],[Order Date]])</f>
        <v>2014</v>
      </c>
      <c r="C207" s="4">
        <f>MONTH(SalesData[[#This Row],[Order Date]])</f>
        <v>3</v>
      </c>
      <c r="D207" s="3" t="s">
        <v>170</v>
      </c>
      <c r="E207" s="3" t="s">
        <v>329</v>
      </c>
      <c r="F207" s="3" t="s">
        <v>11</v>
      </c>
      <c r="G207" s="3" t="s">
        <v>20</v>
      </c>
      <c r="H207" s="3" t="s">
        <v>330</v>
      </c>
      <c r="I207" s="6">
        <v>30.44</v>
      </c>
      <c r="J207" s="4">
        <v>2</v>
      </c>
      <c r="K207" s="6">
        <v>14.92</v>
      </c>
    </row>
    <row r="208" spans="1:11" x14ac:dyDescent="0.3">
      <c r="A208" s="7">
        <v>41715</v>
      </c>
      <c r="B208" s="4">
        <f>YEAR(SalesData[[#This Row],[Order Date]])</f>
        <v>2014</v>
      </c>
      <c r="C208" s="4">
        <f>MONTH(SalesData[[#This Row],[Order Date]])</f>
        <v>3</v>
      </c>
      <c r="D208" s="3" t="s">
        <v>170</v>
      </c>
      <c r="E208" s="3" t="s">
        <v>329</v>
      </c>
      <c r="F208" s="3" t="s">
        <v>11</v>
      </c>
      <c r="G208" s="3" t="s">
        <v>12</v>
      </c>
      <c r="H208" s="3" t="s">
        <v>331</v>
      </c>
      <c r="I208" s="6">
        <v>12.96</v>
      </c>
      <c r="J208" s="4">
        <v>2</v>
      </c>
      <c r="K208" s="6">
        <v>6.35</v>
      </c>
    </row>
    <row r="209" spans="1:11" x14ac:dyDescent="0.3">
      <c r="A209" s="7">
        <v>41715</v>
      </c>
      <c r="B209" s="4">
        <f>YEAR(SalesData[[#This Row],[Order Date]])</f>
        <v>2014</v>
      </c>
      <c r="C209" s="4">
        <f>MONTH(SalesData[[#This Row],[Order Date]])</f>
        <v>3</v>
      </c>
      <c r="D209" s="3" t="s">
        <v>170</v>
      </c>
      <c r="E209" s="3" t="s">
        <v>329</v>
      </c>
      <c r="F209" s="3" t="s">
        <v>11</v>
      </c>
      <c r="G209" s="3" t="s">
        <v>12</v>
      </c>
      <c r="H209" s="3" t="s">
        <v>332</v>
      </c>
      <c r="I209" s="6">
        <v>16</v>
      </c>
      <c r="J209" s="4">
        <v>4</v>
      </c>
      <c r="K209" s="6">
        <v>7.68</v>
      </c>
    </row>
    <row r="210" spans="1:11" x14ac:dyDescent="0.3">
      <c r="A210" s="7">
        <v>41715</v>
      </c>
      <c r="B210" s="4">
        <f>YEAR(SalesData[[#This Row],[Order Date]])</f>
        <v>2014</v>
      </c>
      <c r="C210" s="4">
        <f>MONTH(SalesData[[#This Row],[Order Date]])</f>
        <v>3</v>
      </c>
      <c r="D210" s="3" t="s">
        <v>170</v>
      </c>
      <c r="E210" s="3" t="s">
        <v>329</v>
      </c>
      <c r="F210" s="3" t="s">
        <v>11</v>
      </c>
      <c r="G210" s="3" t="s">
        <v>92</v>
      </c>
      <c r="H210" s="3" t="s">
        <v>333</v>
      </c>
      <c r="I210" s="6">
        <v>32.67</v>
      </c>
      <c r="J210" s="4">
        <v>3</v>
      </c>
      <c r="K210" s="6">
        <v>8.49</v>
      </c>
    </row>
    <row r="211" spans="1:11" x14ac:dyDescent="0.3">
      <c r="A211" s="7">
        <v>41715</v>
      </c>
      <c r="B211" s="4">
        <f>YEAR(SalesData[[#This Row],[Order Date]])</f>
        <v>2014</v>
      </c>
      <c r="C211" s="4">
        <f>MONTH(SalesData[[#This Row],[Order Date]])</f>
        <v>3</v>
      </c>
      <c r="D211" s="3" t="s">
        <v>334</v>
      </c>
      <c r="E211" s="3" t="s">
        <v>23</v>
      </c>
      <c r="F211" s="3" t="s">
        <v>11</v>
      </c>
      <c r="G211" s="3" t="s">
        <v>12</v>
      </c>
      <c r="H211" s="3" t="s">
        <v>335</v>
      </c>
      <c r="I211" s="6">
        <v>126.62</v>
      </c>
      <c r="J211" s="4">
        <v>6</v>
      </c>
      <c r="K211" s="6">
        <v>41.15</v>
      </c>
    </row>
    <row r="212" spans="1:11" x14ac:dyDescent="0.3">
      <c r="A212" s="7">
        <v>41716</v>
      </c>
      <c r="B212" s="4">
        <f>YEAR(SalesData[[#This Row],[Order Date]])</f>
        <v>2014</v>
      </c>
      <c r="C212" s="4">
        <f>MONTH(SalesData[[#This Row],[Order Date]])</f>
        <v>3</v>
      </c>
      <c r="D212" s="3" t="s">
        <v>336</v>
      </c>
      <c r="E212" s="3" t="s">
        <v>123</v>
      </c>
      <c r="F212" s="3" t="s">
        <v>39</v>
      </c>
      <c r="G212" s="3" t="s">
        <v>302</v>
      </c>
      <c r="H212" s="3" t="s">
        <v>303</v>
      </c>
      <c r="I212" s="6">
        <v>821.3</v>
      </c>
      <c r="J212" s="4">
        <v>4</v>
      </c>
      <c r="K212" s="6">
        <v>-16.43</v>
      </c>
    </row>
    <row r="213" spans="1:11" x14ac:dyDescent="0.3">
      <c r="A213" s="7">
        <v>41716</v>
      </c>
      <c r="B213" s="4">
        <f>YEAR(SalesData[[#This Row],[Order Date]])</f>
        <v>2014</v>
      </c>
      <c r="C213" s="4">
        <f>MONTH(SalesData[[#This Row],[Order Date]])</f>
        <v>3</v>
      </c>
      <c r="D213" s="3" t="s">
        <v>336</v>
      </c>
      <c r="E213" s="3" t="s">
        <v>123</v>
      </c>
      <c r="F213" s="3" t="s">
        <v>39</v>
      </c>
      <c r="G213" s="3" t="s">
        <v>302</v>
      </c>
      <c r="H213" s="3" t="s">
        <v>337</v>
      </c>
      <c r="I213" s="6">
        <v>22638.48</v>
      </c>
      <c r="J213" s="4">
        <v>6</v>
      </c>
      <c r="K213" s="6">
        <v>-1811.08</v>
      </c>
    </row>
    <row r="214" spans="1:11" x14ac:dyDescent="0.3">
      <c r="A214" s="7">
        <v>41716</v>
      </c>
      <c r="B214" s="4">
        <f>YEAR(SalesData[[#This Row],[Order Date]])</f>
        <v>2014</v>
      </c>
      <c r="C214" s="4">
        <f>MONTH(SalesData[[#This Row],[Order Date]])</f>
        <v>3</v>
      </c>
      <c r="D214" s="3" t="s">
        <v>336</v>
      </c>
      <c r="E214" s="3" t="s">
        <v>123</v>
      </c>
      <c r="F214" s="3" t="s">
        <v>11</v>
      </c>
      <c r="G214" s="3" t="s">
        <v>12</v>
      </c>
      <c r="H214" s="3" t="s">
        <v>127</v>
      </c>
      <c r="I214" s="6">
        <v>21.38</v>
      </c>
      <c r="J214" s="4">
        <v>4</v>
      </c>
      <c r="K214" s="6">
        <v>7.48</v>
      </c>
    </row>
    <row r="215" spans="1:11" x14ac:dyDescent="0.3">
      <c r="A215" s="7">
        <v>41716</v>
      </c>
      <c r="B215" s="4">
        <f>YEAR(SalesData[[#This Row],[Order Date]])</f>
        <v>2014</v>
      </c>
      <c r="C215" s="4">
        <f>MONTH(SalesData[[#This Row],[Order Date]])</f>
        <v>3</v>
      </c>
      <c r="D215" s="3" t="s">
        <v>336</v>
      </c>
      <c r="E215" s="3" t="s">
        <v>123</v>
      </c>
      <c r="F215" s="3" t="s">
        <v>11</v>
      </c>
      <c r="G215" s="3" t="s">
        <v>24</v>
      </c>
      <c r="H215" s="3" t="s">
        <v>338</v>
      </c>
      <c r="I215" s="6">
        <v>8.02</v>
      </c>
      <c r="J215" s="4">
        <v>3</v>
      </c>
      <c r="K215" s="6">
        <v>1</v>
      </c>
    </row>
    <row r="216" spans="1:11" x14ac:dyDescent="0.3">
      <c r="A216" s="7">
        <v>41716</v>
      </c>
      <c r="B216" s="4">
        <f>YEAR(SalesData[[#This Row],[Order Date]])</f>
        <v>2014</v>
      </c>
      <c r="C216" s="4">
        <f>MONTH(SalesData[[#This Row],[Order Date]])</f>
        <v>3</v>
      </c>
      <c r="D216" s="3" t="s">
        <v>336</v>
      </c>
      <c r="E216" s="3" t="s">
        <v>123</v>
      </c>
      <c r="F216" s="3" t="s">
        <v>34</v>
      </c>
      <c r="G216" s="3" t="s">
        <v>47</v>
      </c>
      <c r="H216" s="3" t="s">
        <v>339</v>
      </c>
      <c r="I216" s="6">
        <v>30.77</v>
      </c>
      <c r="J216" s="4">
        <v>2</v>
      </c>
      <c r="K216" s="6">
        <v>8.08</v>
      </c>
    </row>
    <row r="217" spans="1:11" x14ac:dyDescent="0.3">
      <c r="A217" s="7">
        <v>41716</v>
      </c>
      <c r="B217" s="4">
        <f>YEAR(SalesData[[#This Row],[Order Date]])</f>
        <v>2014</v>
      </c>
      <c r="C217" s="4">
        <f>MONTH(SalesData[[#This Row],[Order Date]])</f>
        <v>3</v>
      </c>
      <c r="D217" s="3" t="s">
        <v>336</v>
      </c>
      <c r="E217" s="3" t="s">
        <v>123</v>
      </c>
      <c r="F217" s="3" t="s">
        <v>11</v>
      </c>
      <c r="G217" s="3" t="s">
        <v>43</v>
      </c>
      <c r="H217" s="3" t="s">
        <v>160</v>
      </c>
      <c r="I217" s="6">
        <v>18.940000000000001</v>
      </c>
      <c r="J217" s="4">
        <v>3</v>
      </c>
      <c r="K217" s="6">
        <v>5.92</v>
      </c>
    </row>
    <row r="218" spans="1:11" x14ac:dyDescent="0.3">
      <c r="A218" s="7">
        <v>41716</v>
      </c>
      <c r="B218" s="4">
        <f>YEAR(SalesData[[#This Row],[Order Date]])</f>
        <v>2014</v>
      </c>
      <c r="C218" s="4">
        <f>MONTH(SalesData[[#This Row],[Order Date]])</f>
        <v>3</v>
      </c>
      <c r="D218" s="3" t="s">
        <v>336</v>
      </c>
      <c r="E218" s="3" t="s">
        <v>123</v>
      </c>
      <c r="F218" s="3" t="s">
        <v>34</v>
      </c>
      <c r="G218" s="3" t="s">
        <v>47</v>
      </c>
      <c r="H218" s="3" t="s">
        <v>340</v>
      </c>
      <c r="I218" s="6">
        <v>122.35</v>
      </c>
      <c r="J218" s="4">
        <v>3</v>
      </c>
      <c r="K218" s="6">
        <v>15.29</v>
      </c>
    </row>
    <row r="219" spans="1:11" x14ac:dyDescent="0.3">
      <c r="A219" s="7">
        <v>41716</v>
      </c>
      <c r="B219" s="4">
        <f>YEAR(SalesData[[#This Row],[Order Date]])</f>
        <v>2014</v>
      </c>
      <c r="C219" s="4">
        <f>MONTH(SalesData[[#This Row],[Order Date]])</f>
        <v>3</v>
      </c>
      <c r="D219" s="3" t="s">
        <v>341</v>
      </c>
      <c r="E219" s="3" t="s">
        <v>27</v>
      </c>
      <c r="F219" s="3" t="s">
        <v>34</v>
      </c>
      <c r="G219" s="3" t="s">
        <v>74</v>
      </c>
      <c r="H219" s="3" t="s">
        <v>342</v>
      </c>
      <c r="I219" s="6">
        <v>1198.33</v>
      </c>
      <c r="J219" s="4">
        <v>10</v>
      </c>
      <c r="K219" s="6">
        <v>70.489999999999995</v>
      </c>
    </row>
    <row r="220" spans="1:11" x14ac:dyDescent="0.3">
      <c r="A220" s="7">
        <v>41716</v>
      </c>
      <c r="B220" s="4">
        <f>YEAR(SalesData[[#This Row],[Order Date]])</f>
        <v>2014</v>
      </c>
      <c r="C220" s="4">
        <f>MONTH(SalesData[[#This Row],[Order Date]])</f>
        <v>3</v>
      </c>
      <c r="D220" s="3" t="s">
        <v>343</v>
      </c>
      <c r="E220" s="3" t="s">
        <v>27</v>
      </c>
      <c r="F220" s="3" t="s">
        <v>34</v>
      </c>
      <c r="G220" s="3" t="s">
        <v>47</v>
      </c>
      <c r="H220" s="3" t="s">
        <v>344</v>
      </c>
      <c r="I220" s="6">
        <v>111</v>
      </c>
      <c r="J220" s="4">
        <v>2</v>
      </c>
      <c r="K220" s="6">
        <v>14.43</v>
      </c>
    </row>
    <row r="221" spans="1:11" x14ac:dyDescent="0.3">
      <c r="A221" s="7">
        <v>41716</v>
      </c>
      <c r="B221" s="4">
        <f>YEAR(SalesData[[#This Row],[Order Date]])</f>
        <v>2014</v>
      </c>
      <c r="C221" s="4">
        <f>MONTH(SalesData[[#This Row],[Order Date]])</f>
        <v>3</v>
      </c>
      <c r="D221" s="3" t="s">
        <v>343</v>
      </c>
      <c r="E221" s="3" t="s">
        <v>27</v>
      </c>
      <c r="F221" s="3" t="s">
        <v>39</v>
      </c>
      <c r="G221" s="3" t="s">
        <v>302</v>
      </c>
      <c r="H221" s="3" t="s">
        <v>345</v>
      </c>
      <c r="I221" s="6">
        <v>1279.97</v>
      </c>
      <c r="J221" s="4">
        <v>4</v>
      </c>
      <c r="K221" s="6">
        <v>415.99</v>
      </c>
    </row>
    <row r="222" spans="1:11" x14ac:dyDescent="0.3">
      <c r="A222" s="7">
        <v>41716</v>
      </c>
      <c r="B222" s="4">
        <f>YEAR(SalesData[[#This Row],[Order Date]])</f>
        <v>2014</v>
      </c>
      <c r="C222" s="4">
        <f>MONTH(SalesData[[#This Row],[Order Date]])</f>
        <v>3</v>
      </c>
      <c r="D222" s="3" t="s">
        <v>343</v>
      </c>
      <c r="E222" s="3" t="s">
        <v>27</v>
      </c>
      <c r="F222" s="3" t="s">
        <v>11</v>
      </c>
      <c r="G222" s="3" t="s">
        <v>18</v>
      </c>
      <c r="H222" s="3" t="s">
        <v>73</v>
      </c>
      <c r="I222" s="6">
        <v>1856.19</v>
      </c>
      <c r="J222" s="4">
        <v>7</v>
      </c>
      <c r="K222" s="6">
        <v>334.11</v>
      </c>
    </row>
    <row r="223" spans="1:11" x14ac:dyDescent="0.3">
      <c r="A223" s="7">
        <v>41717</v>
      </c>
      <c r="B223" s="4">
        <f>YEAR(SalesData[[#This Row],[Order Date]])</f>
        <v>2014</v>
      </c>
      <c r="C223" s="4">
        <f>MONTH(SalesData[[#This Row],[Order Date]])</f>
        <v>3</v>
      </c>
      <c r="D223" s="3" t="s">
        <v>346</v>
      </c>
      <c r="E223" s="3" t="s">
        <v>123</v>
      </c>
      <c r="F223" s="3" t="s">
        <v>39</v>
      </c>
      <c r="G223" s="3" t="s">
        <v>40</v>
      </c>
      <c r="H223" s="3" t="s">
        <v>347</v>
      </c>
      <c r="I223" s="6">
        <v>323.98</v>
      </c>
      <c r="J223" s="4">
        <v>3</v>
      </c>
      <c r="K223" s="6">
        <v>28.35</v>
      </c>
    </row>
    <row r="224" spans="1:11" x14ac:dyDescent="0.3">
      <c r="A224" s="7">
        <v>41717</v>
      </c>
      <c r="B224" s="4">
        <f>YEAR(SalesData[[#This Row],[Order Date]])</f>
        <v>2014</v>
      </c>
      <c r="C224" s="4">
        <f>MONTH(SalesData[[#This Row],[Order Date]])</f>
        <v>3</v>
      </c>
      <c r="D224" s="3" t="s">
        <v>346</v>
      </c>
      <c r="E224" s="3" t="s">
        <v>123</v>
      </c>
      <c r="F224" s="3" t="s">
        <v>11</v>
      </c>
      <c r="G224" s="3" t="s">
        <v>16</v>
      </c>
      <c r="H224" s="3" t="s">
        <v>348</v>
      </c>
      <c r="I224" s="6">
        <v>11.81</v>
      </c>
      <c r="J224" s="4">
        <v>4</v>
      </c>
      <c r="K224" s="6">
        <v>3.99</v>
      </c>
    </row>
    <row r="225" spans="1:11" x14ac:dyDescent="0.3">
      <c r="A225" s="7">
        <v>41717</v>
      </c>
      <c r="B225" s="4">
        <f>YEAR(SalesData[[#This Row],[Order Date]])</f>
        <v>2014</v>
      </c>
      <c r="C225" s="4">
        <f>MONTH(SalesData[[#This Row],[Order Date]])</f>
        <v>3</v>
      </c>
      <c r="D225" s="3" t="s">
        <v>346</v>
      </c>
      <c r="E225" s="3" t="s">
        <v>123</v>
      </c>
      <c r="F225" s="3" t="s">
        <v>11</v>
      </c>
      <c r="G225" s="3" t="s">
        <v>18</v>
      </c>
      <c r="H225" s="3" t="s">
        <v>349</v>
      </c>
      <c r="I225" s="6">
        <v>26.16</v>
      </c>
      <c r="J225" s="4">
        <v>3</v>
      </c>
      <c r="K225" s="6">
        <v>1.96</v>
      </c>
    </row>
    <row r="226" spans="1:11" x14ac:dyDescent="0.3">
      <c r="A226" s="7">
        <v>41717</v>
      </c>
      <c r="B226" s="4">
        <f>YEAR(SalesData[[#This Row],[Order Date]])</f>
        <v>2014</v>
      </c>
      <c r="C226" s="4">
        <f>MONTH(SalesData[[#This Row],[Order Date]])</f>
        <v>3</v>
      </c>
      <c r="D226" s="3" t="s">
        <v>346</v>
      </c>
      <c r="E226" s="3" t="s">
        <v>123</v>
      </c>
      <c r="F226" s="3" t="s">
        <v>11</v>
      </c>
      <c r="G226" s="3" t="s">
        <v>20</v>
      </c>
      <c r="H226" s="3" t="s">
        <v>175</v>
      </c>
      <c r="I226" s="6">
        <v>33.57</v>
      </c>
      <c r="J226" s="4">
        <v>5</v>
      </c>
      <c r="K226" s="6">
        <v>-25.74</v>
      </c>
    </row>
    <row r="227" spans="1:11" x14ac:dyDescent="0.3">
      <c r="A227" s="7">
        <v>41717</v>
      </c>
      <c r="B227" s="4">
        <f>YEAR(SalesData[[#This Row],[Order Date]])</f>
        <v>2014</v>
      </c>
      <c r="C227" s="4">
        <f>MONTH(SalesData[[#This Row],[Order Date]])</f>
        <v>3</v>
      </c>
      <c r="D227" s="3" t="s">
        <v>346</v>
      </c>
      <c r="E227" s="3" t="s">
        <v>123</v>
      </c>
      <c r="F227" s="3" t="s">
        <v>34</v>
      </c>
      <c r="G227" s="3" t="s">
        <v>47</v>
      </c>
      <c r="H227" s="3" t="s">
        <v>281</v>
      </c>
      <c r="I227" s="6">
        <v>4.99</v>
      </c>
      <c r="J227" s="4">
        <v>3</v>
      </c>
      <c r="K227" s="6">
        <v>1.37</v>
      </c>
    </row>
    <row r="228" spans="1:11" x14ac:dyDescent="0.3">
      <c r="A228" s="7">
        <v>41717</v>
      </c>
      <c r="B228" s="4">
        <f>YEAR(SalesData[[#This Row],[Order Date]])</f>
        <v>2014</v>
      </c>
      <c r="C228" s="4">
        <f>MONTH(SalesData[[#This Row],[Order Date]])</f>
        <v>3</v>
      </c>
      <c r="D228" s="3" t="s">
        <v>346</v>
      </c>
      <c r="E228" s="3" t="s">
        <v>123</v>
      </c>
      <c r="F228" s="3" t="s">
        <v>34</v>
      </c>
      <c r="G228" s="3" t="s">
        <v>47</v>
      </c>
      <c r="H228" s="3" t="s">
        <v>350</v>
      </c>
      <c r="I228" s="6">
        <v>20.02</v>
      </c>
      <c r="J228" s="4">
        <v>3</v>
      </c>
      <c r="K228" s="6">
        <v>5.5</v>
      </c>
    </row>
    <row r="229" spans="1:11" x14ac:dyDescent="0.3">
      <c r="A229" s="7">
        <v>41717</v>
      </c>
      <c r="B229" s="4">
        <f>YEAR(SalesData[[#This Row],[Order Date]])</f>
        <v>2014</v>
      </c>
      <c r="C229" s="4">
        <f>MONTH(SalesData[[#This Row],[Order Date]])</f>
        <v>3</v>
      </c>
      <c r="D229" s="3" t="s">
        <v>346</v>
      </c>
      <c r="E229" s="3" t="s">
        <v>123</v>
      </c>
      <c r="F229" s="3" t="s">
        <v>39</v>
      </c>
      <c r="G229" s="3" t="s">
        <v>52</v>
      </c>
      <c r="H229" s="3" t="s">
        <v>351</v>
      </c>
      <c r="I229" s="6">
        <v>170.24</v>
      </c>
      <c r="J229" s="4">
        <v>2</v>
      </c>
      <c r="K229" s="6">
        <v>53.2</v>
      </c>
    </row>
    <row r="230" spans="1:11" x14ac:dyDescent="0.3">
      <c r="A230" s="7">
        <v>41719</v>
      </c>
      <c r="B230" s="4">
        <f>YEAR(SalesData[[#This Row],[Order Date]])</f>
        <v>2014</v>
      </c>
      <c r="C230" s="4">
        <f>MONTH(SalesData[[#This Row],[Order Date]])</f>
        <v>3</v>
      </c>
      <c r="D230" s="3" t="s">
        <v>352</v>
      </c>
      <c r="E230" s="3" t="s">
        <v>78</v>
      </c>
      <c r="F230" s="3" t="s">
        <v>11</v>
      </c>
      <c r="G230" s="3" t="s">
        <v>24</v>
      </c>
      <c r="H230" s="3" t="s">
        <v>353</v>
      </c>
      <c r="I230" s="6">
        <v>7.41</v>
      </c>
      <c r="J230" s="4">
        <v>2</v>
      </c>
      <c r="K230" s="6">
        <v>1.2</v>
      </c>
    </row>
    <row r="231" spans="1:11" x14ac:dyDescent="0.3">
      <c r="A231" s="7">
        <v>41719</v>
      </c>
      <c r="B231" s="4">
        <f>YEAR(SalesData[[#This Row],[Order Date]])</f>
        <v>2014</v>
      </c>
      <c r="C231" s="4">
        <f>MONTH(SalesData[[#This Row],[Order Date]])</f>
        <v>3</v>
      </c>
      <c r="D231" s="3" t="s">
        <v>352</v>
      </c>
      <c r="E231" s="3" t="s">
        <v>78</v>
      </c>
      <c r="F231" s="3" t="s">
        <v>11</v>
      </c>
      <c r="G231" s="3" t="s">
        <v>24</v>
      </c>
      <c r="H231" s="3" t="s">
        <v>354</v>
      </c>
      <c r="I231" s="6">
        <v>6.05</v>
      </c>
      <c r="J231" s="4">
        <v>3</v>
      </c>
      <c r="K231" s="6">
        <v>1.59</v>
      </c>
    </row>
    <row r="232" spans="1:11" x14ac:dyDescent="0.3">
      <c r="A232" s="7">
        <v>41719</v>
      </c>
      <c r="B232" s="4">
        <f>YEAR(SalesData[[#This Row],[Order Date]])</f>
        <v>2014</v>
      </c>
      <c r="C232" s="4">
        <f>MONTH(SalesData[[#This Row],[Order Date]])</f>
        <v>3</v>
      </c>
      <c r="D232" s="3" t="s">
        <v>355</v>
      </c>
      <c r="E232" s="3" t="s">
        <v>245</v>
      </c>
      <c r="F232" s="3" t="s">
        <v>11</v>
      </c>
      <c r="G232" s="3" t="s">
        <v>18</v>
      </c>
      <c r="H232" s="3" t="s">
        <v>356</v>
      </c>
      <c r="I232" s="6">
        <v>16.27</v>
      </c>
      <c r="J232" s="4">
        <v>1</v>
      </c>
      <c r="K232" s="6">
        <v>-3.86</v>
      </c>
    </row>
    <row r="233" spans="1:11" x14ac:dyDescent="0.3">
      <c r="A233" s="7">
        <v>41719</v>
      </c>
      <c r="B233" s="4">
        <f>YEAR(SalesData[[#This Row],[Order Date]])</f>
        <v>2014</v>
      </c>
      <c r="C233" s="4">
        <f>MONTH(SalesData[[#This Row],[Order Date]])</f>
        <v>3</v>
      </c>
      <c r="D233" s="3" t="s">
        <v>357</v>
      </c>
      <c r="E233" s="3" t="s">
        <v>55</v>
      </c>
      <c r="F233" s="3" t="s">
        <v>39</v>
      </c>
      <c r="G233" s="3" t="s">
        <v>40</v>
      </c>
      <c r="H233" s="3" t="s">
        <v>358</v>
      </c>
      <c r="I233" s="6">
        <v>3499.93</v>
      </c>
      <c r="J233" s="4">
        <v>7</v>
      </c>
      <c r="K233" s="6">
        <v>909.98</v>
      </c>
    </row>
    <row r="234" spans="1:11" x14ac:dyDescent="0.3">
      <c r="A234" s="7">
        <v>41719</v>
      </c>
      <c r="B234" s="4">
        <f>YEAR(SalesData[[#This Row],[Order Date]])</f>
        <v>2014</v>
      </c>
      <c r="C234" s="4">
        <f>MONTH(SalesData[[#This Row],[Order Date]])</f>
        <v>3</v>
      </c>
      <c r="D234" s="3" t="s">
        <v>357</v>
      </c>
      <c r="E234" s="3" t="s">
        <v>55</v>
      </c>
      <c r="F234" s="3" t="s">
        <v>11</v>
      </c>
      <c r="G234" s="3" t="s">
        <v>16</v>
      </c>
      <c r="H234" s="3" t="s">
        <v>359</v>
      </c>
      <c r="I234" s="6">
        <v>14.4</v>
      </c>
      <c r="J234" s="4">
        <v>5</v>
      </c>
      <c r="K234" s="6">
        <v>6.62</v>
      </c>
    </row>
    <row r="235" spans="1:11" x14ac:dyDescent="0.3">
      <c r="A235" s="7">
        <v>41719</v>
      </c>
      <c r="B235" s="4">
        <f>YEAR(SalesData[[#This Row],[Order Date]])</f>
        <v>2014</v>
      </c>
      <c r="C235" s="4">
        <f>MONTH(SalesData[[#This Row],[Order Date]])</f>
        <v>3</v>
      </c>
      <c r="D235" s="3" t="s">
        <v>357</v>
      </c>
      <c r="E235" s="3" t="s">
        <v>55</v>
      </c>
      <c r="F235" s="3" t="s">
        <v>11</v>
      </c>
      <c r="G235" s="3" t="s">
        <v>12</v>
      </c>
      <c r="H235" s="3" t="s">
        <v>360</v>
      </c>
      <c r="I235" s="6">
        <v>122.97</v>
      </c>
      <c r="J235" s="4">
        <v>3</v>
      </c>
      <c r="K235" s="6">
        <v>60.26</v>
      </c>
    </row>
    <row r="236" spans="1:11" x14ac:dyDescent="0.3">
      <c r="A236" s="7">
        <v>41719</v>
      </c>
      <c r="B236" s="4">
        <f>YEAR(SalesData[[#This Row],[Order Date]])</f>
        <v>2014</v>
      </c>
      <c r="C236" s="4">
        <f>MONTH(SalesData[[#This Row],[Order Date]])</f>
        <v>3</v>
      </c>
      <c r="D236" s="3" t="s">
        <v>357</v>
      </c>
      <c r="E236" s="3" t="s">
        <v>55</v>
      </c>
      <c r="F236" s="3" t="s">
        <v>11</v>
      </c>
      <c r="G236" s="3" t="s">
        <v>24</v>
      </c>
      <c r="H236" s="3" t="s">
        <v>361</v>
      </c>
      <c r="I236" s="6">
        <v>9.32</v>
      </c>
      <c r="J236" s="4">
        <v>4</v>
      </c>
      <c r="K236" s="6">
        <v>2.7</v>
      </c>
    </row>
    <row r="237" spans="1:11" x14ac:dyDescent="0.3">
      <c r="A237" s="7">
        <v>41719</v>
      </c>
      <c r="B237" s="4">
        <f>YEAR(SalesData[[#This Row],[Order Date]])</f>
        <v>2014</v>
      </c>
      <c r="C237" s="4">
        <f>MONTH(SalesData[[#This Row],[Order Date]])</f>
        <v>3</v>
      </c>
      <c r="D237" s="3" t="s">
        <v>357</v>
      </c>
      <c r="E237" s="3" t="s">
        <v>55</v>
      </c>
      <c r="F237" s="3" t="s">
        <v>11</v>
      </c>
      <c r="G237" s="3" t="s">
        <v>20</v>
      </c>
      <c r="H237" s="3" t="s">
        <v>362</v>
      </c>
      <c r="I237" s="6">
        <v>122.94</v>
      </c>
      <c r="J237" s="4">
        <v>3</v>
      </c>
      <c r="K237" s="6">
        <v>59.01</v>
      </c>
    </row>
    <row r="238" spans="1:11" x14ac:dyDescent="0.3">
      <c r="A238" s="7">
        <v>41719</v>
      </c>
      <c r="B238" s="4">
        <f>YEAR(SalesData[[#This Row],[Order Date]])</f>
        <v>2014</v>
      </c>
      <c r="C238" s="4">
        <f>MONTH(SalesData[[#This Row],[Order Date]])</f>
        <v>3</v>
      </c>
      <c r="D238" s="3" t="s">
        <v>363</v>
      </c>
      <c r="E238" s="3" t="s">
        <v>120</v>
      </c>
      <c r="F238" s="3" t="s">
        <v>11</v>
      </c>
      <c r="G238" s="3" t="s">
        <v>16</v>
      </c>
      <c r="H238" s="3" t="s">
        <v>364</v>
      </c>
      <c r="I238" s="6">
        <v>59.2</v>
      </c>
      <c r="J238" s="4">
        <v>5</v>
      </c>
      <c r="K238" s="6">
        <v>22.2</v>
      </c>
    </row>
    <row r="239" spans="1:11" x14ac:dyDescent="0.3">
      <c r="A239" s="7">
        <v>41719</v>
      </c>
      <c r="B239" s="4">
        <f>YEAR(SalesData[[#This Row],[Order Date]])</f>
        <v>2014</v>
      </c>
      <c r="C239" s="4">
        <f>MONTH(SalesData[[#This Row],[Order Date]])</f>
        <v>3</v>
      </c>
      <c r="D239" s="3" t="s">
        <v>363</v>
      </c>
      <c r="E239" s="3" t="s">
        <v>120</v>
      </c>
      <c r="F239" s="3" t="s">
        <v>34</v>
      </c>
      <c r="G239" s="3" t="s">
        <v>47</v>
      </c>
      <c r="H239" s="3" t="s">
        <v>365</v>
      </c>
      <c r="I239" s="6">
        <v>32.950000000000003</v>
      </c>
      <c r="J239" s="4">
        <v>3</v>
      </c>
      <c r="K239" s="6">
        <v>6.59</v>
      </c>
    </row>
    <row r="240" spans="1:11" x14ac:dyDescent="0.3">
      <c r="A240" s="7">
        <v>41719</v>
      </c>
      <c r="B240" s="4">
        <f>YEAR(SalesData[[#This Row],[Order Date]])</f>
        <v>2014</v>
      </c>
      <c r="C240" s="4">
        <f>MONTH(SalesData[[#This Row],[Order Date]])</f>
        <v>3</v>
      </c>
      <c r="D240" s="3" t="s">
        <v>363</v>
      </c>
      <c r="E240" s="3" t="s">
        <v>120</v>
      </c>
      <c r="F240" s="3" t="s">
        <v>34</v>
      </c>
      <c r="G240" s="3" t="s">
        <v>35</v>
      </c>
      <c r="H240" s="3" t="s">
        <v>71</v>
      </c>
      <c r="I240" s="6">
        <v>218.38</v>
      </c>
      <c r="J240" s="4">
        <v>3</v>
      </c>
      <c r="K240" s="6">
        <v>-10.92</v>
      </c>
    </row>
    <row r="241" spans="1:11" x14ac:dyDescent="0.3">
      <c r="A241" s="7">
        <v>41720</v>
      </c>
      <c r="B241" s="4">
        <f>YEAR(SalesData[[#This Row],[Order Date]])</f>
        <v>2014</v>
      </c>
      <c r="C241" s="4">
        <f>MONTH(SalesData[[#This Row],[Order Date]])</f>
        <v>3</v>
      </c>
      <c r="D241" s="3" t="s">
        <v>366</v>
      </c>
      <c r="E241" s="3" t="s">
        <v>245</v>
      </c>
      <c r="F241" s="3" t="s">
        <v>11</v>
      </c>
      <c r="G241" s="3" t="s">
        <v>20</v>
      </c>
      <c r="H241" s="3" t="s">
        <v>367</v>
      </c>
      <c r="I241" s="6">
        <v>7.64</v>
      </c>
      <c r="J241" s="4">
        <v>4</v>
      </c>
      <c r="K241" s="6">
        <v>-5.86</v>
      </c>
    </row>
    <row r="242" spans="1:11" x14ac:dyDescent="0.3">
      <c r="A242" s="7">
        <v>41720</v>
      </c>
      <c r="B242" s="4">
        <f>YEAR(SalesData[[#This Row],[Order Date]])</f>
        <v>2014</v>
      </c>
      <c r="C242" s="4">
        <f>MONTH(SalesData[[#This Row],[Order Date]])</f>
        <v>3</v>
      </c>
      <c r="D242" s="3" t="s">
        <v>366</v>
      </c>
      <c r="E242" s="3" t="s">
        <v>245</v>
      </c>
      <c r="F242" s="3" t="s">
        <v>11</v>
      </c>
      <c r="G242" s="3" t="s">
        <v>20</v>
      </c>
      <c r="H242" s="3" t="s">
        <v>368</v>
      </c>
      <c r="I242" s="6">
        <v>51.47</v>
      </c>
      <c r="J242" s="4">
        <v>5</v>
      </c>
      <c r="K242" s="6">
        <v>-39.46</v>
      </c>
    </row>
    <row r="243" spans="1:11" x14ac:dyDescent="0.3">
      <c r="A243" s="7">
        <v>41720</v>
      </c>
      <c r="B243" s="4">
        <f>YEAR(SalesData[[#This Row],[Order Date]])</f>
        <v>2014</v>
      </c>
      <c r="C243" s="4">
        <f>MONTH(SalesData[[#This Row],[Order Date]])</f>
        <v>3</v>
      </c>
      <c r="D243" s="3" t="s">
        <v>369</v>
      </c>
      <c r="E243" s="3" t="s">
        <v>95</v>
      </c>
      <c r="F243" s="3" t="s">
        <v>11</v>
      </c>
      <c r="G243" s="3" t="s">
        <v>12</v>
      </c>
      <c r="H243" s="3" t="s">
        <v>370</v>
      </c>
      <c r="I243" s="6">
        <v>74.349999999999994</v>
      </c>
      <c r="J243" s="4">
        <v>3</v>
      </c>
      <c r="K243" s="6">
        <v>23.24</v>
      </c>
    </row>
    <row r="244" spans="1:11" x14ac:dyDescent="0.3">
      <c r="A244" s="7">
        <v>41720</v>
      </c>
      <c r="B244" s="4">
        <f>YEAR(SalesData[[#This Row],[Order Date]])</f>
        <v>2014</v>
      </c>
      <c r="C244" s="4">
        <f>MONTH(SalesData[[#This Row],[Order Date]])</f>
        <v>3</v>
      </c>
      <c r="D244" s="3" t="s">
        <v>369</v>
      </c>
      <c r="E244" s="3" t="s">
        <v>95</v>
      </c>
      <c r="F244" s="3" t="s">
        <v>34</v>
      </c>
      <c r="G244" s="3" t="s">
        <v>35</v>
      </c>
      <c r="H244" s="3" t="s">
        <v>371</v>
      </c>
      <c r="I244" s="6">
        <v>314.35000000000002</v>
      </c>
      <c r="J244" s="4">
        <v>3</v>
      </c>
      <c r="K244" s="6">
        <v>-35.36</v>
      </c>
    </row>
    <row r="245" spans="1:11" x14ac:dyDescent="0.3">
      <c r="A245" s="7">
        <v>41720</v>
      </c>
      <c r="B245" s="4">
        <f>YEAR(SalesData[[#This Row],[Order Date]])</f>
        <v>2014</v>
      </c>
      <c r="C245" s="4">
        <f>MONTH(SalesData[[#This Row],[Order Date]])</f>
        <v>3</v>
      </c>
      <c r="D245" s="3" t="s">
        <v>372</v>
      </c>
      <c r="E245" s="3" t="s">
        <v>129</v>
      </c>
      <c r="F245" s="3" t="s">
        <v>11</v>
      </c>
      <c r="G245" s="3" t="s">
        <v>24</v>
      </c>
      <c r="H245" s="3" t="s">
        <v>25</v>
      </c>
      <c r="I245" s="6">
        <v>16.28</v>
      </c>
      <c r="J245" s="4">
        <v>2</v>
      </c>
      <c r="K245" s="6">
        <v>6.51</v>
      </c>
    </row>
    <row r="246" spans="1:11" x14ac:dyDescent="0.3">
      <c r="A246" s="7">
        <v>41721</v>
      </c>
      <c r="B246" s="4">
        <f>YEAR(SalesData[[#This Row],[Order Date]])</f>
        <v>2014</v>
      </c>
      <c r="C246" s="4">
        <f>MONTH(SalesData[[#This Row],[Order Date]])</f>
        <v>3</v>
      </c>
      <c r="D246" s="3" t="s">
        <v>373</v>
      </c>
      <c r="E246" s="3" t="s">
        <v>27</v>
      </c>
      <c r="F246" s="3" t="s">
        <v>11</v>
      </c>
      <c r="G246" s="3" t="s">
        <v>18</v>
      </c>
      <c r="H246" s="3" t="s">
        <v>374</v>
      </c>
      <c r="I246" s="6">
        <v>330.4</v>
      </c>
      <c r="J246" s="4">
        <v>2</v>
      </c>
      <c r="K246" s="6">
        <v>85.9</v>
      </c>
    </row>
    <row r="247" spans="1:11" x14ac:dyDescent="0.3">
      <c r="A247" s="7">
        <v>41721</v>
      </c>
      <c r="B247" s="4">
        <f>YEAR(SalesData[[#This Row],[Order Date]])</f>
        <v>2014</v>
      </c>
      <c r="C247" s="4">
        <f>MONTH(SalesData[[#This Row],[Order Date]])</f>
        <v>3</v>
      </c>
      <c r="D247" s="3" t="s">
        <v>373</v>
      </c>
      <c r="E247" s="3" t="s">
        <v>27</v>
      </c>
      <c r="F247" s="3" t="s">
        <v>39</v>
      </c>
      <c r="G247" s="3" t="s">
        <v>40</v>
      </c>
      <c r="H247" s="3" t="s">
        <v>375</v>
      </c>
      <c r="I247" s="6">
        <v>604.75</v>
      </c>
      <c r="J247" s="4">
        <v>6</v>
      </c>
      <c r="K247" s="6">
        <v>37.799999999999997</v>
      </c>
    </row>
    <row r="248" spans="1:11" x14ac:dyDescent="0.3">
      <c r="A248" s="7">
        <v>41721</v>
      </c>
      <c r="B248" s="4">
        <f>YEAR(SalesData[[#This Row],[Order Date]])</f>
        <v>2014</v>
      </c>
      <c r="C248" s="4">
        <f>MONTH(SalesData[[#This Row],[Order Date]])</f>
        <v>3</v>
      </c>
      <c r="D248" s="3" t="s">
        <v>376</v>
      </c>
      <c r="E248" s="3" t="s">
        <v>123</v>
      </c>
      <c r="F248" s="3" t="s">
        <v>11</v>
      </c>
      <c r="G248" s="3" t="s">
        <v>16</v>
      </c>
      <c r="H248" s="3" t="s">
        <v>377</v>
      </c>
      <c r="I248" s="6">
        <v>9.91</v>
      </c>
      <c r="J248" s="4">
        <v>3</v>
      </c>
      <c r="K248" s="6">
        <v>3.22</v>
      </c>
    </row>
    <row r="249" spans="1:11" x14ac:dyDescent="0.3">
      <c r="A249" s="7">
        <v>41722</v>
      </c>
      <c r="B249" s="4">
        <f>YEAR(SalesData[[#This Row],[Order Date]])</f>
        <v>2014</v>
      </c>
      <c r="C249" s="4">
        <f>MONTH(SalesData[[#This Row],[Order Date]])</f>
        <v>3</v>
      </c>
      <c r="D249" s="3" t="s">
        <v>378</v>
      </c>
      <c r="E249" s="3" t="s">
        <v>149</v>
      </c>
      <c r="F249" s="3" t="s">
        <v>11</v>
      </c>
      <c r="G249" s="3" t="s">
        <v>12</v>
      </c>
      <c r="H249" s="3" t="s">
        <v>379</v>
      </c>
      <c r="I249" s="6">
        <v>24.9</v>
      </c>
      <c r="J249" s="4">
        <v>5</v>
      </c>
      <c r="K249" s="6">
        <v>11.7</v>
      </c>
    </row>
    <row r="250" spans="1:11" x14ac:dyDescent="0.3">
      <c r="A250" s="7">
        <v>41722</v>
      </c>
      <c r="B250" s="4">
        <f>YEAR(SalesData[[#This Row],[Order Date]])</f>
        <v>2014</v>
      </c>
      <c r="C250" s="4">
        <f>MONTH(SalesData[[#This Row],[Order Date]])</f>
        <v>3</v>
      </c>
      <c r="D250" s="3" t="s">
        <v>380</v>
      </c>
      <c r="E250" s="3" t="s">
        <v>27</v>
      </c>
      <c r="F250" s="3" t="s">
        <v>34</v>
      </c>
      <c r="G250" s="3" t="s">
        <v>47</v>
      </c>
      <c r="H250" s="3" t="s">
        <v>381</v>
      </c>
      <c r="I250" s="6">
        <v>40.479999999999997</v>
      </c>
      <c r="J250" s="4">
        <v>2</v>
      </c>
      <c r="K250" s="6">
        <v>14.57</v>
      </c>
    </row>
    <row r="251" spans="1:11" x14ac:dyDescent="0.3">
      <c r="A251" s="7">
        <v>41723</v>
      </c>
      <c r="B251" s="4">
        <f>YEAR(SalesData[[#This Row],[Order Date]])</f>
        <v>2014</v>
      </c>
      <c r="C251" s="4">
        <f>MONTH(SalesData[[#This Row],[Order Date]])</f>
        <v>3</v>
      </c>
      <c r="D251" s="3" t="s">
        <v>325</v>
      </c>
      <c r="E251" s="3" t="s">
        <v>149</v>
      </c>
      <c r="F251" s="3" t="s">
        <v>34</v>
      </c>
      <c r="G251" s="3" t="s">
        <v>35</v>
      </c>
      <c r="H251" s="3" t="s">
        <v>382</v>
      </c>
      <c r="I251" s="6">
        <v>366.79</v>
      </c>
      <c r="J251" s="4">
        <v>7</v>
      </c>
      <c r="K251" s="6">
        <v>65.209999999999994</v>
      </c>
    </row>
    <row r="252" spans="1:11" x14ac:dyDescent="0.3">
      <c r="A252" s="7">
        <v>41723</v>
      </c>
      <c r="B252" s="4">
        <f>YEAR(SalesData[[#This Row],[Order Date]])</f>
        <v>2014</v>
      </c>
      <c r="C252" s="4">
        <f>MONTH(SalesData[[#This Row],[Order Date]])</f>
        <v>3</v>
      </c>
      <c r="D252" s="3" t="s">
        <v>383</v>
      </c>
      <c r="E252" s="3" t="s">
        <v>27</v>
      </c>
      <c r="F252" s="3" t="s">
        <v>11</v>
      </c>
      <c r="G252" s="3" t="s">
        <v>24</v>
      </c>
      <c r="H252" s="3" t="s">
        <v>317</v>
      </c>
      <c r="I252" s="6">
        <v>6.56</v>
      </c>
      <c r="J252" s="4">
        <v>2</v>
      </c>
      <c r="K252" s="6">
        <v>1.9</v>
      </c>
    </row>
    <row r="253" spans="1:11" x14ac:dyDescent="0.3">
      <c r="A253" s="7">
        <v>41723</v>
      </c>
      <c r="B253" s="4">
        <f>YEAR(SalesData[[#This Row],[Order Date]])</f>
        <v>2014</v>
      </c>
      <c r="C253" s="4">
        <f>MONTH(SalesData[[#This Row],[Order Date]])</f>
        <v>3</v>
      </c>
      <c r="D253" s="3" t="s">
        <v>383</v>
      </c>
      <c r="E253" s="3" t="s">
        <v>27</v>
      </c>
      <c r="F253" s="3" t="s">
        <v>11</v>
      </c>
      <c r="G253" s="3" t="s">
        <v>24</v>
      </c>
      <c r="H253" s="3" t="s">
        <v>384</v>
      </c>
      <c r="I253" s="6">
        <v>14.88</v>
      </c>
      <c r="J253" s="4">
        <v>2</v>
      </c>
      <c r="K253" s="6">
        <v>3.72</v>
      </c>
    </row>
    <row r="254" spans="1:11" x14ac:dyDescent="0.3">
      <c r="A254" s="7">
        <v>41723</v>
      </c>
      <c r="B254" s="4">
        <f>YEAR(SalesData[[#This Row],[Order Date]])</f>
        <v>2014</v>
      </c>
      <c r="C254" s="4">
        <f>MONTH(SalesData[[#This Row],[Order Date]])</f>
        <v>3</v>
      </c>
      <c r="D254" s="3" t="s">
        <v>383</v>
      </c>
      <c r="E254" s="3" t="s">
        <v>27</v>
      </c>
      <c r="F254" s="3" t="s">
        <v>39</v>
      </c>
      <c r="G254" s="3" t="s">
        <v>52</v>
      </c>
      <c r="H254" s="3" t="s">
        <v>385</v>
      </c>
      <c r="I254" s="6">
        <v>45.48</v>
      </c>
      <c r="J254" s="4">
        <v>4</v>
      </c>
      <c r="K254" s="6">
        <v>15.92</v>
      </c>
    </row>
    <row r="255" spans="1:11" x14ac:dyDescent="0.3">
      <c r="A255" s="7">
        <v>41723</v>
      </c>
      <c r="B255" s="4">
        <f>YEAR(SalesData[[#This Row],[Order Date]])</f>
        <v>2014</v>
      </c>
      <c r="C255" s="4">
        <f>MONTH(SalesData[[#This Row],[Order Date]])</f>
        <v>3</v>
      </c>
      <c r="D255" s="3" t="s">
        <v>383</v>
      </c>
      <c r="E255" s="3" t="s">
        <v>27</v>
      </c>
      <c r="F255" s="3" t="s">
        <v>11</v>
      </c>
      <c r="G255" s="3" t="s">
        <v>24</v>
      </c>
      <c r="H255" s="3" t="s">
        <v>386</v>
      </c>
      <c r="I255" s="6">
        <v>25.44</v>
      </c>
      <c r="J255" s="4">
        <v>6</v>
      </c>
      <c r="K255" s="6">
        <v>9.92</v>
      </c>
    </row>
    <row r="256" spans="1:11" x14ac:dyDescent="0.3">
      <c r="A256" s="7">
        <v>41724</v>
      </c>
      <c r="B256" s="4">
        <f>YEAR(SalesData[[#This Row],[Order Date]])</f>
        <v>2014</v>
      </c>
      <c r="C256" s="4">
        <f>MONTH(SalesData[[#This Row],[Order Date]])</f>
        <v>3</v>
      </c>
      <c r="D256" s="3" t="s">
        <v>387</v>
      </c>
      <c r="E256" s="3" t="s">
        <v>27</v>
      </c>
      <c r="F256" s="3" t="s">
        <v>39</v>
      </c>
      <c r="G256" s="3" t="s">
        <v>52</v>
      </c>
      <c r="H256" s="3" t="s">
        <v>388</v>
      </c>
      <c r="I256" s="6">
        <v>66.3</v>
      </c>
      <c r="J256" s="4">
        <v>3</v>
      </c>
      <c r="K256" s="6">
        <v>8.6199999999999992</v>
      </c>
    </row>
    <row r="257" spans="1:11" x14ac:dyDescent="0.3">
      <c r="A257" s="7">
        <v>41724</v>
      </c>
      <c r="B257" s="4">
        <f>YEAR(SalesData[[#This Row],[Order Date]])</f>
        <v>2014</v>
      </c>
      <c r="C257" s="4">
        <f>MONTH(SalesData[[#This Row],[Order Date]])</f>
        <v>3</v>
      </c>
      <c r="D257" s="3" t="s">
        <v>389</v>
      </c>
      <c r="E257" s="3" t="s">
        <v>27</v>
      </c>
      <c r="F257" s="3" t="s">
        <v>11</v>
      </c>
      <c r="G257" s="3" t="s">
        <v>24</v>
      </c>
      <c r="H257" s="3" t="s">
        <v>390</v>
      </c>
      <c r="I257" s="6">
        <v>3.36</v>
      </c>
      <c r="J257" s="4">
        <v>2</v>
      </c>
      <c r="K257" s="6">
        <v>0.84</v>
      </c>
    </row>
    <row r="258" spans="1:11" x14ac:dyDescent="0.3">
      <c r="A258" s="7">
        <v>41724</v>
      </c>
      <c r="B258" s="4">
        <f>YEAR(SalesData[[#This Row],[Order Date]])</f>
        <v>2014</v>
      </c>
      <c r="C258" s="4">
        <f>MONTH(SalesData[[#This Row],[Order Date]])</f>
        <v>3</v>
      </c>
      <c r="D258" s="3" t="s">
        <v>389</v>
      </c>
      <c r="E258" s="3" t="s">
        <v>27</v>
      </c>
      <c r="F258" s="3" t="s">
        <v>11</v>
      </c>
      <c r="G258" s="3" t="s">
        <v>20</v>
      </c>
      <c r="H258" s="3" t="s">
        <v>184</v>
      </c>
      <c r="I258" s="6">
        <v>27.94</v>
      </c>
      <c r="J258" s="4">
        <v>4</v>
      </c>
      <c r="K258" s="6">
        <v>9.43</v>
      </c>
    </row>
    <row r="259" spans="1:11" x14ac:dyDescent="0.3">
      <c r="A259" s="7">
        <v>41724</v>
      </c>
      <c r="B259" s="4">
        <f>YEAR(SalesData[[#This Row],[Order Date]])</f>
        <v>2014</v>
      </c>
      <c r="C259" s="4">
        <f>MONTH(SalesData[[#This Row],[Order Date]])</f>
        <v>3</v>
      </c>
      <c r="D259" s="3" t="s">
        <v>389</v>
      </c>
      <c r="E259" s="3" t="s">
        <v>27</v>
      </c>
      <c r="F259" s="3" t="s">
        <v>39</v>
      </c>
      <c r="G259" s="3" t="s">
        <v>40</v>
      </c>
      <c r="H259" s="3" t="s">
        <v>391</v>
      </c>
      <c r="I259" s="6">
        <v>28.78</v>
      </c>
      <c r="J259" s="4">
        <v>2</v>
      </c>
      <c r="K259" s="6">
        <v>2.88</v>
      </c>
    </row>
    <row r="260" spans="1:11" x14ac:dyDescent="0.3">
      <c r="A260" s="7">
        <v>41724</v>
      </c>
      <c r="B260" s="4">
        <f>YEAR(SalesData[[#This Row],[Order Date]])</f>
        <v>2014</v>
      </c>
      <c r="C260" s="4">
        <f>MONTH(SalesData[[#This Row],[Order Date]])</f>
        <v>3</v>
      </c>
      <c r="D260" s="3" t="s">
        <v>392</v>
      </c>
      <c r="E260" s="3" t="s">
        <v>27</v>
      </c>
      <c r="F260" s="3" t="s">
        <v>11</v>
      </c>
      <c r="G260" s="3" t="s">
        <v>16</v>
      </c>
      <c r="H260" s="3" t="s">
        <v>393</v>
      </c>
      <c r="I260" s="6">
        <v>18.75</v>
      </c>
      <c r="J260" s="4">
        <v>5</v>
      </c>
      <c r="K260" s="6">
        <v>9</v>
      </c>
    </row>
    <row r="261" spans="1:11" x14ac:dyDescent="0.3">
      <c r="A261" s="7">
        <v>41726</v>
      </c>
      <c r="B261" s="4">
        <f>YEAR(SalesData[[#This Row],[Order Date]])</f>
        <v>2014</v>
      </c>
      <c r="C261" s="4">
        <f>MONTH(SalesData[[#This Row],[Order Date]])</f>
        <v>3</v>
      </c>
      <c r="D261" s="3" t="s">
        <v>394</v>
      </c>
      <c r="E261" s="3" t="s">
        <v>395</v>
      </c>
      <c r="F261" s="3" t="s">
        <v>11</v>
      </c>
      <c r="G261" s="3" t="s">
        <v>63</v>
      </c>
      <c r="H261" s="3" t="s">
        <v>396</v>
      </c>
      <c r="I261" s="6">
        <v>6.12</v>
      </c>
      <c r="J261" s="4">
        <v>3</v>
      </c>
      <c r="K261" s="6">
        <v>2.88</v>
      </c>
    </row>
    <row r="262" spans="1:11" x14ac:dyDescent="0.3">
      <c r="A262" s="7">
        <v>41726</v>
      </c>
      <c r="B262" s="4">
        <f>YEAR(SalesData[[#This Row],[Order Date]])</f>
        <v>2014</v>
      </c>
      <c r="C262" s="4">
        <f>MONTH(SalesData[[#This Row],[Order Date]])</f>
        <v>3</v>
      </c>
      <c r="D262" s="3" t="s">
        <v>394</v>
      </c>
      <c r="E262" s="3" t="s">
        <v>395</v>
      </c>
      <c r="F262" s="3" t="s">
        <v>34</v>
      </c>
      <c r="G262" s="3" t="s">
        <v>145</v>
      </c>
      <c r="H262" s="3" t="s">
        <v>397</v>
      </c>
      <c r="I262" s="6">
        <v>1184.72</v>
      </c>
      <c r="J262" s="4">
        <v>4</v>
      </c>
      <c r="K262" s="6">
        <v>106.62</v>
      </c>
    </row>
    <row r="263" spans="1:11" x14ac:dyDescent="0.3">
      <c r="A263" s="7">
        <v>41726</v>
      </c>
      <c r="B263" s="4">
        <f>YEAR(SalesData[[#This Row],[Order Date]])</f>
        <v>2014</v>
      </c>
      <c r="C263" s="4">
        <f>MONTH(SalesData[[#This Row],[Order Date]])</f>
        <v>3</v>
      </c>
      <c r="D263" s="3" t="s">
        <v>398</v>
      </c>
      <c r="E263" s="3" t="s">
        <v>399</v>
      </c>
      <c r="F263" s="3" t="s">
        <v>39</v>
      </c>
      <c r="G263" s="3" t="s">
        <v>40</v>
      </c>
      <c r="H263" s="3" t="s">
        <v>400</v>
      </c>
      <c r="I263" s="6">
        <v>302.38</v>
      </c>
      <c r="J263" s="4">
        <v>3</v>
      </c>
      <c r="K263" s="6">
        <v>22.68</v>
      </c>
    </row>
    <row r="264" spans="1:11" x14ac:dyDescent="0.3">
      <c r="A264" s="7">
        <v>41726</v>
      </c>
      <c r="B264" s="4">
        <f>YEAR(SalesData[[#This Row],[Order Date]])</f>
        <v>2014</v>
      </c>
      <c r="C264" s="4">
        <f>MONTH(SalesData[[#This Row],[Order Date]])</f>
        <v>3</v>
      </c>
      <c r="D264" s="3" t="s">
        <v>401</v>
      </c>
      <c r="E264" s="3" t="s">
        <v>78</v>
      </c>
      <c r="F264" s="3" t="s">
        <v>34</v>
      </c>
      <c r="G264" s="3" t="s">
        <v>145</v>
      </c>
      <c r="H264" s="3" t="s">
        <v>402</v>
      </c>
      <c r="I264" s="6">
        <v>330.59</v>
      </c>
      <c r="J264" s="4">
        <v>1</v>
      </c>
      <c r="K264" s="6">
        <v>-143.25</v>
      </c>
    </row>
    <row r="265" spans="1:11" x14ac:dyDescent="0.3">
      <c r="A265" s="7">
        <v>41727</v>
      </c>
      <c r="B265" s="4">
        <f>YEAR(SalesData[[#This Row],[Order Date]])</f>
        <v>2014</v>
      </c>
      <c r="C265" s="4">
        <f>MONTH(SalesData[[#This Row],[Order Date]])</f>
        <v>3</v>
      </c>
      <c r="D265" s="3" t="s">
        <v>403</v>
      </c>
      <c r="E265" s="3" t="s">
        <v>10</v>
      </c>
      <c r="F265" s="3" t="s">
        <v>34</v>
      </c>
      <c r="G265" s="3" t="s">
        <v>145</v>
      </c>
      <c r="H265" s="3" t="s">
        <v>404</v>
      </c>
      <c r="I265" s="6">
        <v>890.84</v>
      </c>
      <c r="J265" s="4">
        <v>3</v>
      </c>
      <c r="K265" s="6">
        <v>-152.72</v>
      </c>
    </row>
    <row r="266" spans="1:11" x14ac:dyDescent="0.3">
      <c r="A266" s="7">
        <v>41728</v>
      </c>
      <c r="B266" s="4">
        <f>YEAR(SalesData[[#This Row],[Order Date]])</f>
        <v>2014</v>
      </c>
      <c r="C266" s="4">
        <f>MONTH(SalesData[[#This Row],[Order Date]])</f>
        <v>3</v>
      </c>
      <c r="D266" s="3" t="s">
        <v>405</v>
      </c>
      <c r="E266" s="3" t="s">
        <v>149</v>
      </c>
      <c r="F266" s="3" t="s">
        <v>11</v>
      </c>
      <c r="G266" s="3" t="s">
        <v>24</v>
      </c>
      <c r="H266" s="3" t="s">
        <v>406</v>
      </c>
      <c r="I266" s="6">
        <v>49.65</v>
      </c>
      <c r="J266" s="4">
        <v>5</v>
      </c>
      <c r="K266" s="6">
        <v>20.85</v>
      </c>
    </row>
    <row r="267" spans="1:11" x14ac:dyDescent="0.3">
      <c r="A267" s="7">
        <v>41728</v>
      </c>
      <c r="B267" s="4">
        <f>YEAR(SalesData[[#This Row],[Order Date]])</f>
        <v>2014</v>
      </c>
      <c r="C267" s="4">
        <f>MONTH(SalesData[[#This Row],[Order Date]])</f>
        <v>3</v>
      </c>
      <c r="D267" s="3" t="s">
        <v>407</v>
      </c>
      <c r="E267" s="3" t="s">
        <v>164</v>
      </c>
      <c r="F267" s="3" t="s">
        <v>11</v>
      </c>
      <c r="G267" s="3" t="s">
        <v>18</v>
      </c>
      <c r="H267" s="3" t="s">
        <v>408</v>
      </c>
      <c r="I267" s="6">
        <v>15.84</v>
      </c>
      <c r="J267" s="4">
        <v>3</v>
      </c>
      <c r="K267" s="6">
        <v>0</v>
      </c>
    </row>
    <row r="268" spans="1:11" x14ac:dyDescent="0.3">
      <c r="A268" s="7">
        <v>41728</v>
      </c>
      <c r="B268" s="4">
        <f>YEAR(SalesData[[#This Row],[Order Date]])</f>
        <v>2014</v>
      </c>
      <c r="C268" s="4">
        <f>MONTH(SalesData[[#This Row],[Order Date]])</f>
        <v>3</v>
      </c>
      <c r="D268" s="3" t="s">
        <v>407</v>
      </c>
      <c r="E268" s="3" t="s">
        <v>164</v>
      </c>
      <c r="F268" s="3" t="s">
        <v>11</v>
      </c>
      <c r="G268" s="3" t="s">
        <v>16</v>
      </c>
      <c r="H268" s="3" t="s">
        <v>409</v>
      </c>
      <c r="I268" s="6">
        <v>44.4</v>
      </c>
      <c r="J268" s="4">
        <v>3</v>
      </c>
      <c r="K268" s="6">
        <v>22.2</v>
      </c>
    </row>
    <row r="269" spans="1:11" x14ac:dyDescent="0.3">
      <c r="A269" s="7">
        <v>41728</v>
      </c>
      <c r="B269" s="4">
        <f>YEAR(SalesData[[#This Row],[Order Date]])</f>
        <v>2014</v>
      </c>
      <c r="C269" s="4">
        <f>MONTH(SalesData[[#This Row],[Order Date]])</f>
        <v>3</v>
      </c>
      <c r="D269" s="3" t="s">
        <v>410</v>
      </c>
      <c r="E269" s="3" t="s">
        <v>149</v>
      </c>
      <c r="F269" s="3" t="s">
        <v>11</v>
      </c>
      <c r="G269" s="3" t="s">
        <v>24</v>
      </c>
      <c r="H269" s="3" t="s">
        <v>411</v>
      </c>
      <c r="I269" s="6">
        <v>10.5</v>
      </c>
      <c r="J269" s="4">
        <v>5</v>
      </c>
      <c r="K269" s="6">
        <v>2.94</v>
      </c>
    </row>
    <row r="270" spans="1:11" x14ac:dyDescent="0.3">
      <c r="A270" s="7">
        <v>41728</v>
      </c>
      <c r="B270" s="4">
        <f>YEAR(SalesData[[#This Row],[Order Date]])</f>
        <v>2014</v>
      </c>
      <c r="C270" s="4">
        <f>MONTH(SalesData[[#This Row],[Order Date]])</f>
        <v>3</v>
      </c>
      <c r="D270" s="3" t="s">
        <v>185</v>
      </c>
      <c r="E270" s="3" t="s">
        <v>27</v>
      </c>
      <c r="F270" s="3" t="s">
        <v>34</v>
      </c>
      <c r="G270" s="3" t="s">
        <v>74</v>
      </c>
      <c r="H270" s="3" t="s">
        <v>412</v>
      </c>
      <c r="I270" s="6">
        <v>205.67</v>
      </c>
      <c r="J270" s="4">
        <v>2</v>
      </c>
      <c r="K270" s="6">
        <v>-12.1</v>
      </c>
    </row>
    <row r="271" spans="1:11" x14ac:dyDescent="0.3">
      <c r="A271" s="7">
        <v>41728</v>
      </c>
      <c r="B271" s="4">
        <f>YEAR(SalesData[[#This Row],[Order Date]])</f>
        <v>2014</v>
      </c>
      <c r="C271" s="4">
        <f>MONTH(SalesData[[#This Row],[Order Date]])</f>
        <v>3</v>
      </c>
      <c r="D271" s="3" t="s">
        <v>413</v>
      </c>
      <c r="E271" s="3" t="s">
        <v>10</v>
      </c>
      <c r="F271" s="3" t="s">
        <v>11</v>
      </c>
      <c r="G271" s="3" t="s">
        <v>63</v>
      </c>
      <c r="H271" s="3" t="s">
        <v>414</v>
      </c>
      <c r="I271" s="6">
        <v>335.72</v>
      </c>
      <c r="J271" s="4">
        <v>5</v>
      </c>
      <c r="K271" s="6">
        <v>113.31</v>
      </c>
    </row>
    <row r="272" spans="1:11" x14ac:dyDescent="0.3">
      <c r="A272" s="7">
        <v>41728</v>
      </c>
      <c r="B272" s="4">
        <f>YEAR(SalesData[[#This Row],[Order Date]])</f>
        <v>2014</v>
      </c>
      <c r="C272" s="4">
        <f>MONTH(SalesData[[#This Row],[Order Date]])</f>
        <v>3</v>
      </c>
      <c r="D272" s="3" t="s">
        <v>413</v>
      </c>
      <c r="E272" s="3" t="s">
        <v>10</v>
      </c>
      <c r="F272" s="3" t="s">
        <v>39</v>
      </c>
      <c r="G272" s="3" t="s">
        <v>40</v>
      </c>
      <c r="H272" s="3" t="s">
        <v>415</v>
      </c>
      <c r="I272" s="6">
        <v>251.94</v>
      </c>
      <c r="J272" s="4">
        <v>7</v>
      </c>
      <c r="K272" s="6">
        <v>88.18</v>
      </c>
    </row>
    <row r="273" spans="1:11" x14ac:dyDescent="0.3">
      <c r="A273" s="7">
        <v>41728</v>
      </c>
      <c r="B273" s="4">
        <f>YEAR(SalesData[[#This Row],[Order Date]])</f>
        <v>2014</v>
      </c>
      <c r="C273" s="4">
        <f>MONTH(SalesData[[#This Row],[Order Date]])</f>
        <v>3</v>
      </c>
      <c r="D273" s="3" t="s">
        <v>413</v>
      </c>
      <c r="E273" s="3" t="s">
        <v>10</v>
      </c>
      <c r="F273" s="3" t="s">
        <v>34</v>
      </c>
      <c r="G273" s="3" t="s">
        <v>35</v>
      </c>
      <c r="H273" s="3" t="s">
        <v>416</v>
      </c>
      <c r="I273" s="6">
        <v>127.3</v>
      </c>
      <c r="J273" s="4">
        <v>7</v>
      </c>
      <c r="K273" s="6">
        <v>-9.09</v>
      </c>
    </row>
    <row r="274" spans="1:11" x14ac:dyDescent="0.3">
      <c r="A274" s="7">
        <v>41728</v>
      </c>
      <c r="B274" s="4">
        <f>YEAR(SalesData[[#This Row],[Order Date]])</f>
        <v>2014</v>
      </c>
      <c r="C274" s="4">
        <f>MONTH(SalesData[[#This Row],[Order Date]])</f>
        <v>3</v>
      </c>
      <c r="D274" s="3" t="s">
        <v>417</v>
      </c>
      <c r="E274" s="3" t="s">
        <v>315</v>
      </c>
      <c r="F274" s="3" t="s">
        <v>11</v>
      </c>
      <c r="G274" s="3" t="s">
        <v>18</v>
      </c>
      <c r="H274" s="3" t="s">
        <v>418</v>
      </c>
      <c r="I274" s="6">
        <v>129.30000000000001</v>
      </c>
      <c r="J274" s="4">
        <v>2</v>
      </c>
      <c r="K274" s="6">
        <v>6.47</v>
      </c>
    </row>
    <row r="275" spans="1:11" x14ac:dyDescent="0.3">
      <c r="A275" s="7">
        <v>41729</v>
      </c>
      <c r="B275" s="4">
        <f>YEAR(SalesData[[#This Row],[Order Date]])</f>
        <v>2014</v>
      </c>
      <c r="C275" s="4">
        <f>MONTH(SalesData[[#This Row],[Order Date]])</f>
        <v>3</v>
      </c>
      <c r="D275" s="3" t="s">
        <v>419</v>
      </c>
      <c r="E275" s="3" t="s">
        <v>27</v>
      </c>
      <c r="F275" s="3" t="s">
        <v>11</v>
      </c>
      <c r="G275" s="3" t="s">
        <v>20</v>
      </c>
      <c r="H275" s="3" t="s">
        <v>420</v>
      </c>
      <c r="I275" s="6">
        <v>673.57</v>
      </c>
      <c r="J275" s="4">
        <v>2</v>
      </c>
      <c r="K275" s="6">
        <v>252.59</v>
      </c>
    </row>
    <row r="276" spans="1:11" x14ac:dyDescent="0.3">
      <c r="A276" s="7">
        <v>41729</v>
      </c>
      <c r="B276" s="4">
        <f>YEAR(SalesData[[#This Row],[Order Date]])</f>
        <v>2014</v>
      </c>
      <c r="C276" s="4">
        <f>MONTH(SalesData[[#This Row],[Order Date]])</f>
        <v>3</v>
      </c>
      <c r="D276" s="3" t="s">
        <v>419</v>
      </c>
      <c r="E276" s="3" t="s">
        <v>27</v>
      </c>
      <c r="F276" s="3" t="s">
        <v>11</v>
      </c>
      <c r="G276" s="3" t="s">
        <v>92</v>
      </c>
      <c r="H276" s="3" t="s">
        <v>421</v>
      </c>
      <c r="I276" s="6">
        <v>52.98</v>
      </c>
      <c r="J276" s="4">
        <v>2</v>
      </c>
      <c r="K276" s="6">
        <v>14.83</v>
      </c>
    </row>
    <row r="277" spans="1:11" x14ac:dyDescent="0.3">
      <c r="A277" s="7">
        <v>41729</v>
      </c>
      <c r="B277" s="4">
        <f>YEAR(SalesData[[#This Row],[Order Date]])</f>
        <v>2014</v>
      </c>
      <c r="C277" s="4">
        <f>MONTH(SalesData[[#This Row],[Order Date]])</f>
        <v>3</v>
      </c>
      <c r="D277" s="3" t="s">
        <v>422</v>
      </c>
      <c r="E277" s="3" t="s">
        <v>23</v>
      </c>
      <c r="F277" s="3" t="s">
        <v>11</v>
      </c>
      <c r="G277" s="3" t="s">
        <v>20</v>
      </c>
      <c r="H277" s="3" t="s">
        <v>423</v>
      </c>
      <c r="I277" s="6">
        <v>0.85</v>
      </c>
      <c r="J277" s="4">
        <v>1</v>
      </c>
      <c r="K277" s="6">
        <v>-0.6</v>
      </c>
    </row>
    <row r="278" spans="1:11" x14ac:dyDescent="0.3">
      <c r="A278" s="7">
        <v>41729</v>
      </c>
      <c r="B278" s="4">
        <f>YEAR(SalesData[[#This Row],[Order Date]])</f>
        <v>2014</v>
      </c>
      <c r="C278" s="4">
        <f>MONTH(SalesData[[#This Row],[Order Date]])</f>
        <v>3</v>
      </c>
      <c r="D278" s="3" t="s">
        <v>424</v>
      </c>
      <c r="E278" s="3" t="s">
        <v>15</v>
      </c>
      <c r="F278" s="3" t="s">
        <v>11</v>
      </c>
      <c r="G278" s="3" t="s">
        <v>20</v>
      </c>
      <c r="H278" s="3" t="s">
        <v>425</v>
      </c>
      <c r="I278" s="6">
        <v>8.1300000000000008</v>
      </c>
      <c r="J278" s="4">
        <v>7</v>
      </c>
      <c r="K278" s="6">
        <v>-13.83</v>
      </c>
    </row>
    <row r="279" spans="1:11" x14ac:dyDescent="0.3">
      <c r="A279" s="7">
        <v>41729</v>
      </c>
      <c r="B279" s="4">
        <f>YEAR(SalesData[[#This Row],[Order Date]])</f>
        <v>2014</v>
      </c>
      <c r="C279" s="4">
        <f>MONTH(SalesData[[#This Row],[Order Date]])</f>
        <v>3</v>
      </c>
      <c r="D279" s="3" t="s">
        <v>424</v>
      </c>
      <c r="E279" s="3" t="s">
        <v>15</v>
      </c>
      <c r="F279" s="3" t="s">
        <v>39</v>
      </c>
      <c r="G279" s="3" t="s">
        <v>52</v>
      </c>
      <c r="H279" s="3" t="s">
        <v>426</v>
      </c>
      <c r="I279" s="6">
        <v>79.98</v>
      </c>
      <c r="J279" s="4">
        <v>2</v>
      </c>
      <c r="K279" s="6">
        <v>14</v>
      </c>
    </row>
    <row r="280" spans="1:11" x14ac:dyDescent="0.3">
      <c r="A280" s="7">
        <v>41729</v>
      </c>
      <c r="B280" s="4">
        <f>YEAR(SalesData[[#This Row],[Order Date]])</f>
        <v>2014</v>
      </c>
      <c r="C280" s="4">
        <f>MONTH(SalesData[[#This Row],[Order Date]])</f>
        <v>3</v>
      </c>
      <c r="D280" s="3" t="s">
        <v>427</v>
      </c>
      <c r="E280" s="3" t="s">
        <v>123</v>
      </c>
      <c r="F280" s="3" t="s">
        <v>11</v>
      </c>
      <c r="G280" s="3" t="s">
        <v>20</v>
      </c>
      <c r="H280" s="3" t="s">
        <v>428</v>
      </c>
      <c r="I280" s="6">
        <v>1.87</v>
      </c>
      <c r="J280" s="4">
        <v>1</v>
      </c>
      <c r="K280" s="6">
        <v>-1.31</v>
      </c>
    </row>
    <row r="281" spans="1:11" x14ac:dyDescent="0.3">
      <c r="A281" s="7">
        <v>41729</v>
      </c>
      <c r="B281" s="4">
        <f>YEAR(SalesData[[#This Row],[Order Date]])</f>
        <v>2014</v>
      </c>
      <c r="C281" s="4">
        <f>MONTH(SalesData[[#This Row],[Order Date]])</f>
        <v>3</v>
      </c>
      <c r="D281" s="3" t="s">
        <v>429</v>
      </c>
      <c r="E281" s="3" t="s">
        <v>123</v>
      </c>
      <c r="F281" s="3" t="s">
        <v>34</v>
      </c>
      <c r="G281" s="3" t="s">
        <v>35</v>
      </c>
      <c r="H281" s="3" t="s">
        <v>430</v>
      </c>
      <c r="I281" s="6">
        <v>1125.49</v>
      </c>
      <c r="J281" s="4">
        <v>7</v>
      </c>
      <c r="K281" s="6">
        <v>98.48</v>
      </c>
    </row>
    <row r="282" spans="1:11" x14ac:dyDescent="0.3">
      <c r="A282" s="7">
        <v>41729</v>
      </c>
      <c r="B282" s="4">
        <f>YEAR(SalesData[[#This Row],[Order Date]])</f>
        <v>2014</v>
      </c>
      <c r="C282" s="4">
        <f>MONTH(SalesData[[#This Row],[Order Date]])</f>
        <v>3</v>
      </c>
      <c r="D282" s="3" t="s">
        <v>429</v>
      </c>
      <c r="E282" s="3" t="s">
        <v>123</v>
      </c>
      <c r="F282" s="3" t="s">
        <v>11</v>
      </c>
      <c r="G282" s="3" t="s">
        <v>20</v>
      </c>
      <c r="H282" s="3" t="s">
        <v>431</v>
      </c>
      <c r="I282" s="6">
        <v>12.65</v>
      </c>
      <c r="J282" s="4">
        <v>5</v>
      </c>
      <c r="K282" s="6">
        <v>-10.119999999999999</v>
      </c>
    </row>
    <row r="283" spans="1:11" x14ac:dyDescent="0.3">
      <c r="A283" s="7">
        <v>41729</v>
      </c>
      <c r="B283" s="4">
        <f>YEAR(SalesData[[#This Row],[Order Date]])</f>
        <v>2014</v>
      </c>
      <c r="C283" s="4">
        <f>MONTH(SalesData[[#This Row],[Order Date]])</f>
        <v>3</v>
      </c>
      <c r="D283" s="3" t="s">
        <v>429</v>
      </c>
      <c r="E283" s="3" t="s">
        <v>123</v>
      </c>
      <c r="F283" s="3" t="s">
        <v>11</v>
      </c>
      <c r="G283" s="3" t="s">
        <v>24</v>
      </c>
      <c r="H283" s="3" t="s">
        <v>354</v>
      </c>
      <c r="I283" s="6">
        <v>4.03</v>
      </c>
      <c r="J283" s="4">
        <v>2</v>
      </c>
      <c r="K283" s="6">
        <v>1.06</v>
      </c>
    </row>
    <row r="284" spans="1:11" x14ac:dyDescent="0.3">
      <c r="A284" s="7">
        <v>41730</v>
      </c>
      <c r="B284" s="4">
        <f>YEAR(SalesData[[#This Row],[Order Date]])</f>
        <v>2014</v>
      </c>
      <c r="C284" s="4">
        <f>MONTH(SalesData[[#This Row],[Order Date]])</f>
        <v>4</v>
      </c>
      <c r="D284" s="3" t="s">
        <v>405</v>
      </c>
      <c r="E284" s="3" t="s">
        <v>27</v>
      </c>
      <c r="F284" s="3" t="s">
        <v>11</v>
      </c>
      <c r="G284" s="3" t="s">
        <v>16</v>
      </c>
      <c r="H284" s="3" t="s">
        <v>409</v>
      </c>
      <c r="I284" s="6">
        <v>29.6</v>
      </c>
      <c r="J284" s="4">
        <v>2</v>
      </c>
      <c r="K284" s="6">
        <v>14.8</v>
      </c>
    </row>
    <row r="285" spans="1:11" x14ac:dyDescent="0.3">
      <c r="A285" s="7">
        <v>41730</v>
      </c>
      <c r="B285" s="4">
        <f>YEAR(SalesData[[#This Row],[Order Date]])</f>
        <v>2014</v>
      </c>
      <c r="C285" s="4">
        <f>MONTH(SalesData[[#This Row],[Order Date]])</f>
        <v>4</v>
      </c>
      <c r="D285" s="3" t="s">
        <v>405</v>
      </c>
      <c r="E285" s="3" t="s">
        <v>27</v>
      </c>
      <c r="F285" s="3" t="s">
        <v>11</v>
      </c>
      <c r="G285" s="3" t="s">
        <v>20</v>
      </c>
      <c r="H285" s="3" t="s">
        <v>432</v>
      </c>
      <c r="I285" s="6">
        <v>17.09</v>
      </c>
      <c r="J285" s="4">
        <v>4</v>
      </c>
      <c r="K285" s="6">
        <v>5.55</v>
      </c>
    </row>
    <row r="286" spans="1:11" x14ac:dyDescent="0.3">
      <c r="A286" s="7">
        <v>41730</v>
      </c>
      <c r="B286" s="4">
        <f>YEAR(SalesData[[#This Row],[Order Date]])</f>
        <v>2014</v>
      </c>
      <c r="C286" s="4">
        <f>MONTH(SalesData[[#This Row],[Order Date]])</f>
        <v>4</v>
      </c>
      <c r="D286" s="3" t="s">
        <v>433</v>
      </c>
      <c r="E286" s="3" t="s">
        <v>434</v>
      </c>
      <c r="F286" s="3" t="s">
        <v>11</v>
      </c>
      <c r="G286" s="3" t="s">
        <v>18</v>
      </c>
      <c r="H286" s="3" t="s">
        <v>435</v>
      </c>
      <c r="I286" s="6">
        <v>66.959999999999994</v>
      </c>
      <c r="J286" s="4">
        <v>4</v>
      </c>
      <c r="K286" s="6">
        <v>2.68</v>
      </c>
    </row>
    <row r="287" spans="1:11" x14ac:dyDescent="0.3">
      <c r="A287" s="7">
        <v>41730</v>
      </c>
      <c r="B287" s="4">
        <f>YEAR(SalesData[[#This Row],[Order Date]])</f>
        <v>2014</v>
      </c>
      <c r="C287" s="4">
        <f>MONTH(SalesData[[#This Row],[Order Date]])</f>
        <v>4</v>
      </c>
      <c r="D287" s="3" t="s">
        <v>433</v>
      </c>
      <c r="E287" s="3" t="s">
        <v>434</v>
      </c>
      <c r="F287" s="3" t="s">
        <v>11</v>
      </c>
      <c r="G287" s="3" t="s">
        <v>20</v>
      </c>
      <c r="H287" s="3" t="s">
        <v>436</v>
      </c>
      <c r="I287" s="6">
        <v>6.24</v>
      </c>
      <c r="J287" s="4">
        <v>2</v>
      </c>
      <c r="K287" s="6">
        <v>3.06</v>
      </c>
    </row>
    <row r="288" spans="1:11" x14ac:dyDescent="0.3">
      <c r="A288" s="7">
        <v>41731</v>
      </c>
      <c r="B288" s="4">
        <f>YEAR(SalesData[[#This Row],[Order Date]])</f>
        <v>2014</v>
      </c>
      <c r="C288" s="4">
        <f>MONTH(SalesData[[#This Row],[Order Date]])</f>
        <v>4</v>
      </c>
      <c r="D288" s="3" t="s">
        <v>437</v>
      </c>
      <c r="E288" s="3" t="s">
        <v>30</v>
      </c>
      <c r="F288" s="3" t="s">
        <v>11</v>
      </c>
      <c r="G288" s="3" t="s">
        <v>12</v>
      </c>
      <c r="H288" s="3" t="s">
        <v>438</v>
      </c>
      <c r="I288" s="6">
        <v>15.84</v>
      </c>
      <c r="J288" s="4">
        <v>3</v>
      </c>
      <c r="K288" s="6">
        <v>7.13</v>
      </c>
    </row>
    <row r="289" spans="1:11" x14ac:dyDescent="0.3">
      <c r="A289" s="7">
        <v>41731</v>
      </c>
      <c r="B289" s="4">
        <f>YEAR(SalesData[[#This Row],[Order Date]])</f>
        <v>2014</v>
      </c>
      <c r="C289" s="4">
        <f>MONTH(SalesData[[#This Row],[Order Date]])</f>
        <v>4</v>
      </c>
      <c r="D289" s="3" t="s">
        <v>437</v>
      </c>
      <c r="E289" s="3" t="s">
        <v>30</v>
      </c>
      <c r="F289" s="3" t="s">
        <v>39</v>
      </c>
      <c r="G289" s="3" t="s">
        <v>40</v>
      </c>
      <c r="H289" s="3" t="s">
        <v>439</v>
      </c>
      <c r="I289" s="6">
        <v>1049.93</v>
      </c>
      <c r="J289" s="4">
        <v>7</v>
      </c>
      <c r="K289" s="6">
        <v>293.98</v>
      </c>
    </row>
    <row r="290" spans="1:11" x14ac:dyDescent="0.3">
      <c r="A290" s="7">
        <v>41731</v>
      </c>
      <c r="B290" s="4">
        <f>YEAR(SalesData[[#This Row],[Order Date]])</f>
        <v>2014</v>
      </c>
      <c r="C290" s="4">
        <f>MONTH(SalesData[[#This Row],[Order Date]])</f>
        <v>4</v>
      </c>
      <c r="D290" s="3" t="s">
        <v>437</v>
      </c>
      <c r="E290" s="3" t="s">
        <v>30</v>
      </c>
      <c r="F290" s="3" t="s">
        <v>11</v>
      </c>
      <c r="G290" s="3" t="s">
        <v>92</v>
      </c>
      <c r="H290" s="3" t="s">
        <v>440</v>
      </c>
      <c r="I290" s="6">
        <v>154.9</v>
      </c>
      <c r="J290" s="4">
        <v>5</v>
      </c>
      <c r="K290" s="6">
        <v>40.270000000000003</v>
      </c>
    </row>
    <row r="291" spans="1:11" x14ac:dyDescent="0.3">
      <c r="A291" s="7">
        <v>41731</v>
      </c>
      <c r="B291" s="4">
        <f>YEAR(SalesData[[#This Row],[Order Date]])</f>
        <v>2014</v>
      </c>
      <c r="C291" s="4">
        <f>MONTH(SalesData[[#This Row],[Order Date]])</f>
        <v>4</v>
      </c>
      <c r="D291" s="3" t="s">
        <v>252</v>
      </c>
      <c r="E291" s="3" t="s">
        <v>10</v>
      </c>
      <c r="F291" s="3" t="s">
        <v>11</v>
      </c>
      <c r="G291" s="3" t="s">
        <v>12</v>
      </c>
      <c r="H291" s="3" t="s">
        <v>441</v>
      </c>
      <c r="I291" s="6">
        <v>26.72</v>
      </c>
      <c r="J291" s="4">
        <v>5</v>
      </c>
      <c r="K291" s="6">
        <v>9.35</v>
      </c>
    </row>
    <row r="292" spans="1:11" x14ac:dyDescent="0.3">
      <c r="A292" s="7">
        <v>41731</v>
      </c>
      <c r="B292" s="4">
        <f>YEAR(SalesData[[#This Row],[Order Date]])</f>
        <v>2014</v>
      </c>
      <c r="C292" s="4">
        <f>MONTH(SalesData[[#This Row],[Order Date]])</f>
        <v>4</v>
      </c>
      <c r="D292" s="3" t="s">
        <v>252</v>
      </c>
      <c r="E292" s="3" t="s">
        <v>10</v>
      </c>
      <c r="F292" s="3" t="s">
        <v>11</v>
      </c>
      <c r="G292" s="3" t="s">
        <v>12</v>
      </c>
      <c r="H292" s="3" t="s">
        <v>442</v>
      </c>
      <c r="I292" s="6">
        <v>33.49</v>
      </c>
      <c r="J292" s="4">
        <v>7</v>
      </c>
      <c r="K292" s="6">
        <v>10.47</v>
      </c>
    </row>
    <row r="293" spans="1:11" x14ac:dyDescent="0.3">
      <c r="A293" s="7">
        <v>41731</v>
      </c>
      <c r="B293" s="4">
        <f>YEAR(SalesData[[#This Row],[Order Date]])</f>
        <v>2014</v>
      </c>
      <c r="C293" s="4">
        <f>MONTH(SalesData[[#This Row],[Order Date]])</f>
        <v>4</v>
      </c>
      <c r="D293" s="3" t="s">
        <v>443</v>
      </c>
      <c r="E293" s="3" t="s">
        <v>55</v>
      </c>
      <c r="F293" s="3" t="s">
        <v>34</v>
      </c>
      <c r="G293" s="3" t="s">
        <v>47</v>
      </c>
      <c r="H293" s="3" t="s">
        <v>444</v>
      </c>
      <c r="I293" s="6">
        <v>177.68</v>
      </c>
      <c r="J293" s="4">
        <v>2</v>
      </c>
      <c r="K293" s="6">
        <v>46.2</v>
      </c>
    </row>
    <row r="294" spans="1:11" x14ac:dyDescent="0.3">
      <c r="A294" s="7">
        <v>41732</v>
      </c>
      <c r="B294" s="4">
        <f>YEAR(SalesData[[#This Row],[Order Date]])</f>
        <v>2014</v>
      </c>
      <c r="C294" s="4">
        <f>MONTH(SalesData[[#This Row],[Order Date]])</f>
        <v>4</v>
      </c>
      <c r="D294" s="3" t="s">
        <v>445</v>
      </c>
      <c r="E294" s="3" t="s">
        <v>27</v>
      </c>
      <c r="F294" s="3" t="s">
        <v>11</v>
      </c>
      <c r="G294" s="3" t="s">
        <v>63</v>
      </c>
      <c r="H294" s="3" t="s">
        <v>64</v>
      </c>
      <c r="I294" s="6">
        <v>11.16</v>
      </c>
      <c r="J294" s="4">
        <v>2</v>
      </c>
      <c r="K294" s="6">
        <v>5.58</v>
      </c>
    </row>
    <row r="295" spans="1:11" x14ac:dyDescent="0.3">
      <c r="A295" s="7">
        <v>41732</v>
      </c>
      <c r="B295" s="4">
        <f>YEAR(SalesData[[#This Row],[Order Date]])</f>
        <v>2014</v>
      </c>
      <c r="C295" s="4">
        <f>MONTH(SalesData[[#This Row],[Order Date]])</f>
        <v>4</v>
      </c>
      <c r="D295" s="3" t="s">
        <v>445</v>
      </c>
      <c r="E295" s="3" t="s">
        <v>27</v>
      </c>
      <c r="F295" s="3" t="s">
        <v>39</v>
      </c>
      <c r="G295" s="3" t="s">
        <v>52</v>
      </c>
      <c r="H295" s="3" t="s">
        <v>213</v>
      </c>
      <c r="I295" s="6">
        <v>62.31</v>
      </c>
      <c r="J295" s="4">
        <v>3</v>
      </c>
      <c r="K295" s="6">
        <v>22.43</v>
      </c>
    </row>
    <row r="296" spans="1:11" x14ac:dyDescent="0.3">
      <c r="A296" s="7">
        <v>41732</v>
      </c>
      <c r="B296" s="4">
        <f>YEAR(SalesData[[#This Row],[Order Date]])</f>
        <v>2014</v>
      </c>
      <c r="C296" s="4">
        <f>MONTH(SalesData[[#This Row],[Order Date]])</f>
        <v>4</v>
      </c>
      <c r="D296" s="3" t="s">
        <v>445</v>
      </c>
      <c r="E296" s="3" t="s">
        <v>27</v>
      </c>
      <c r="F296" s="3" t="s">
        <v>39</v>
      </c>
      <c r="G296" s="3" t="s">
        <v>52</v>
      </c>
      <c r="H296" s="3" t="s">
        <v>198</v>
      </c>
      <c r="I296" s="6">
        <v>159.97999999999999</v>
      </c>
      <c r="J296" s="4">
        <v>2</v>
      </c>
      <c r="K296" s="6">
        <v>57.59</v>
      </c>
    </row>
    <row r="297" spans="1:11" x14ac:dyDescent="0.3">
      <c r="A297" s="7">
        <v>41733</v>
      </c>
      <c r="B297" s="4">
        <f>YEAR(SalesData[[#This Row],[Order Date]])</f>
        <v>2014</v>
      </c>
      <c r="C297" s="4">
        <f>MONTH(SalesData[[#This Row],[Order Date]])</f>
        <v>4</v>
      </c>
      <c r="D297" s="3" t="s">
        <v>446</v>
      </c>
      <c r="E297" s="3" t="s">
        <v>27</v>
      </c>
      <c r="F297" s="3" t="s">
        <v>11</v>
      </c>
      <c r="G297" s="3" t="s">
        <v>16</v>
      </c>
      <c r="H297" s="3" t="s">
        <v>447</v>
      </c>
      <c r="I297" s="6">
        <v>18.899999999999999</v>
      </c>
      <c r="J297" s="4">
        <v>6</v>
      </c>
      <c r="K297" s="6">
        <v>9.07</v>
      </c>
    </row>
    <row r="298" spans="1:11" x14ac:dyDescent="0.3">
      <c r="A298" s="7">
        <v>41733</v>
      </c>
      <c r="B298" s="4">
        <f>YEAR(SalesData[[#This Row],[Order Date]])</f>
        <v>2014</v>
      </c>
      <c r="C298" s="4">
        <f>MONTH(SalesData[[#This Row],[Order Date]])</f>
        <v>4</v>
      </c>
      <c r="D298" s="3" t="s">
        <v>380</v>
      </c>
      <c r="E298" s="3" t="s">
        <v>110</v>
      </c>
      <c r="F298" s="3" t="s">
        <v>34</v>
      </c>
      <c r="G298" s="3" t="s">
        <v>47</v>
      </c>
      <c r="H298" s="3" t="s">
        <v>448</v>
      </c>
      <c r="I298" s="6">
        <v>5.47</v>
      </c>
      <c r="J298" s="4">
        <v>1</v>
      </c>
      <c r="K298" s="6">
        <v>2.35</v>
      </c>
    </row>
    <row r="299" spans="1:11" x14ac:dyDescent="0.3">
      <c r="A299" s="7">
        <v>41733</v>
      </c>
      <c r="B299" s="4">
        <f>YEAR(SalesData[[#This Row],[Order Date]])</f>
        <v>2014</v>
      </c>
      <c r="C299" s="4">
        <f>MONTH(SalesData[[#This Row],[Order Date]])</f>
        <v>4</v>
      </c>
      <c r="D299" s="3" t="s">
        <v>380</v>
      </c>
      <c r="E299" s="3" t="s">
        <v>110</v>
      </c>
      <c r="F299" s="3" t="s">
        <v>11</v>
      </c>
      <c r="G299" s="3" t="s">
        <v>24</v>
      </c>
      <c r="H299" s="3" t="s">
        <v>449</v>
      </c>
      <c r="I299" s="6">
        <v>79.36</v>
      </c>
      <c r="J299" s="4">
        <v>4</v>
      </c>
      <c r="K299" s="6">
        <v>23.81</v>
      </c>
    </row>
    <row r="300" spans="1:11" x14ac:dyDescent="0.3">
      <c r="A300" s="7">
        <v>41733</v>
      </c>
      <c r="B300" s="4">
        <f>YEAR(SalesData[[#This Row],[Order Date]])</f>
        <v>2014</v>
      </c>
      <c r="C300" s="4">
        <f>MONTH(SalesData[[#This Row],[Order Date]])</f>
        <v>4</v>
      </c>
      <c r="D300" s="3" t="s">
        <v>450</v>
      </c>
      <c r="E300" s="3" t="s">
        <v>27</v>
      </c>
      <c r="F300" s="3" t="s">
        <v>11</v>
      </c>
      <c r="G300" s="3" t="s">
        <v>20</v>
      </c>
      <c r="H300" s="3" t="s">
        <v>451</v>
      </c>
      <c r="I300" s="6">
        <v>7.18</v>
      </c>
      <c r="J300" s="4">
        <v>2</v>
      </c>
      <c r="K300" s="6">
        <v>2.25</v>
      </c>
    </row>
    <row r="301" spans="1:11" x14ac:dyDescent="0.3">
      <c r="A301" s="7">
        <v>41733</v>
      </c>
      <c r="B301" s="4">
        <f>YEAR(SalesData[[#This Row],[Order Date]])</f>
        <v>2014</v>
      </c>
      <c r="C301" s="4">
        <f>MONTH(SalesData[[#This Row],[Order Date]])</f>
        <v>4</v>
      </c>
      <c r="D301" s="3" t="s">
        <v>452</v>
      </c>
      <c r="E301" s="3" t="s">
        <v>62</v>
      </c>
      <c r="F301" s="3" t="s">
        <v>11</v>
      </c>
      <c r="G301" s="3" t="s">
        <v>18</v>
      </c>
      <c r="H301" s="3" t="s">
        <v>453</v>
      </c>
      <c r="I301" s="6">
        <v>232.55</v>
      </c>
      <c r="J301" s="4">
        <v>5</v>
      </c>
      <c r="K301" s="6">
        <v>9.3000000000000007</v>
      </c>
    </row>
    <row r="302" spans="1:11" x14ac:dyDescent="0.3">
      <c r="A302" s="7">
        <v>41733</v>
      </c>
      <c r="B302" s="4">
        <f>YEAR(SalesData[[#This Row],[Order Date]])</f>
        <v>2014</v>
      </c>
      <c r="C302" s="4">
        <f>MONTH(SalesData[[#This Row],[Order Date]])</f>
        <v>4</v>
      </c>
      <c r="D302" s="3" t="s">
        <v>452</v>
      </c>
      <c r="E302" s="3" t="s">
        <v>62</v>
      </c>
      <c r="F302" s="3" t="s">
        <v>39</v>
      </c>
      <c r="G302" s="3" t="s">
        <v>52</v>
      </c>
      <c r="H302" s="3" t="s">
        <v>454</v>
      </c>
      <c r="I302" s="6">
        <v>99.98</v>
      </c>
      <c r="J302" s="4">
        <v>2</v>
      </c>
      <c r="K302" s="6">
        <v>42.99</v>
      </c>
    </row>
    <row r="303" spans="1:11" x14ac:dyDescent="0.3">
      <c r="A303" s="7">
        <v>41733</v>
      </c>
      <c r="B303" s="4">
        <f>YEAR(SalesData[[#This Row],[Order Date]])</f>
        <v>2014</v>
      </c>
      <c r="C303" s="4">
        <f>MONTH(SalesData[[#This Row],[Order Date]])</f>
        <v>4</v>
      </c>
      <c r="D303" s="3" t="s">
        <v>452</v>
      </c>
      <c r="E303" s="3" t="s">
        <v>62</v>
      </c>
      <c r="F303" s="3" t="s">
        <v>11</v>
      </c>
      <c r="G303" s="3" t="s">
        <v>12</v>
      </c>
      <c r="H303" s="3" t="s">
        <v>455</v>
      </c>
      <c r="I303" s="6">
        <v>19.440000000000001</v>
      </c>
      <c r="J303" s="4">
        <v>3</v>
      </c>
      <c r="K303" s="6">
        <v>9.33</v>
      </c>
    </row>
    <row r="304" spans="1:11" x14ac:dyDescent="0.3">
      <c r="A304" s="7">
        <v>41733</v>
      </c>
      <c r="B304" s="4">
        <f>YEAR(SalesData[[#This Row],[Order Date]])</f>
        <v>2014</v>
      </c>
      <c r="C304" s="4">
        <f>MONTH(SalesData[[#This Row],[Order Date]])</f>
        <v>4</v>
      </c>
      <c r="D304" s="3" t="s">
        <v>452</v>
      </c>
      <c r="E304" s="3" t="s">
        <v>62</v>
      </c>
      <c r="F304" s="3" t="s">
        <v>11</v>
      </c>
      <c r="G304" s="3" t="s">
        <v>12</v>
      </c>
      <c r="H304" s="3" t="s">
        <v>327</v>
      </c>
      <c r="I304" s="6">
        <v>12.96</v>
      </c>
      <c r="J304" s="4">
        <v>2</v>
      </c>
      <c r="K304" s="6">
        <v>6.35</v>
      </c>
    </row>
    <row r="305" spans="1:11" x14ac:dyDescent="0.3">
      <c r="A305" s="7">
        <v>41734</v>
      </c>
      <c r="B305" s="4">
        <f>YEAR(SalesData[[#This Row],[Order Date]])</f>
        <v>2014</v>
      </c>
      <c r="C305" s="4">
        <f>MONTH(SalesData[[#This Row],[Order Date]])</f>
        <v>4</v>
      </c>
      <c r="D305" s="3" t="s">
        <v>456</v>
      </c>
      <c r="E305" s="3" t="s">
        <v>149</v>
      </c>
      <c r="F305" s="3" t="s">
        <v>11</v>
      </c>
      <c r="G305" s="3" t="s">
        <v>12</v>
      </c>
      <c r="H305" s="3" t="s">
        <v>457</v>
      </c>
      <c r="I305" s="6">
        <v>55.48</v>
      </c>
      <c r="J305" s="4">
        <v>1</v>
      </c>
      <c r="K305" s="6">
        <v>26.63</v>
      </c>
    </row>
    <row r="306" spans="1:11" x14ac:dyDescent="0.3">
      <c r="A306" s="7">
        <v>41734</v>
      </c>
      <c r="B306" s="4">
        <f>YEAR(SalesData[[#This Row],[Order Date]])</f>
        <v>2014</v>
      </c>
      <c r="C306" s="4">
        <f>MONTH(SalesData[[#This Row],[Order Date]])</f>
        <v>4</v>
      </c>
      <c r="D306" s="3" t="s">
        <v>458</v>
      </c>
      <c r="E306" s="3" t="s">
        <v>55</v>
      </c>
      <c r="F306" s="3" t="s">
        <v>11</v>
      </c>
      <c r="G306" s="3" t="s">
        <v>24</v>
      </c>
      <c r="H306" s="3" t="s">
        <v>459</v>
      </c>
      <c r="I306" s="6">
        <v>22.96</v>
      </c>
      <c r="J306" s="4">
        <v>7</v>
      </c>
      <c r="K306" s="6">
        <v>7.58</v>
      </c>
    </row>
    <row r="307" spans="1:11" x14ac:dyDescent="0.3">
      <c r="A307" s="7">
        <v>41734</v>
      </c>
      <c r="B307" s="4">
        <f>YEAR(SalesData[[#This Row],[Order Date]])</f>
        <v>2014</v>
      </c>
      <c r="C307" s="4">
        <f>MONTH(SalesData[[#This Row],[Order Date]])</f>
        <v>4</v>
      </c>
      <c r="D307" s="3" t="s">
        <v>458</v>
      </c>
      <c r="E307" s="3" t="s">
        <v>55</v>
      </c>
      <c r="F307" s="3" t="s">
        <v>39</v>
      </c>
      <c r="G307" s="3" t="s">
        <v>40</v>
      </c>
      <c r="H307" s="3" t="s">
        <v>174</v>
      </c>
      <c r="I307" s="6">
        <v>28.99</v>
      </c>
      <c r="J307" s="4">
        <v>1</v>
      </c>
      <c r="K307" s="6">
        <v>8.41</v>
      </c>
    </row>
    <row r="308" spans="1:11" x14ac:dyDescent="0.3">
      <c r="A308" s="7">
        <v>41734</v>
      </c>
      <c r="B308" s="4">
        <f>YEAR(SalesData[[#This Row],[Order Date]])</f>
        <v>2014</v>
      </c>
      <c r="C308" s="4">
        <f>MONTH(SalesData[[#This Row],[Order Date]])</f>
        <v>4</v>
      </c>
      <c r="D308" s="3" t="s">
        <v>458</v>
      </c>
      <c r="E308" s="3" t="s">
        <v>55</v>
      </c>
      <c r="F308" s="3" t="s">
        <v>11</v>
      </c>
      <c r="G308" s="3" t="s">
        <v>12</v>
      </c>
      <c r="H308" s="3" t="s">
        <v>331</v>
      </c>
      <c r="I308" s="6">
        <v>12.96</v>
      </c>
      <c r="J308" s="4">
        <v>2</v>
      </c>
      <c r="K308" s="6">
        <v>6.35</v>
      </c>
    </row>
    <row r="309" spans="1:11" x14ac:dyDescent="0.3">
      <c r="A309" s="7">
        <v>41734</v>
      </c>
      <c r="B309" s="4">
        <f>YEAR(SalesData[[#This Row],[Order Date]])</f>
        <v>2014</v>
      </c>
      <c r="C309" s="4">
        <f>MONTH(SalesData[[#This Row],[Order Date]])</f>
        <v>4</v>
      </c>
      <c r="D309" s="3" t="s">
        <v>458</v>
      </c>
      <c r="E309" s="3" t="s">
        <v>55</v>
      </c>
      <c r="F309" s="3" t="s">
        <v>11</v>
      </c>
      <c r="G309" s="3" t="s">
        <v>24</v>
      </c>
      <c r="H309" s="3" t="s">
        <v>460</v>
      </c>
      <c r="I309" s="6">
        <v>22.96</v>
      </c>
      <c r="J309" s="4">
        <v>7</v>
      </c>
      <c r="K309" s="6">
        <v>6.66</v>
      </c>
    </row>
    <row r="310" spans="1:11" x14ac:dyDescent="0.3">
      <c r="A310" s="7">
        <v>41734</v>
      </c>
      <c r="B310" s="4">
        <f>YEAR(SalesData[[#This Row],[Order Date]])</f>
        <v>2014</v>
      </c>
      <c r="C310" s="4">
        <f>MONTH(SalesData[[#This Row],[Order Date]])</f>
        <v>4</v>
      </c>
      <c r="D310" s="3" t="s">
        <v>458</v>
      </c>
      <c r="E310" s="3" t="s">
        <v>55</v>
      </c>
      <c r="F310" s="3" t="s">
        <v>11</v>
      </c>
      <c r="G310" s="3" t="s">
        <v>200</v>
      </c>
      <c r="H310" s="3" t="s">
        <v>461</v>
      </c>
      <c r="I310" s="6">
        <v>4164.05</v>
      </c>
      <c r="J310" s="4">
        <v>5</v>
      </c>
      <c r="K310" s="6">
        <v>83.28</v>
      </c>
    </row>
    <row r="311" spans="1:11" x14ac:dyDescent="0.3">
      <c r="A311" s="7">
        <v>41734</v>
      </c>
      <c r="B311" s="4">
        <f>YEAR(SalesData[[#This Row],[Order Date]])</f>
        <v>2014</v>
      </c>
      <c r="C311" s="4">
        <f>MONTH(SalesData[[#This Row],[Order Date]])</f>
        <v>4</v>
      </c>
      <c r="D311" s="3" t="s">
        <v>462</v>
      </c>
      <c r="E311" s="3" t="s">
        <v>15</v>
      </c>
      <c r="F311" s="3" t="s">
        <v>11</v>
      </c>
      <c r="G311" s="3" t="s">
        <v>18</v>
      </c>
      <c r="H311" s="3" t="s">
        <v>463</v>
      </c>
      <c r="I311" s="6">
        <v>49.63</v>
      </c>
      <c r="J311" s="4">
        <v>4</v>
      </c>
      <c r="K311" s="6">
        <v>3.72</v>
      </c>
    </row>
    <row r="312" spans="1:11" x14ac:dyDescent="0.3">
      <c r="A312" s="7">
        <v>41734</v>
      </c>
      <c r="B312" s="4">
        <f>YEAR(SalesData[[#This Row],[Order Date]])</f>
        <v>2014</v>
      </c>
      <c r="C312" s="4">
        <f>MONTH(SalesData[[#This Row],[Order Date]])</f>
        <v>4</v>
      </c>
      <c r="D312" s="3" t="s">
        <v>462</v>
      </c>
      <c r="E312" s="3" t="s">
        <v>15</v>
      </c>
      <c r="F312" s="3" t="s">
        <v>11</v>
      </c>
      <c r="G312" s="3" t="s">
        <v>18</v>
      </c>
      <c r="H312" s="3" t="s">
        <v>464</v>
      </c>
      <c r="I312" s="6">
        <v>52.1</v>
      </c>
      <c r="J312" s="4">
        <v>4</v>
      </c>
      <c r="K312" s="6">
        <v>3.91</v>
      </c>
    </row>
    <row r="313" spans="1:11" x14ac:dyDescent="0.3">
      <c r="A313" s="7">
        <v>41734</v>
      </c>
      <c r="B313" s="4">
        <f>YEAR(SalesData[[#This Row],[Order Date]])</f>
        <v>2014</v>
      </c>
      <c r="C313" s="4">
        <f>MONTH(SalesData[[#This Row],[Order Date]])</f>
        <v>4</v>
      </c>
      <c r="D313" s="3" t="s">
        <v>465</v>
      </c>
      <c r="E313" s="3" t="s">
        <v>110</v>
      </c>
      <c r="F313" s="3" t="s">
        <v>11</v>
      </c>
      <c r="G313" s="3" t="s">
        <v>24</v>
      </c>
      <c r="H313" s="3" t="s">
        <v>466</v>
      </c>
      <c r="I313" s="6">
        <v>26.7</v>
      </c>
      <c r="J313" s="4">
        <v>2</v>
      </c>
      <c r="K313" s="6">
        <v>7.48</v>
      </c>
    </row>
    <row r="314" spans="1:11" x14ac:dyDescent="0.3">
      <c r="A314" s="7">
        <v>41734</v>
      </c>
      <c r="B314" s="4">
        <f>YEAR(SalesData[[#This Row],[Order Date]])</f>
        <v>2014</v>
      </c>
      <c r="C314" s="4">
        <f>MONTH(SalesData[[#This Row],[Order Date]])</f>
        <v>4</v>
      </c>
      <c r="D314" s="3" t="s">
        <v>465</v>
      </c>
      <c r="E314" s="3" t="s">
        <v>110</v>
      </c>
      <c r="F314" s="3" t="s">
        <v>11</v>
      </c>
      <c r="G314" s="3" t="s">
        <v>20</v>
      </c>
      <c r="H314" s="3" t="s">
        <v>467</v>
      </c>
      <c r="I314" s="6">
        <v>40.200000000000003</v>
      </c>
      <c r="J314" s="4">
        <v>5</v>
      </c>
      <c r="K314" s="6">
        <v>18.09</v>
      </c>
    </row>
    <row r="315" spans="1:11" x14ac:dyDescent="0.3">
      <c r="A315" s="7">
        <v>41734</v>
      </c>
      <c r="B315" s="4">
        <f>YEAR(SalesData[[#This Row],[Order Date]])</f>
        <v>2014</v>
      </c>
      <c r="C315" s="4">
        <f>MONTH(SalesData[[#This Row],[Order Date]])</f>
        <v>4</v>
      </c>
      <c r="D315" s="3" t="s">
        <v>465</v>
      </c>
      <c r="E315" s="3" t="s">
        <v>110</v>
      </c>
      <c r="F315" s="3" t="s">
        <v>11</v>
      </c>
      <c r="G315" s="3" t="s">
        <v>24</v>
      </c>
      <c r="H315" s="3" t="s">
        <v>353</v>
      </c>
      <c r="I315" s="6">
        <v>13.89</v>
      </c>
      <c r="J315" s="4">
        <v>3</v>
      </c>
      <c r="K315" s="6">
        <v>4.58</v>
      </c>
    </row>
    <row r="316" spans="1:11" x14ac:dyDescent="0.3">
      <c r="A316" s="7">
        <v>41734</v>
      </c>
      <c r="B316" s="4">
        <f>YEAR(SalesData[[#This Row],[Order Date]])</f>
        <v>2014</v>
      </c>
      <c r="C316" s="4">
        <f>MONTH(SalesData[[#This Row],[Order Date]])</f>
        <v>4</v>
      </c>
      <c r="D316" s="3" t="s">
        <v>465</v>
      </c>
      <c r="E316" s="3" t="s">
        <v>110</v>
      </c>
      <c r="F316" s="3" t="s">
        <v>11</v>
      </c>
      <c r="G316" s="3" t="s">
        <v>18</v>
      </c>
      <c r="H316" s="3" t="s">
        <v>153</v>
      </c>
      <c r="I316" s="6">
        <v>689.82</v>
      </c>
      <c r="J316" s="4">
        <v>6</v>
      </c>
      <c r="K316" s="6">
        <v>20.69</v>
      </c>
    </row>
    <row r="317" spans="1:11" x14ac:dyDescent="0.3">
      <c r="A317" s="7">
        <v>41734</v>
      </c>
      <c r="B317" s="4">
        <f>YEAR(SalesData[[#This Row],[Order Date]])</f>
        <v>2014</v>
      </c>
      <c r="C317" s="4">
        <f>MONTH(SalesData[[#This Row],[Order Date]])</f>
        <v>4</v>
      </c>
      <c r="D317" s="3" t="s">
        <v>468</v>
      </c>
      <c r="E317" s="3" t="s">
        <v>33</v>
      </c>
      <c r="F317" s="3" t="s">
        <v>11</v>
      </c>
      <c r="G317" s="3" t="s">
        <v>20</v>
      </c>
      <c r="H317" s="3" t="s">
        <v>469</v>
      </c>
      <c r="I317" s="6">
        <v>115.36</v>
      </c>
      <c r="J317" s="4">
        <v>7</v>
      </c>
      <c r="K317" s="6">
        <v>56.53</v>
      </c>
    </row>
    <row r="318" spans="1:11" x14ac:dyDescent="0.3">
      <c r="A318" s="7">
        <v>41735</v>
      </c>
      <c r="B318" s="4">
        <f>YEAR(SalesData[[#This Row],[Order Date]])</f>
        <v>2014</v>
      </c>
      <c r="C318" s="4">
        <f>MONTH(SalesData[[#This Row],[Order Date]])</f>
        <v>4</v>
      </c>
      <c r="D318" s="3" t="s">
        <v>470</v>
      </c>
      <c r="E318" s="3" t="s">
        <v>23</v>
      </c>
      <c r="F318" s="3" t="s">
        <v>11</v>
      </c>
      <c r="G318" s="3" t="s">
        <v>20</v>
      </c>
      <c r="H318" s="3" t="s">
        <v>471</v>
      </c>
      <c r="I318" s="6">
        <v>44.91</v>
      </c>
      <c r="J318" s="4">
        <v>6</v>
      </c>
      <c r="K318" s="6">
        <v>-35.93</v>
      </c>
    </row>
    <row r="319" spans="1:11" x14ac:dyDescent="0.3">
      <c r="A319" s="7">
        <v>41735</v>
      </c>
      <c r="B319" s="4">
        <f>YEAR(SalesData[[#This Row],[Order Date]])</f>
        <v>2014</v>
      </c>
      <c r="C319" s="4">
        <f>MONTH(SalesData[[#This Row],[Order Date]])</f>
        <v>4</v>
      </c>
      <c r="D319" s="3" t="s">
        <v>131</v>
      </c>
      <c r="E319" s="3" t="s">
        <v>23</v>
      </c>
      <c r="F319" s="3" t="s">
        <v>11</v>
      </c>
      <c r="G319" s="3" t="s">
        <v>200</v>
      </c>
      <c r="H319" s="3" t="s">
        <v>472</v>
      </c>
      <c r="I319" s="6">
        <v>10.3</v>
      </c>
      <c r="J319" s="4">
        <v>1</v>
      </c>
      <c r="K319" s="6">
        <v>-2.19</v>
      </c>
    </row>
    <row r="320" spans="1:11" x14ac:dyDescent="0.3">
      <c r="A320" s="7">
        <v>41735</v>
      </c>
      <c r="B320" s="4">
        <f>YEAR(SalesData[[#This Row],[Order Date]])</f>
        <v>2014</v>
      </c>
      <c r="C320" s="4">
        <f>MONTH(SalesData[[#This Row],[Order Date]])</f>
        <v>4</v>
      </c>
      <c r="D320" s="3" t="s">
        <v>131</v>
      </c>
      <c r="E320" s="3" t="s">
        <v>23</v>
      </c>
      <c r="F320" s="3" t="s">
        <v>34</v>
      </c>
      <c r="G320" s="3" t="s">
        <v>145</v>
      </c>
      <c r="H320" s="3" t="s">
        <v>473</v>
      </c>
      <c r="I320" s="6">
        <v>154.76</v>
      </c>
      <c r="J320" s="4">
        <v>3</v>
      </c>
      <c r="K320" s="6">
        <v>-36.11</v>
      </c>
    </row>
    <row r="321" spans="1:11" x14ac:dyDescent="0.3">
      <c r="A321" s="7">
        <v>41735</v>
      </c>
      <c r="B321" s="4">
        <f>YEAR(SalesData[[#This Row],[Order Date]])</f>
        <v>2014</v>
      </c>
      <c r="C321" s="4">
        <f>MONTH(SalesData[[#This Row],[Order Date]])</f>
        <v>4</v>
      </c>
      <c r="D321" s="3" t="s">
        <v>131</v>
      </c>
      <c r="E321" s="3" t="s">
        <v>23</v>
      </c>
      <c r="F321" s="3" t="s">
        <v>39</v>
      </c>
      <c r="G321" s="3" t="s">
        <v>52</v>
      </c>
      <c r="H321" s="3" t="s">
        <v>474</v>
      </c>
      <c r="I321" s="6">
        <v>116.78</v>
      </c>
      <c r="J321" s="4">
        <v>2</v>
      </c>
      <c r="K321" s="6">
        <v>21.9</v>
      </c>
    </row>
    <row r="322" spans="1:11" x14ac:dyDescent="0.3">
      <c r="A322" s="7">
        <v>41735</v>
      </c>
      <c r="B322" s="4">
        <f>YEAR(SalesData[[#This Row],[Order Date]])</f>
        <v>2014</v>
      </c>
      <c r="C322" s="4">
        <f>MONTH(SalesData[[#This Row],[Order Date]])</f>
        <v>4</v>
      </c>
      <c r="D322" s="3" t="s">
        <v>475</v>
      </c>
      <c r="E322" s="3" t="s">
        <v>164</v>
      </c>
      <c r="F322" s="3" t="s">
        <v>34</v>
      </c>
      <c r="G322" s="3" t="s">
        <v>145</v>
      </c>
      <c r="H322" s="3" t="s">
        <v>476</v>
      </c>
      <c r="I322" s="6">
        <v>653.54999999999995</v>
      </c>
      <c r="J322" s="4">
        <v>3</v>
      </c>
      <c r="K322" s="6">
        <v>111.1</v>
      </c>
    </row>
    <row r="323" spans="1:11" x14ac:dyDescent="0.3">
      <c r="A323" s="7">
        <v>41735</v>
      </c>
      <c r="B323" s="4">
        <f>YEAR(SalesData[[#This Row],[Order Date]])</f>
        <v>2014</v>
      </c>
      <c r="C323" s="4">
        <f>MONTH(SalesData[[#This Row],[Order Date]])</f>
        <v>4</v>
      </c>
      <c r="D323" s="3" t="s">
        <v>475</v>
      </c>
      <c r="E323" s="3" t="s">
        <v>164</v>
      </c>
      <c r="F323" s="3" t="s">
        <v>39</v>
      </c>
      <c r="G323" s="3" t="s">
        <v>52</v>
      </c>
      <c r="H323" s="3" t="s">
        <v>477</v>
      </c>
      <c r="I323" s="6">
        <v>33.9</v>
      </c>
      <c r="J323" s="4">
        <v>2</v>
      </c>
      <c r="K323" s="6">
        <v>2.0299999999999998</v>
      </c>
    </row>
    <row r="324" spans="1:11" x14ac:dyDescent="0.3">
      <c r="A324" s="7">
        <v>41735</v>
      </c>
      <c r="B324" s="4">
        <f>YEAR(SalesData[[#This Row],[Order Date]])</f>
        <v>2014</v>
      </c>
      <c r="C324" s="4">
        <f>MONTH(SalesData[[#This Row],[Order Date]])</f>
        <v>4</v>
      </c>
      <c r="D324" s="3" t="s">
        <v>478</v>
      </c>
      <c r="E324" s="3" t="s">
        <v>27</v>
      </c>
      <c r="F324" s="3" t="s">
        <v>34</v>
      </c>
      <c r="G324" s="3" t="s">
        <v>47</v>
      </c>
      <c r="H324" s="3" t="s">
        <v>479</v>
      </c>
      <c r="I324" s="6">
        <v>91.96</v>
      </c>
      <c r="J324" s="4">
        <v>2</v>
      </c>
      <c r="K324" s="6">
        <v>15.63</v>
      </c>
    </row>
    <row r="325" spans="1:11" x14ac:dyDescent="0.3">
      <c r="A325" s="7">
        <v>41735</v>
      </c>
      <c r="B325" s="4">
        <f>YEAR(SalesData[[#This Row],[Order Date]])</f>
        <v>2014</v>
      </c>
      <c r="C325" s="4">
        <f>MONTH(SalesData[[#This Row],[Order Date]])</f>
        <v>4</v>
      </c>
      <c r="D325" s="3" t="s">
        <v>478</v>
      </c>
      <c r="E325" s="3" t="s">
        <v>27</v>
      </c>
      <c r="F325" s="3" t="s">
        <v>34</v>
      </c>
      <c r="G325" s="3" t="s">
        <v>47</v>
      </c>
      <c r="H325" s="3" t="s">
        <v>480</v>
      </c>
      <c r="I325" s="6">
        <v>33.11</v>
      </c>
      <c r="J325" s="4">
        <v>7</v>
      </c>
      <c r="K325" s="6">
        <v>12.91</v>
      </c>
    </row>
    <row r="326" spans="1:11" x14ac:dyDescent="0.3">
      <c r="A326" s="7">
        <v>41735</v>
      </c>
      <c r="B326" s="4">
        <f>YEAR(SalesData[[#This Row],[Order Date]])</f>
        <v>2014</v>
      </c>
      <c r="C326" s="4">
        <f>MONTH(SalesData[[#This Row],[Order Date]])</f>
        <v>4</v>
      </c>
      <c r="D326" s="3" t="s">
        <v>478</v>
      </c>
      <c r="E326" s="3" t="s">
        <v>27</v>
      </c>
      <c r="F326" s="3" t="s">
        <v>11</v>
      </c>
      <c r="G326" s="3" t="s">
        <v>12</v>
      </c>
      <c r="H326" s="3" t="s">
        <v>481</v>
      </c>
      <c r="I326" s="6">
        <v>19.440000000000001</v>
      </c>
      <c r="J326" s="4">
        <v>3</v>
      </c>
      <c r="K326" s="6">
        <v>9.33</v>
      </c>
    </row>
    <row r="327" spans="1:11" x14ac:dyDescent="0.3">
      <c r="A327" s="7">
        <v>41735</v>
      </c>
      <c r="B327" s="4">
        <f>YEAR(SalesData[[#This Row],[Order Date]])</f>
        <v>2014</v>
      </c>
      <c r="C327" s="4">
        <f>MONTH(SalesData[[#This Row],[Order Date]])</f>
        <v>4</v>
      </c>
      <c r="D327" s="3" t="s">
        <v>478</v>
      </c>
      <c r="E327" s="3" t="s">
        <v>27</v>
      </c>
      <c r="F327" s="3" t="s">
        <v>11</v>
      </c>
      <c r="G327" s="3" t="s">
        <v>12</v>
      </c>
      <c r="H327" s="3" t="s">
        <v>482</v>
      </c>
      <c r="I327" s="6">
        <v>55.48</v>
      </c>
      <c r="J327" s="4">
        <v>1</v>
      </c>
      <c r="K327" s="6">
        <v>26.63</v>
      </c>
    </row>
    <row r="328" spans="1:11" x14ac:dyDescent="0.3">
      <c r="A328" s="7">
        <v>41735</v>
      </c>
      <c r="B328" s="4">
        <f>YEAR(SalesData[[#This Row],[Order Date]])</f>
        <v>2014</v>
      </c>
      <c r="C328" s="4">
        <f>MONTH(SalesData[[#This Row],[Order Date]])</f>
        <v>4</v>
      </c>
      <c r="D328" s="3" t="s">
        <v>483</v>
      </c>
      <c r="E328" s="3" t="s">
        <v>27</v>
      </c>
      <c r="F328" s="3" t="s">
        <v>11</v>
      </c>
      <c r="G328" s="3" t="s">
        <v>24</v>
      </c>
      <c r="H328" s="3" t="s">
        <v>484</v>
      </c>
      <c r="I328" s="6">
        <v>70.95</v>
      </c>
      <c r="J328" s="4">
        <v>3</v>
      </c>
      <c r="K328" s="6">
        <v>18.45</v>
      </c>
    </row>
    <row r="329" spans="1:11" x14ac:dyDescent="0.3">
      <c r="A329" s="7">
        <v>41735</v>
      </c>
      <c r="B329" s="4">
        <f>YEAR(SalesData[[#This Row],[Order Date]])</f>
        <v>2014</v>
      </c>
      <c r="C329" s="4">
        <f>MONTH(SalesData[[#This Row],[Order Date]])</f>
        <v>4</v>
      </c>
      <c r="D329" s="3" t="s">
        <v>483</v>
      </c>
      <c r="E329" s="3" t="s">
        <v>27</v>
      </c>
      <c r="F329" s="3" t="s">
        <v>11</v>
      </c>
      <c r="G329" s="3" t="s">
        <v>20</v>
      </c>
      <c r="H329" s="3" t="s">
        <v>485</v>
      </c>
      <c r="I329" s="6">
        <v>65.569999999999993</v>
      </c>
      <c r="J329" s="4">
        <v>2</v>
      </c>
      <c r="K329" s="6">
        <v>23.77</v>
      </c>
    </row>
    <row r="330" spans="1:11" x14ac:dyDescent="0.3">
      <c r="A330" s="7">
        <v>41735</v>
      </c>
      <c r="B330" s="4">
        <f>YEAR(SalesData[[#This Row],[Order Date]])</f>
        <v>2014</v>
      </c>
      <c r="C330" s="4">
        <f>MONTH(SalesData[[#This Row],[Order Date]])</f>
        <v>4</v>
      </c>
      <c r="D330" s="3" t="s">
        <v>483</v>
      </c>
      <c r="E330" s="3" t="s">
        <v>27</v>
      </c>
      <c r="F330" s="3" t="s">
        <v>39</v>
      </c>
      <c r="G330" s="3" t="s">
        <v>52</v>
      </c>
      <c r="H330" s="3" t="s">
        <v>486</v>
      </c>
      <c r="I330" s="6">
        <v>299.97000000000003</v>
      </c>
      <c r="J330" s="4">
        <v>3</v>
      </c>
      <c r="K330" s="6">
        <v>131.99</v>
      </c>
    </row>
    <row r="331" spans="1:11" x14ac:dyDescent="0.3">
      <c r="A331" s="7">
        <v>41736</v>
      </c>
      <c r="B331" s="4">
        <f>YEAR(SalesData[[#This Row],[Order Date]])</f>
        <v>2014</v>
      </c>
      <c r="C331" s="4">
        <f>MONTH(SalesData[[#This Row],[Order Date]])</f>
        <v>4</v>
      </c>
      <c r="D331" s="3" t="s">
        <v>487</v>
      </c>
      <c r="E331" s="3" t="s">
        <v>488</v>
      </c>
      <c r="F331" s="3" t="s">
        <v>34</v>
      </c>
      <c r="G331" s="3" t="s">
        <v>47</v>
      </c>
      <c r="H331" s="3" t="s">
        <v>489</v>
      </c>
      <c r="I331" s="6">
        <v>8.9600000000000009</v>
      </c>
      <c r="J331" s="4">
        <v>2</v>
      </c>
      <c r="K331" s="6">
        <v>2.78</v>
      </c>
    </row>
    <row r="332" spans="1:11" x14ac:dyDescent="0.3">
      <c r="A332" s="7">
        <v>41736</v>
      </c>
      <c r="B332" s="4">
        <f>YEAR(SalesData[[#This Row],[Order Date]])</f>
        <v>2014</v>
      </c>
      <c r="C332" s="4">
        <f>MONTH(SalesData[[#This Row],[Order Date]])</f>
        <v>4</v>
      </c>
      <c r="D332" s="3" t="s">
        <v>490</v>
      </c>
      <c r="E332" s="3" t="s">
        <v>70</v>
      </c>
      <c r="F332" s="3" t="s">
        <v>39</v>
      </c>
      <c r="G332" s="3" t="s">
        <v>40</v>
      </c>
      <c r="H332" s="3" t="s">
        <v>400</v>
      </c>
      <c r="I332" s="6">
        <v>629.95000000000005</v>
      </c>
      <c r="J332" s="4">
        <v>5</v>
      </c>
      <c r="K332" s="6">
        <v>163.79</v>
      </c>
    </row>
    <row r="333" spans="1:11" x14ac:dyDescent="0.3">
      <c r="A333" s="7">
        <v>41736</v>
      </c>
      <c r="B333" s="4">
        <f>YEAR(SalesData[[#This Row],[Order Date]])</f>
        <v>2014</v>
      </c>
      <c r="C333" s="4">
        <f>MONTH(SalesData[[#This Row],[Order Date]])</f>
        <v>4</v>
      </c>
      <c r="D333" s="3" t="s">
        <v>490</v>
      </c>
      <c r="E333" s="3" t="s">
        <v>70</v>
      </c>
      <c r="F333" s="3" t="s">
        <v>11</v>
      </c>
      <c r="G333" s="3" t="s">
        <v>12</v>
      </c>
      <c r="H333" s="3" t="s">
        <v>491</v>
      </c>
      <c r="I333" s="6">
        <v>122.97</v>
      </c>
      <c r="J333" s="4">
        <v>3</v>
      </c>
      <c r="K333" s="6">
        <v>60.26</v>
      </c>
    </row>
    <row r="334" spans="1:11" x14ac:dyDescent="0.3">
      <c r="A334" s="7">
        <v>41736</v>
      </c>
      <c r="B334" s="4">
        <f>YEAR(SalesData[[#This Row],[Order Date]])</f>
        <v>2014</v>
      </c>
      <c r="C334" s="4">
        <f>MONTH(SalesData[[#This Row],[Order Date]])</f>
        <v>4</v>
      </c>
      <c r="D334" s="3" t="s">
        <v>492</v>
      </c>
      <c r="E334" s="3" t="s">
        <v>30</v>
      </c>
      <c r="F334" s="3" t="s">
        <v>11</v>
      </c>
      <c r="G334" s="3" t="s">
        <v>12</v>
      </c>
      <c r="H334" s="3" t="s">
        <v>493</v>
      </c>
      <c r="I334" s="6">
        <v>58.32</v>
      </c>
      <c r="J334" s="4">
        <v>9</v>
      </c>
      <c r="K334" s="6">
        <v>27.99</v>
      </c>
    </row>
    <row r="335" spans="1:11" x14ac:dyDescent="0.3">
      <c r="A335" s="7">
        <v>41736</v>
      </c>
      <c r="B335" s="4">
        <f>YEAR(SalesData[[#This Row],[Order Date]])</f>
        <v>2014</v>
      </c>
      <c r="C335" s="4">
        <f>MONTH(SalesData[[#This Row],[Order Date]])</f>
        <v>4</v>
      </c>
      <c r="D335" s="3" t="s">
        <v>492</v>
      </c>
      <c r="E335" s="3" t="s">
        <v>30</v>
      </c>
      <c r="F335" s="3" t="s">
        <v>39</v>
      </c>
      <c r="G335" s="3" t="s">
        <v>40</v>
      </c>
      <c r="H335" s="3" t="s">
        <v>494</v>
      </c>
      <c r="I335" s="6">
        <v>200.97</v>
      </c>
      <c r="J335" s="4">
        <v>3</v>
      </c>
      <c r="K335" s="6">
        <v>50.24</v>
      </c>
    </row>
    <row r="336" spans="1:11" x14ac:dyDescent="0.3">
      <c r="A336" s="7">
        <v>41737</v>
      </c>
      <c r="B336" s="4">
        <f>YEAR(SalesData[[#This Row],[Order Date]])</f>
        <v>2014</v>
      </c>
      <c r="C336" s="4">
        <f>MONTH(SalesData[[#This Row],[Order Date]])</f>
        <v>4</v>
      </c>
      <c r="D336" s="3" t="s">
        <v>495</v>
      </c>
      <c r="E336" s="3" t="s">
        <v>95</v>
      </c>
      <c r="F336" s="3" t="s">
        <v>11</v>
      </c>
      <c r="G336" s="3" t="s">
        <v>43</v>
      </c>
      <c r="H336" s="3" t="s">
        <v>496</v>
      </c>
      <c r="I336" s="6">
        <v>2.37</v>
      </c>
      <c r="J336" s="4">
        <v>2</v>
      </c>
      <c r="K336" s="6">
        <v>0.83</v>
      </c>
    </row>
    <row r="337" spans="1:11" x14ac:dyDescent="0.3">
      <c r="A337" s="7">
        <v>41737</v>
      </c>
      <c r="B337" s="4">
        <f>YEAR(SalesData[[#This Row],[Order Date]])</f>
        <v>2014</v>
      </c>
      <c r="C337" s="4">
        <f>MONTH(SalesData[[#This Row],[Order Date]])</f>
        <v>4</v>
      </c>
      <c r="D337" s="3" t="s">
        <v>495</v>
      </c>
      <c r="E337" s="3" t="s">
        <v>95</v>
      </c>
      <c r="F337" s="3" t="s">
        <v>11</v>
      </c>
      <c r="G337" s="3" t="s">
        <v>12</v>
      </c>
      <c r="H337" s="3" t="s">
        <v>497</v>
      </c>
      <c r="I337" s="6">
        <v>19.010000000000002</v>
      </c>
      <c r="J337" s="4">
        <v>3</v>
      </c>
      <c r="K337" s="6">
        <v>6.89</v>
      </c>
    </row>
    <row r="338" spans="1:11" x14ac:dyDescent="0.3">
      <c r="A338" s="7">
        <v>41737</v>
      </c>
      <c r="B338" s="4">
        <f>YEAR(SalesData[[#This Row],[Order Date]])</f>
        <v>2014</v>
      </c>
      <c r="C338" s="4">
        <f>MONTH(SalesData[[#This Row],[Order Date]])</f>
        <v>4</v>
      </c>
      <c r="D338" s="3" t="s">
        <v>498</v>
      </c>
      <c r="E338" s="3" t="s">
        <v>488</v>
      </c>
      <c r="F338" s="3" t="s">
        <v>34</v>
      </c>
      <c r="G338" s="3" t="s">
        <v>145</v>
      </c>
      <c r="H338" s="3" t="s">
        <v>499</v>
      </c>
      <c r="I338" s="6">
        <v>1215.92</v>
      </c>
      <c r="J338" s="4">
        <v>8</v>
      </c>
      <c r="K338" s="6">
        <v>316.14</v>
      </c>
    </row>
    <row r="339" spans="1:11" x14ac:dyDescent="0.3">
      <c r="A339" s="7">
        <v>41737</v>
      </c>
      <c r="B339" s="4">
        <f>YEAR(SalesData[[#This Row],[Order Date]])</f>
        <v>2014</v>
      </c>
      <c r="C339" s="4">
        <f>MONTH(SalesData[[#This Row],[Order Date]])</f>
        <v>4</v>
      </c>
      <c r="D339" s="3" t="s">
        <v>500</v>
      </c>
      <c r="E339" s="3" t="s">
        <v>95</v>
      </c>
      <c r="F339" s="3" t="s">
        <v>11</v>
      </c>
      <c r="G339" s="3" t="s">
        <v>43</v>
      </c>
      <c r="H339" s="3" t="s">
        <v>44</v>
      </c>
      <c r="I339" s="6">
        <v>49.79</v>
      </c>
      <c r="J339" s="4">
        <v>8</v>
      </c>
      <c r="K339" s="6">
        <v>-11.83</v>
      </c>
    </row>
    <row r="340" spans="1:11" x14ac:dyDescent="0.3">
      <c r="A340" s="7">
        <v>41737</v>
      </c>
      <c r="B340" s="4">
        <f>YEAR(SalesData[[#This Row],[Order Date]])</f>
        <v>2014</v>
      </c>
      <c r="C340" s="4">
        <f>MONTH(SalesData[[#This Row],[Order Date]])</f>
        <v>4</v>
      </c>
      <c r="D340" s="3" t="s">
        <v>180</v>
      </c>
      <c r="E340" s="3" t="s">
        <v>27</v>
      </c>
      <c r="F340" s="3" t="s">
        <v>34</v>
      </c>
      <c r="G340" s="3" t="s">
        <v>145</v>
      </c>
      <c r="H340" s="3" t="s">
        <v>501</v>
      </c>
      <c r="I340" s="6">
        <v>99.59</v>
      </c>
      <c r="J340" s="4">
        <v>1</v>
      </c>
      <c r="K340" s="6">
        <v>2.4900000000000002</v>
      </c>
    </row>
    <row r="341" spans="1:11" x14ac:dyDescent="0.3">
      <c r="A341" s="7">
        <v>41737</v>
      </c>
      <c r="B341" s="4">
        <f>YEAR(SalesData[[#This Row],[Order Date]])</f>
        <v>2014</v>
      </c>
      <c r="C341" s="4">
        <f>MONTH(SalesData[[#This Row],[Order Date]])</f>
        <v>4</v>
      </c>
      <c r="D341" s="3" t="s">
        <v>180</v>
      </c>
      <c r="E341" s="3" t="s">
        <v>27</v>
      </c>
      <c r="F341" s="3" t="s">
        <v>39</v>
      </c>
      <c r="G341" s="3" t="s">
        <v>52</v>
      </c>
      <c r="H341" s="3" t="s">
        <v>502</v>
      </c>
      <c r="I341" s="6">
        <v>399.96</v>
      </c>
      <c r="J341" s="4">
        <v>4</v>
      </c>
      <c r="K341" s="6">
        <v>139.99</v>
      </c>
    </row>
    <row r="342" spans="1:11" x14ac:dyDescent="0.3">
      <c r="A342" s="7">
        <v>41737</v>
      </c>
      <c r="B342" s="4">
        <f>YEAR(SalesData[[#This Row],[Order Date]])</f>
        <v>2014</v>
      </c>
      <c r="C342" s="4">
        <f>MONTH(SalesData[[#This Row],[Order Date]])</f>
        <v>4</v>
      </c>
      <c r="D342" s="3" t="s">
        <v>503</v>
      </c>
      <c r="E342" s="3" t="s">
        <v>78</v>
      </c>
      <c r="F342" s="3" t="s">
        <v>34</v>
      </c>
      <c r="G342" s="3" t="s">
        <v>145</v>
      </c>
      <c r="H342" s="3" t="s">
        <v>504</v>
      </c>
      <c r="I342" s="6">
        <v>172.11</v>
      </c>
      <c r="J342" s="4">
        <v>1</v>
      </c>
      <c r="K342" s="6">
        <v>-94.66</v>
      </c>
    </row>
    <row r="343" spans="1:11" x14ac:dyDescent="0.3">
      <c r="A343" s="7">
        <v>41740</v>
      </c>
      <c r="B343" s="4">
        <f>YEAR(SalesData[[#This Row],[Order Date]])</f>
        <v>2014</v>
      </c>
      <c r="C343" s="4">
        <f>MONTH(SalesData[[#This Row],[Order Date]])</f>
        <v>4</v>
      </c>
      <c r="D343" s="3" t="s">
        <v>505</v>
      </c>
      <c r="E343" s="3" t="s">
        <v>123</v>
      </c>
      <c r="F343" s="3" t="s">
        <v>11</v>
      </c>
      <c r="G343" s="3" t="s">
        <v>43</v>
      </c>
      <c r="H343" s="3" t="s">
        <v>506</v>
      </c>
      <c r="I343" s="6">
        <v>6.91</v>
      </c>
      <c r="J343" s="4">
        <v>3</v>
      </c>
      <c r="K343" s="6">
        <v>2.33</v>
      </c>
    </row>
    <row r="344" spans="1:11" x14ac:dyDescent="0.3">
      <c r="A344" s="7">
        <v>41740</v>
      </c>
      <c r="B344" s="4">
        <f>YEAR(SalesData[[#This Row],[Order Date]])</f>
        <v>2014</v>
      </c>
      <c r="C344" s="4">
        <f>MONTH(SalesData[[#This Row],[Order Date]])</f>
        <v>4</v>
      </c>
      <c r="D344" s="3" t="s">
        <v>505</v>
      </c>
      <c r="E344" s="3" t="s">
        <v>123</v>
      </c>
      <c r="F344" s="3" t="s">
        <v>39</v>
      </c>
      <c r="G344" s="3" t="s">
        <v>52</v>
      </c>
      <c r="H344" s="3" t="s">
        <v>261</v>
      </c>
      <c r="I344" s="6">
        <v>383.98</v>
      </c>
      <c r="J344" s="4">
        <v>3</v>
      </c>
      <c r="K344" s="6">
        <v>81.59</v>
      </c>
    </row>
    <row r="345" spans="1:11" x14ac:dyDescent="0.3">
      <c r="A345" s="7">
        <v>41740</v>
      </c>
      <c r="B345" s="4">
        <f>YEAR(SalesData[[#This Row],[Order Date]])</f>
        <v>2014</v>
      </c>
      <c r="C345" s="4">
        <f>MONTH(SalesData[[#This Row],[Order Date]])</f>
        <v>4</v>
      </c>
      <c r="D345" s="3" t="s">
        <v>505</v>
      </c>
      <c r="E345" s="3" t="s">
        <v>123</v>
      </c>
      <c r="F345" s="3" t="s">
        <v>11</v>
      </c>
      <c r="G345" s="3" t="s">
        <v>12</v>
      </c>
      <c r="H345" s="3" t="s">
        <v>507</v>
      </c>
      <c r="I345" s="6">
        <v>10.37</v>
      </c>
      <c r="J345" s="4">
        <v>2</v>
      </c>
      <c r="K345" s="6">
        <v>3.63</v>
      </c>
    </row>
    <row r="346" spans="1:11" x14ac:dyDescent="0.3">
      <c r="A346" s="7">
        <v>41740</v>
      </c>
      <c r="B346" s="4">
        <f>YEAR(SalesData[[#This Row],[Order Date]])</f>
        <v>2014</v>
      </c>
      <c r="C346" s="4">
        <f>MONTH(SalesData[[#This Row],[Order Date]])</f>
        <v>4</v>
      </c>
      <c r="D346" s="3" t="s">
        <v>505</v>
      </c>
      <c r="E346" s="3" t="s">
        <v>123</v>
      </c>
      <c r="F346" s="3" t="s">
        <v>39</v>
      </c>
      <c r="G346" s="3" t="s">
        <v>52</v>
      </c>
      <c r="H346" s="3" t="s">
        <v>508</v>
      </c>
      <c r="I346" s="6">
        <v>335.94</v>
      </c>
      <c r="J346" s="4">
        <v>7</v>
      </c>
      <c r="K346" s="6">
        <v>41.99</v>
      </c>
    </row>
    <row r="347" spans="1:11" x14ac:dyDescent="0.3">
      <c r="A347" s="7">
        <v>41740</v>
      </c>
      <c r="B347" s="4">
        <f>YEAR(SalesData[[#This Row],[Order Date]])</f>
        <v>2014</v>
      </c>
      <c r="C347" s="4">
        <f>MONTH(SalesData[[#This Row],[Order Date]])</f>
        <v>4</v>
      </c>
      <c r="D347" s="3" t="s">
        <v>509</v>
      </c>
      <c r="E347" s="3" t="s">
        <v>510</v>
      </c>
      <c r="F347" s="3" t="s">
        <v>11</v>
      </c>
      <c r="G347" s="3" t="s">
        <v>20</v>
      </c>
      <c r="H347" s="3" t="s">
        <v>511</v>
      </c>
      <c r="I347" s="6">
        <v>9.58</v>
      </c>
      <c r="J347" s="4">
        <v>1</v>
      </c>
      <c r="K347" s="6">
        <v>3.35</v>
      </c>
    </row>
    <row r="348" spans="1:11" x14ac:dyDescent="0.3">
      <c r="A348" s="7">
        <v>41740</v>
      </c>
      <c r="B348" s="4">
        <f>YEAR(SalesData[[#This Row],[Order Date]])</f>
        <v>2014</v>
      </c>
      <c r="C348" s="4">
        <f>MONTH(SalesData[[#This Row],[Order Date]])</f>
        <v>4</v>
      </c>
      <c r="D348" s="3" t="s">
        <v>512</v>
      </c>
      <c r="E348" s="3" t="s">
        <v>10</v>
      </c>
      <c r="F348" s="3" t="s">
        <v>39</v>
      </c>
      <c r="G348" s="3" t="s">
        <v>40</v>
      </c>
      <c r="H348" s="3" t="s">
        <v>513</v>
      </c>
      <c r="I348" s="6">
        <v>758.35</v>
      </c>
      <c r="J348" s="4">
        <v>6</v>
      </c>
      <c r="K348" s="6">
        <v>265.42</v>
      </c>
    </row>
    <row r="349" spans="1:11" x14ac:dyDescent="0.3">
      <c r="A349" s="7">
        <v>41740</v>
      </c>
      <c r="B349" s="4">
        <f>YEAR(SalesData[[#This Row],[Order Date]])</f>
        <v>2014</v>
      </c>
      <c r="C349" s="4">
        <f>MONTH(SalesData[[#This Row],[Order Date]])</f>
        <v>4</v>
      </c>
      <c r="D349" s="3" t="s">
        <v>514</v>
      </c>
      <c r="E349" s="3" t="s">
        <v>515</v>
      </c>
      <c r="F349" s="3" t="s">
        <v>11</v>
      </c>
      <c r="G349" s="3" t="s">
        <v>18</v>
      </c>
      <c r="H349" s="3" t="s">
        <v>516</v>
      </c>
      <c r="I349" s="6">
        <v>87.08</v>
      </c>
      <c r="J349" s="4">
        <v>7</v>
      </c>
      <c r="K349" s="6">
        <v>24.38</v>
      </c>
    </row>
    <row r="350" spans="1:11" x14ac:dyDescent="0.3">
      <c r="A350" s="7">
        <v>41740</v>
      </c>
      <c r="B350" s="4">
        <f>YEAR(SalesData[[#This Row],[Order Date]])</f>
        <v>2014</v>
      </c>
      <c r="C350" s="4">
        <f>MONTH(SalesData[[#This Row],[Order Date]])</f>
        <v>4</v>
      </c>
      <c r="D350" s="3" t="s">
        <v>514</v>
      </c>
      <c r="E350" s="3" t="s">
        <v>515</v>
      </c>
      <c r="F350" s="3" t="s">
        <v>39</v>
      </c>
      <c r="G350" s="3" t="s">
        <v>40</v>
      </c>
      <c r="H350" s="3" t="s">
        <v>517</v>
      </c>
      <c r="I350" s="6">
        <v>105.58</v>
      </c>
      <c r="J350" s="4">
        <v>2</v>
      </c>
      <c r="K350" s="6">
        <v>9.24</v>
      </c>
    </row>
    <row r="351" spans="1:11" x14ac:dyDescent="0.3">
      <c r="A351" s="7">
        <v>41740</v>
      </c>
      <c r="B351" s="4">
        <f>YEAR(SalesData[[#This Row],[Order Date]])</f>
        <v>2014</v>
      </c>
      <c r="C351" s="4">
        <f>MONTH(SalesData[[#This Row],[Order Date]])</f>
        <v>4</v>
      </c>
      <c r="D351" s="3" t="s">
        <v>514</v>
      </c>
      <c r="E351" s="3" t="s">
        <v>515</v>
      </c>
      <c r="F351" s="3" t="s">
        <v>39</v>
      </c>
      <c r="G351" s="3" t="s">
        <v>52</v>
      </c>
      <c r="H351" s="3" t="s">
        <v>518</v>
      </c>
      <c r="I351" s="6">
        <v>217.44</v>
      </c>
      <c r="J351" s="4">
        <v>6</v>
      </c>
      <c r="K351" s="6">
        <v>91.32</v>
      </c>
    </row>
    <row r="352" spans="1:11" x14ac:dyDescent="0.3">
      <c r="A352" s="7">
        <v>41741</v>
      </c>
      <c r="B352" s="4">
        <f>YEAR(SalesData[[#This Row],[Order Date]])</f>
        <v>2014</v>
      </c>
      <c r="C352" s="4">
        <f>MONTH(SalesData[[#This Row],[Order Date]])</f>
        <v>4</v>
      </c>
      <c r="D352" s="3" t="s">
        <v>519</v>
      </c>
      <c r="E352" s="3" t="s">
        <v>27</v>
      </c>
      <c r="F352" s="3" t="s">
        <v>39</v>
      </c>
      <c r="G352" s="3" t="s">
        <v>40</v>
      </c>
      <c r="H352" s="3" t="s">
        <v>520</v>
      </c>
      <c r="I352" s="6">
        <v>1075.0899999999999</v>
      </c>
      <c r="J352" s="4">
        <v>14</v>
      </c>
      <c r="K352" s="6">
        <v>94.07</v>
      </c>
    </row>
    <row r="353" spans="1:11" x14ac:dyDescent="0.3">
      <c r="A353" s="7">
        <v>41741</v>
      </c>
      <c r="B353" s="4">
        <f>YEAR(SalesData[[#This Row],[Order Date]])</f>
        <v>2014</v>
      </c>
      <c r="C353" s="4">
        <f>MONTH(SalesData[[#This Row],[Order Date]])</f>
        <v>4</v>
      </c>
      <c r="D353" s="3" t="s">
        <v>519</v>
      </c>
      <c r="E353" s="3" t="s">
        <v>27</v>
      </c>
      <c r="F353" s="3" t="s">
        <v>39</v>
      </c>
      <c r="G353" s="3" t="s">
        <v>40</v>
      </c>
      <c r="H353" s="3" t="s">
        <v>521</v>
      </c>
      <c r="I353" s="6">
        <v>438.37</v>
      </c>
      <c r="J353" s="4">
        <v>4</v>
      </c>
      <c r="K353" s="6">
        <v>38.36</v>
      </c>
    </row>
    <row r="354" spans="1:11" x14ac:dyDescent="0.3">
      <c r="A354" s="7">
        <v>41741</v>
      </c>
      <c r="B354" s="4">
        <f>YEAR(SalesData[[#This Row],[Order Date]])</f>
        <v>2014</v>
      </c>
      <c r="C354" s="4">
        <f>MONTH(SalesData[[#This Row],[Order Date]])</f>
        <v>4</v>
      </c>
      <c r="D354" s="3" t="s">
        <v>519</v>
      </c>
      <c r="E354" s="3" t="s">
        <v>27</v>
      </c>
      <c r="F354" s="3" t="s">
        <v>11</v>
      </c>
      <c r="G354" s="3" t="s">
        <v>20</v>
      </c>
      <c r="H354" s="3" t="s">
        <v>522</v>
      </c>
      <c r="I354" s="6">
        <v>18.09</v>
      </c>
      <c r="J354" s="4">
        <v>7</v>
      </c>
      <c r="K354" s="6">
        <v>6.56</v>
      </c>
    </row>
    <row r="355" spans="1:11" x14ac:dyDescent="0.3">
      <c r="A355" s="7">
        <v>41741</v>
      </c>
      <c r="B355" s="4">
        <f>YEAR(SalesData[[#This Row],[Order Date]])</f>
        <v>2014</v>
      </c>
      <c r="C355" s="4">
        <f>MONTH(SalesData[[#This Row],[Order Date]])</f>
        <v>4</v>
      </c>
      <c r="D355" s="3" t="s">
        <v>519</v>
      </c>
      <c r="E355" s="3" t="s">
        <v>27</v>
      </c>
      <c r="F355" s="3" t="s">
        <v>34</v>
      </c>
      <c r="G355" s="3" t="s">
        <v>74</v>
      </c>
      <c r="H355" s="3" t="s">
        <v>412</v>
      </c>
      <c r="I355" s="6">
        <v>308.5</v>
      </c>
      <c r="J355" s="4">
        <v>3</v>
      </c>
      <c r="K355" s="6">
        <v>-18.149999999999999</v>
      </c>
    </row>
    <row r="356" spans="1:11" x14ac:dyDescent="0.3">
      <c r="A356" s="7">
        <v>41741</v>
      </c>
      <c r="B356" s="4">
        <f>YEAR(SalesData[[#This Row],[Order Date]])</f>
        <v>2014</v>
      </c>
      <c r="C356" s="4">
        <f>MONTH(SalesData[[#This Row],[Order Date]])</f>
        <v>4</v>
      </c>
      <c r="D356" s="3" t="s">
        <v>523</v>
      </c>
      <c r="E356" s="3" t="s">
        <v>129</v>
      </c>
      <c r="F356" s="3" t="s">
        <v>11</v>
      </c>
      <c r="G356" s="3" t="s">
        <v>12</v>
      </c>
      <c r="H356" s="3" t="s">
        <v>524</v>
      </c>
      <c r="I356" s="6">
        <v>32.4</v>
      </c>
      <c r="J356" s="4">
        <v>5</v>
      </c>
      <c r="K356" s="6">
        <v>15.55</v>
      </c>
    </row>
    <row r="357" spans="1:11" x14ac:dyDescent="0.3">
      <c r="A357" s="7">
        <v>41741</v>
      </c>
      <c r="B357" s="4">
        <f>YEAR(SalesData[[#This Row],[Order Date]])</f>
        <v>2014</v>
      </c>
      <c r="C357" s="4">
        <f>MONTH(SalesData[[#This Row],[Order Date]])</f>
        <v>4</v>
      </c>
      <c r="D357" s="3" t="s">
        <v>525</v>
      </c>
      <c r="E357" s="3" t="s">
        <v>27</v>
      </c>
      <c r="F357" s="3" t="s">
        <v>11</v>
      </c>
      <c r="G357" s="3" t="s">
        <v>24</v>
      </c>
      <c r="H357" s="3" t="s">
        <v>526</v>
      </c>
      <c r="I357" s="6">
        <v>39.68</v>
      </c>
      <c r="J357" s="4">
        <v>2</v>
      </c>
      <c r="K357" s="6">
        <v>16.27</v>
      </c>
    </row>
    <row r="358" spans="1:11" x14ac:dyDescent="0.3">
      <c r="A358" s="7">
        <v>41742</v>
      </c>
      <c r="B358" s="4">
        <f>YEAR(SalesData[[#This Row],[Order Date]])</f>
        <v>2014</v>
      </c>
      <c r="C358" s="4">
        <f>MONTH(SalesData[[#This Row],[Order Date]])</f>
        <v>4</v>
      </c>
      <c r="D358" s="3" t="s">
        <v>387</v>
      </c>
      <c r="E358" s="3" t="s">
        <v>23</v>
      </c>
      <c r="F358" s="3" t="s">
        <v>11</v>
      </c>
      <c r="G358" s="3" t="s">
        <v>24</v>
      </c>
      <c r="H358" s="3" t="s">
        <v>527</v>
      </c>
      <c r="I358" s="6">
        <v>17.86</v>
      </c>
      <c r="J358" s="4">
        <v>4</v>
      </c>
      <c r="K358" s="6">
        <v>1.1200000000000001</v>
      </c>
    </row>
    <row r="359" spans="1:11" x14ac:dyDescent="0.3">
      <c r="A359" s="7">
        <v>41742</v>
      </c>
      <c r="B359" s="4">
        <f>YEAR(SalesData[[#This Row],[Order Date]])</f>
        <v>2014</v>
      </c>
      <c r="C359" s="4">
        <f>MONTH(SalesData[[#This Row],[Order Date]])</f>
        <v>4</v>
      </c>
      <c r="D359" s="3" t="s">
        <v>387</v>
      </c>
      <c r="E359" s="3" t="s">
        <v>23</v>
      </c>
      <c r="F359" s="3" t="s">
        <v>11</v>
      </c>
      <c r="G359" s="3" t="s">
        <v>20</v>
      </c>
      <c r="H359" s="3" t="s">
        <v>528</v>
      </c>
      <c r="I359" s="6">
        <v>509.97</v>
      </c>
      <c r="J359" s="4">
        <v>10</v>
      </c>
      <c r="K359" s="6">
        <v>-407.98</v>
      </c>
    </row>
    <row r="360" spans="1:11" x14ac:dyDescent="0.3">
      <c r="A360" s="7">
        <v>41742</v>
      </c>
      <c r="B360" s="4">
        <f>YEAR(SalesData[[#This Row],[Order Date]])</f>
        <v>2014</v>
      </c>
      <c r="C360" s="4">
        <f>MONTH(SalesData[[#This Row],[Order Date]])</f>
        <v>4</v>
      </c>
      <c r="D360" s="3" t="s">
        <v>387</v>
      </c>
      <c r="E360" s="3" t="s">
        <v>23</v>
      </c>
      <c r="F360" s="3" t="s">
        <v>11</v>
      </c>
      <c r="G360" s="3" t="s">
        <v>43</v>
      </c>
      <c r="H360" s="3" t="s">
        <v>160</v>
      </c>
      <c r="I360" s="6">
        <v>30.99</v>
      </c>
      <c r="J360" s="4">
        <v>13</v>
      </c>
      <c r="K360" s="6">
        <v>10.07</v>
      </c>
    </row>
    <row r="361" spans="1:11" x14ac:dyDescent="0.3">
      <c r="A361" s="7">
        <v>41742</v>
      </c>
      <c r="B361" s="4">
        <f>YEAR(SalesData[[#This Row],[Order Date]])</f>
        <v>2014</v>
      </c>
      <c r="C361" s="4">
        <f>MONTH(SalesData[[#This Row],[Order Date]])</f>
        <v>4</v>
      </c>
      <c r="D361" s="3" t="s">
        <v>387</v>
      </c>
      <c r="E361" s="3" t="s">
        <v>23</v>
      </c>
      <c r="F361" s="3" t="s">
        <v>39</v>
      </c>
      <c r="G361" s="3" t="s">
        <v>40</v>
      </c>
      <c r="H361" s="3" t="s">
        <v>529</v>
      </c>
      <c r="I361" s="6">
        <v>71.930000000000007</v>
      </c>
      <c r="J361" s="4">
        <v>12</v>
      </c>
      <c r="K361" s="6">
        <v>8.39</v>
      </c>
    </row>
    <row r="362" spans="1:11" x14ac:dyDescent="0.3">
      <c r="A362" s="7">
        <v>41742</v>
      </c>
      <c r="B362" s="4">
        <f>YEAR(SalesData[[#This Row],[Order Date]])</f>
        <v>2014</v>
      </c>
      <c r="C362" s="4">
        <f>MONTH(SalesData[[#This Row],[Order Date]])</f>
        <v>4</v>
      </c>
      <c r="D362" s="3" t="s">
        <v>530</v>
      </c>
      <c r="E362" s="3" t="s">
        <v>531</v>
      </c>
      <c r="F362" s="3" t="s">
        <v>11</v>
      </c>
      <c r="G362" s="3" t="s">
        <v>16</v>
      </c>
      <c r="H362" s="3" t="s">
        <v>532</v>
      </c>
      <c r="I362" s="6">
        <v>7.83</v>
      </c>
      <c r="J362" s="4">
        <v>3</v>
      </c>
      <c r="K362" s="6">
        <v>3.6</v>
      </c>
    </row>
    <row r="363" spans="1:11" x14ac:dyDescent="0.3">
      <c r="A363" s="7">
        <v>41744</v>
      </c>
      <c r="B363" s="4">
        <f>YEAR(SalesData[[#This Row],[Order Date]])</f>
        <v>2014</v>
      </c>
      <c r="C363" s="4">
        <f>MONTH(SalesData[[#This Row],[Order Date]])</f>
        <v>4</v>
      </c>
      <c r="D363" s="3" t="s">
        <v>533</v>
      </c>
      <c r="E363" s="3" t="s">
        <v>27</v>
      </c>
      <c r="F363" s="3" t="s">
        <v>11</v>
      </c>
      <c r="G363" s="3" t="s">
        <v>92</v>
      </c>
      <c r="H363" s="3" t="s">
        <v>534</v>
      </c>
      <c r="I363" s="6">
        <v>106.96</v>
      </c>
      <c r="J363" s="4">
        <v>2</v>
      </c>
      <c r="K363" s="6">
        <v>31.02</v>
      </c>
    </row>
    <row r="364" spans="1:11" x14ac:dyDescent="0.3">
      <c r="A364" s="7">
        <v>41744</v>
      </c>
      <c r="B364" s="4">
        <f>YEAR(SalesData[[#This Row],[Order Date]])</f>
        <v>2014</v>
      </c>
      <c r="C364" s="4">
        <f>MONTH(SalesData[[#This Row],[Order Date]])</f>
        <v>4</v>
      </c>
      <c r="D364" s="3" t="s">
        <v>533</v>
      </c>
      <c r="E364" s="3" t="s">
        <v>27</v>
      </c>
      <c r="F364" s="3" t="s">
        <v>34</v>
      </c>
      <c r="G364" s="3" t="s">
        <v>47</v>
      </c>
      <c r="H364" s="3" t="s">
        <v>535</v>
      </c>
      <c r="I364" s="6">
        <v>187.76</v>
      </c>
      <c r="J364" s="4">
        <v>4</v>
      </c>
      <c r="K364" s="6">
        <v>76.98</v>
      </c>
    </row>
    <row r="365" spans="1:11" x14ac:dyDescent="0.3">
      <c r="A365" s="7">
        <v>41745</v>
      </c>
      <c r="B365" s="4">
        <f>YEAR(SalesData[[#This Row],[Order Date]])</f>
        <v>2014</v>
      </c>
      <c r="C365" s="4">
        <f>MONTH(SalesData[[#This Row],[Order Date]])</f>
        <v>4</v>
      </c>
      <c r="D365" s="3" t="s">
        <v>536</v>
      </c>
      <c r="E365" s="3" t="s">
        <v>245</v>
      </c>
      <c r="F365" s="3" t="s">
        <v>11</v>
      </c>
      <c r="G365" s="3" t="s">
        <v>24</v>
      </c>
      <c r="H365" s="3" t="s">
        <v>25</v>
      </c>
      <c r="I365" s="6">
        <v>39.07</v>
      </c>
      <c r="J365" s="4">
        <v>6</v>
      </c>
      <c r="K365" s="6">
        <v>9.77</v>
      </c>
    </row>
    <row r="366" spans="1:11" x14ac:dyDescent="0.3">
      <c r="A366" s="7">
        <v>41747</v>
      </c>
      <c r="B366" s="4">
        <f>YEAR(SalesData[[#This Row],[Order Date]])</f>
        <v>2014</v>
      </c>
      <c r="C366" s="4">
        <f>MONTH(SalesData[[#This Row],[Order Date]])</f>
        <v>4</v>
      </c>
      <c r="D366" s="3" t="s">
        <v>537</v>
      </c>
      <c r="E366" s="3" t="s">
        <v>27</v>
      </c>
      <c r="F366" s="3" t="s">
        <v>39</v>
      </c>
      <c r="G366" s="3" t="s">
        <v>302</v>
      </c>
      <c r="H366" s="3" t="s">
        <v>538</v>
      </c>
      <c r="I366" s="6">
        <v>287.97000000000003</v>
      </c>
      <c r="J366" s="4">
        <v>4</v>
      </c>
      <c r="K366" s="6">
        <v>97.19</v>
      </c>
    </row>
    <row r="367" spans="1:11" x14ac:dyDescent="0.3">
      <c r="A367" s="7">
        <v>41747</v>
      </c>
      <c r="B367" s="4">
        <f>YEAR(SalesData[[#This Row],[Order Date]])</f>
        <v>2014</v>
      </c>
      <c r="C367" s="4">
        <f>MONTH(SalesData[[#This Row],[Order Date]])</f>
        <v>4</v>
      </c>
      <c r="D367" s="3" t="s">
        <v>537</v>
      </c>
      <c r="E367" s="3" t="s">
        <v>27</v>
      </c>
      <c r="F367" s="3" t="s">
        <v>11</v>
      </c>
      <c r="G367" s="3" t="s">
        <v>24</v>
      </c>
      <c r="H367" s="3" t="s">
        <v>103</v>
      </c>
      <c r="I367" s="6">
        <v>13.12</v>
      </c>
      <c r="J367" s="4">
        <v>4</v>
      </c>
      <c r="K367" s="6">
        <v>3.8</v>
      </c>
    </row>
    <row r="368" spans="1:11" x14ac:dyDescent="0.3">
      <c r="A368" s="7">
        <v>41747</v>
      </c>
      <c r="B368" s="4">
        <f>YEAR(SalesData[[#This Row],[Order Date]])</f>
        <v>2014</v>
      </c>
      <c r="C368" s="4">
        <f>MONTH(SalesData[[#This Row],[Order Date]])</f>
        <v>4</v>
      </c>
      <c r="D368" s="3" t="s">
        <v>537</v>
      </c>
      <c r="E368" s="3" t="s">
        <v>27</v>
      </c>
      <c r="F368" s="3" t="s">
        <v>11</v>
      </c>
      <c r="G368" s="3" t="s">
        <v>24</v>
      </c>
      <c r="H368" s="3" t="s">
        <v>539</v>
      </c>
      <c r="I368" s="6">
        <v>10.75</v>
      </c>
      <c r="J368" s="4">
        <v>5</v>
      </c>
      <c r="K368" s="6">
        <v>3.55</v>
      </c>
    </row>
    <row r="369" spans="1:11" x14ac:dyDescent="0.3">
      <c r="A369" s="7">
        <v>41747</v>
      </c>
      <c r="B369" s="4">
        <f>YEAR(SalesData[[#This Row],[Order Date]])</f>
        <v>2014</v>
      </c>
      <c r="C369" s="4">
        <f>MONTH(SalesData[[#This Row],[Order Date]])</f>
        <v>4</v>
      </c>
      <c r="D369" s="3" t="s">
        <v>537</v>
      </c>
      <c r="E369" s="3" t="s">
        <v>27</v>
      </c>
      <c r="F369" s="3" t="s">
        <v>11</v>
      </c>
      <c r="G369" s="3" t="s">
        <v>43</v>
      </c>
      <c r="H369" s="3" t="s">
        <v>540</v>
      </c>
      <c r="I369" s="6">
        <v>11.62</v>
      </c>
      <c r="J369" s="4">
        <v>2</v>
      </c>
      <c r="K369" s="6">
        <v>3.6</v>
      </c>
    </row>
    <row r="370" spans="1:11" x14ac:dyDescent="0.3">
      <c r="A370" s="7">
        <v>41747</v>
      </c>
      <c r="B370" s="4">
        <f>YEAR(SalesData[[#This Row],[Order Date]])</f>
        <v>2014</v>
      </c>
      <c r="C370" s="4">
        <f>MONTH(SalesData[[#This Row],[Order Date]])</f>
        <v>4</v>
      </c>
      <c r="D370" s="3" t="s">
        <v>405</v>
      </c>
      <c r="E370" s="3" t="s">
        <v>10</v>
      </c>
      <c r="F370" s="3" t="s">
        <v>11</v>
      </c>
      <c r="G370" s="3" t="s">
        <v>24</v>
      </c>
      <c r="H370" s="3" t="s">
        <v>541</v>
      </c>
      <c r="I370" s="6">
        <v>2.69</v>
      </c>
      <c r="J370" s="4">
        <v>2</v>
      </c>
      <c r="K370" s="6">
        <v>1.01</v>
      </c>
    </row>
    <row r="371" spans="1:11" x14ac:dyDescent="0.3">
      <c r="A371" s="7">
        <v>41747</v>
      </c>
      <c r="B371" s="4">
        <f>YEAR(SalesData[[#This Row],[Order Date]])</f>
        <v>2014</v>
      </c>
      <c r="C371" s="4">
        <f>MONTH(SalesData[[#This Row],[Order Date]])</f>
        <v>4</v>
      </c>
      <c r="D371" s="3" t="s">
        <v>405</v>
      </c>
      <c r="E371" s="3" t="s">
        <v>10</v>
      </c>
      <c r="F371" s="3" t="s">
        <v>34</v>
      </c>
      <c r="G371" s="3" t="s">
        <v>35</v>
      </c>
      <c r="H371" s="3" t="s">
        <v>542</v>
      </c>
      <c r="I371" s="6">
        <v>317.06</v>
      </c>
      <c r="J371" s="4">
        <v>3</v>
      </c>
      <c r="K371" s="6">
        <v>-18.12</v>
      </c>
    </row>
    <row r="372" spans="1:11" x14ac:dyDescent="0.3">
      <c r="A372" s="7">
        <v>41747</v>
      </c>
      <c r="B372" s="4">
        <f>YEAR(SalesData[[#This Row],[Order Date]])</f>
        <v>2014</v>
      </c>
      <c r="C372" s="4">
        <f>MONTH(SalesData[[#This Row],[Order Date]])</f>
        <v>4</v>
      </c>
      <c r="D372" s="3" t="s">
        <v>405</v>
      </c>
      <c r="E372" s="3" t="s">
        <v>10</v>
      </c>
      <c r="F372" s="3" t="s">
        <v>11</v>
      </c>
      <c r="G372" s="3" t="s">
        <v>63</v>
      </c>
      <c r="H372" s="3" t="s">
        <v>543</v>
      </c>
      <c r="I372" s="6">
        <v>149.35</v>
      </c>
      <c r="J372" s="4">
        <v>3</v>
      </c>
      <c r="K372" s="6">
        <v>50.41</v>
      </c>
    </row>
    <row r="373" spans="1:11" x14ac:dyDescent="0.3">
      <c r="A373" s="7">
        <v>41747</v>
      </c>
      <c r="B373" s="4">
        <f>YEAR(SalesData[[#This Row],[Order Date]])</f>
        <v>2014</v>
      </c>
      <c r="C373" s="4">
        <f>MONTH(SalesData[[#This Row],[Order Date]])</f>
        <v>4</v>
      </c>
      <c r="D373" s="3" t="s">
        <v>405</v>
      </c>
      <c r="E373" s="3" t="s">
        <v>10</v>
      </c>
      <c r="F373" s="3" t="s">
        <v>39</v>
      </c>
      <c r="G373" s="3" t="s">
        <v>52</v>
      </c>
      <c r="H373" s="3" t="s">
        <v>544</v>
      </c>
      <c r="I373" s="6">
        <v>227.98</v>
      </c>
      <c r="J373" s="4">
        <v>3</v>
      </c>
      <c r="K373" s="6">
        <v>28.5</v>
      </c>
    </row>
    <row r="374" spans="1:11" x14ac:dyDescent="0.3">
      <c r="A374" s="7">
        <v>41748</v>
      </c>
      <c r="B374" s="4">
        <f>YEAR(SalesData[[#This Row],[Order Date]])</f>
        <v>2014</v>
      </c>
      <c r="C374" s="4">
        <f>MONTH(SalesData[[#This Row],[Order Date]])</f>
        <v>4</v>
      </c>
      <c r="D374" s="3" t="s">
        <v>545</v>
      </c>
      <c r="E374" s="3" t="s">
        <v>27</v>
      </c>
      <c r="F374" s="3" t="s">
        <v>34</v>
      </c>
      <c r="G374" s="3" t="s">
        <v>47</v>
      </c>
      <c r="H374" s="3" t="s">
        <v>546</v>
      </c>
      <c r="I374" s="6">
        <v>76.14</v>
      </c>
      <c r="J374" s="4">
        <v>3</v>
      </c>
      <c r="K374" s="6">
        <v>26.65</v>
      </c>
    </row>
    <row r="375" spans="1:11" x14ac:dyDescent="0.3">
      <c r="A375" s="7">
        <v>41748</v>
      </c>
      <c r="B375" s="4">
        <f>YEAR(SalesData[[#This Row],[Order Date]])</f>
        <v>2014</v>
      </c>
      <c r="C375" s="4">
        <f>MONTH(SalesData[[#This Row],[Order Date]])</f>
        <v>4</v>
      </c>
      <c r="D375" s="3" t="s">
        <v>547</v>
      </c>
      <c r="E375" s="3" t="s">
        <v>55</v>
      </c>
      <c r="F375" s="3" t="s">
        <v>11</v>
      </c>
      <c r="G375" s="3" t="s">
        <v>20</v>
      </c>
      <c r="H375" s="3" t="s">
        <v>548</v>
      </c>
      <c r="I375" s="6">
        <v>58.05</v>
      </c>
      <c r="J375" s="4">
        <v>3</v>
      </c>
      <c r="K375" s="6">
        <v>26.7</v>
      </c>
    </row>
    <row r="376" spans="1:11" x14ac:dyDescent="0.3">
      <c r="A376" s="7">
        <v>41748</v>
      </c>
      <c r="B376" s="4">
        <f>YEAR(SalesData[[#This Row],[Order Date]])</f>
        <v>2014</v>
      </c>
      <c r="C376" s="4">
        <f>MONTH(SalesData[[#This Row],[Order Date]])</f>
        <v>4</v>
      </c>
      <c r="D376" s="3" t="s">
        <v>547</v>
      </c>
      <c r="E376" s="3" t="s">
        <v>55</v>
      </c>
      <c r="F376" s="3" t="s">
        <v>11</v>
      </c>
      <c r="G376" s="3" t="s">
        <v>12</v>
      </c>
      <c r="H376" s="3" t="s">
        <v>549</v>
      </c>
      <c r="I376" s="6">
        <v>71.28</v>
      </c>
      <c r="J376" s="4">
        <v>11</v>
      </c>
      <c r="K376" s="6">
        <v>34.21</v>
      </c>
    </row>
    <row r="377" spans="1:11" x14ac:dyDescent="0.3">
      <c r="A377" s="7">
        <v>41749</v>
      </c>
      <c r="B377" s="4">
        <f>YEAR(SalesData[[#This Row],[Order Date]])</f>
        <v>2014</v>
      </c>
      <c r="C377" s="4">
        <f>MONTH(SalesData[[#This Row],[Order Date]])</f>
        <v>4</v>
      </c>
      <c r="D377" s="3" t="s">
        <v>58</v>
      </c>
      <c r="E377" s="3" t="s">
        <v>10</v>
      </c>
      <c r="F377" s="3" t="s">
        <v>34</v>
      </c>
      <c r="G377" s="3" t="s">
        <v>145</v>
      </c>
      <c r="H377" s="3" t="s">
        <v>550</v>
      </c>
      <c r="I377" s="6">
        <v>744.1</v>
      </c>
      <c r="J377" s="4">
        <v>5</v>
      </c>
      <c r="K377" s="6">
        <v>-95.67</v>
      </c>
    </row>
    <row r="378" spans="1:11" x14ac:dyDescent="0.3">
      <c r="A378" s="7">
        <v>41749</v>
      </c>
      <c r="B378" s="4">
        <f>YEAR(SalesData[[#This Row],[Order Date]])</f>
        <v>2014</v>
      </c>
      <c r="C378" s="4">
        <f>MONTH(SalesData[[#This Row],[Order Date]])</f>
        <v>4</v>
      </c>
      <c r="D378" s="3" t="s">
        <v>58</v>
      </c>
      <c r="E378" s="3" t="s">
        <v>10</v>
      </c>
      <c r="F378" s="3" t="s">
        <v>11</v>
      </c>
      <c r="G378" s="3" t="s">
        <v>18</v>
      </c>
      <c r="H378" s="3" t="s">
        <v>551</v>
      </c>
      <c r="I378" s="6">
        <v>44.84</v>
      </c>
      <c r="J378" s="4">
        <v>5</v>
      </c>
      <c r="K378" s="6">
        <v>5.61</v>
      </c>
    </row>
    <row r="379" spans="1:11" x14ac:dyDescent="0.3">
      <c r="A379" s="7">
        <v>41749</v>
      </c>
      <c r="B379" s="4">
        <f>YEAR(SalesData[[#This Row],[Order Date]])</f>
        <v>2014</v>
      </c>
      <c r="C379" s="4">
        <f>MONTH(SalesData[[#This Row],[Order Date]])</f>
        <v>4</v>
      </c>
      <c r="D379" s="3" t="s">
        <v>58</v>
      </c>
      <c r="E379" s="3" t="s">
        <v>10</v>
      </c>
      <c r="F379" s="3" t="s">
        <v>34</v>
      </c>
      <c r="G379" s="3" t="s">
        <v>145</v>
      </c>
      <c r="H379" s="3" t="s">
        <v>504</v>
      </c>
      <c r="I379" s="6">
        <v>401.59</v>
      </c>
      <c r="J379" s="4">
        <v>2</v>
      </c>
      <c r="K379" s="6">
        <v>-131.94999999999999</v>
      </c>
    </row>
    <row r="380" spans="1:11" x14ac:dyDescent="0.3">
      <c r="A380" s="7">
        <v>41749</v>
      </c>
      <c r="B380" s="4">
        <f>YEAR(SalesData[[#This Row],[Order Date]])</f>
        <v>2014</v>
      </c>
      <c r="C380" s="4">
        <f>MONTH(SalesData[[#This Row],[Order Date]])</f>
        <v>4</v>
      </c>
      <c r="D380" s="3" t="s">
        <v>552</v>
      </c>
      <c r="E380" s="3" t="s">
        <v>27</v>
      </c>
      <c r="F380" s="3" t="s">
        <v>34</v>
      </c>
      <c r="G380" s="3" t="s">
        <v>47</v>
      </c>
      <c r="H380" s="3" t="s">
        <v>553</v>
      </c>
      <c r="I380" s="6">
        <v>59.92</v>
      </c>
      <c r="J380" s="4">
        <v>4</v>
      </c>
      <c r="K380" s="6">
        <v>27.56</v>
      </c>
    </row>
    <row r="381" spans="1:11" x14ac:dyDescent="0.3">
      <c r="A381" s="7">
        <v>41750</v>
      </c>
      <c r="B381" s="4">
        <f>YEAR(SalesData[[#This Row],[Order Date]])</f>
        <v>2014</v>
      </c>
      <c r="C381" s="4">
        <f>MONTH(SalesData[[#This Row],[Order Date]])</f>
        <v>4</v>
      </c>
      <c r="D381" s="3" t="s">
        <v>554</v>
      </c>
      <c r="E381" s="3" t="s">
        <v>27</v>
      </c>
      <c r="F381" s="3" t="s">
        <v>11</v>
      </c>
      <c r="G381" s="3" t="s">
        <v>20</v>
      </c>
      <c r="H381" s="3" t="s">
        <v>555</v>
      </c>
      <c r="I381" s="6">
        <v>16.52</v>
      </c>
      <c r="J381" s="4">
        <v>5</v>
      </c>
      <c r="K381" s="6">
        <v>5.58</v>
      </c>
    </row>
    <row r="382" spans="1:11" x14ac:dyDescent="0.3">
      <c r="A382" s="7">
        <v>41750</v>
      </c>
      <c r="B382" s="4">
        <f>YEAR(SalesData[[#This Row],[Order Date]])</f>
        <v>2014</v>
      </c>
      <c r="C382" s="4">
        <f>MONTH(SalesData[[#This Row],[Order Date]])</f>
        <v>4</v>
      </c>
      <c r="D382" s="3" t="s">
        <v>556</v>
      </c>
      <c r="E382" s="3" t="s">
        <v>33</v>
      </c>
      <c r="F382" s="3" t="s">
        <v>11</v>
      </c>
      <c r="G382" s="3" t="s">
        <v>18</v>
      </c>
      <c r="H382" s="3" t="s">
        <v>557</v>
      </c>
      <c r="I382" s="6">
        <v>828.84</v>
      </c>
      <c r="J382" s="4">
        <v>6</v>
      </c>
      <c r="K382" s="6">
        <v>0</v>
      </c>
    </row>
    <row r="383" spans="1:11" x14ac:dyDescent="0.3">
      <c r="A383" s="7">
        <v>41751</v>
      </c>
      <c r="B383" s="4">
        <f>YEAR(SalesData[[#This Row],[Order Date]])</f>
        <v>2014</v>
      </c>
      <c r="C383" s="4">
        <f>MONTH(SalesData[[#This Row],[Order Date]])</f>
        <v>4</v>
      </c>
      <c r="D383" s="3" t="s">
        <v>558</v>
      </c>
      <c r="E383" s="3" t="s">
        <v>149</v>
      </c>
      <c r="F383" s="3" t="s">
        <v>11</v>
      </c>
      <c r="G383" s="3" t="s">
        <v>63</v>
      </c>
      <c r="H383" s="3" t="s">
        <v>64</v>
      </c>
      <c r="I383" s="6">
        <v>247.84</v>
      </c>
      <c r="J383" s="4">
        <v>8</v>
      </c>
      <c r="K383" s="6">
        <v>121.44</v>
      </c>
    </row>
    <row r="384" spans="1:11" x14ac:dyDescent="0.3">
      <c r="A384" s="7">
        <v>41751</v>
      </c>
      <c r="B384" s="4">
        <f>YEAR(SalesData[[#This Row],[Order Date]])</f>
        <v>2014</v>
      </c>
      <c r="C384" s="4">
        <f>MONTH(SalesData[[#This Row],[Order Date]])</f>
        <v>4</v>
      </c>
      <c r="D384" s="3" t="s">
        <v>558</v>
      </c>
      <c r="E384" s="3" t="s">
        <v>149</v>
      </c>
      <c r="F384" s="3" t="s">
        <v>11</v>
      </c>
      <c r="G384" s="3" t="s">
        <v>20</v>
      </c>
      <c r="H384" s="3" t="s">
        <v>559</v>
      </c>
      <c r="I384" s="6">
        <v>9.91</v>
      </c>
      <c r="J384" s="4">
        <v>3</v>
      </c>
      <c r="K384" s="6">
        <v>3.35</v>
      </c>
    </row>
    <row r="385" spans="1:11" x14ac:dyDescent="0.3">
      <c r="A385" s="7">
        <v>41752</v>
      </c>
      <c r="B385" s="4">
        <f>YEAR(SalesData[[#This Row],[Order Date]])</f>
        <v>2014</v>
      </c>
      <c r="C385" s="4">
        <f>MONTH(SalesData[[#This Row],[Order Date]])</f>
        <v>4</v>
      </c>
      <c r="D385" s="3" t="s">
        <v>560</v>
      </c>
      <c r="E385" s="3" t="s">
        <v>23</v>
      </c>
      <c r="F385" s="3" t="s">
        <v>11</v>
      </c>
      <c r="G385" s="3" t="s">
        <v>20</v>
      </c>
      <c r="H385" s="3" t="s">
        <v>561</v>
      </c>
      <c r="I385" s="6">
        <v>2.5</v>
      </c>
      <c r="J385" s="4">
        <v>3</v>
      </c>
      <c r="K385" s="6">
        <v>-1.75</v>
      </c>
    </row>
    <row r="386" spans="1:11" x14ac:dyDescent="0.3">
      <c r="A386" s="7">
        <v>41752</v>
      </c>
      <c r="B386" s="4">
        <f>YEAR(SalesData[[#This Row],[Order Date]])</f>
        <v>2014</v>
      </c>
      <c r="C386" s="4">
        <f>MONTH(SalesData[[#This Row],[Order Date]])</f>
        <v>4</v>
      </c>
      <c r="D386" s="3" t="s">
        <v>562</v>
      </c>
      <c r="E386" s="3" t="s">
        <v>78</v>
      </c>
      <c r="F386" s="3" t="s">
        <v>34</v>
      </c>
      <c r="G386" s="3" t="s">
        <v>35</v>
      </c>
      <c r="H386" s="3" t="s">
        <v>430</v>
      </c>
      <c r="I386" s="6">
        <v>281.37</v>
      </c>
      <c r="J386" s="4">
        <v>2</v>
      </c>
      <c r="K386" s="6">
        <v>-12.06</v>
      </c>
    </row>
    <row r="387" spans="1:11" x14ac:dyDescent="0.3">
      <c r="A387" s="7">
        <v>41752</v>
      </c>
      <c r="B387" s="4">
        <f>YEAR(SalesData[[#This Row],[Order Date]])</f>
        <v>2014</v>
      </c>
      <c r="C387" s="4">
        <f>MONTH(SalesData[[#This Row],[Order Date]])</f>
        <v>4</v>
      </c>
      <c r="D387" s="3" t="s">
        <v>562</v>
      </c>
      <c r="E387" s="3" t="s">
        <v>78</v>
      </c>
      <c r="F387" s="3" t="s">
        <v>11</v>
      </c>
      <c r="G387" s="3" t="s">
        <v>20</v>
      </c>
      <c r="H387" s="3" t="s">
        <v>436</v>
      </c>
      <c r="I387" s="6">
        <v>7.49</v>
      </c>
      <c r="J387" s="4">
        <v>8</v>
      </c>
      <c r="K387" s="6">
        <v>-5.24</v>
      </c>
    </row>
    <row r="388" spans="1:11" x14ac:dyDescent="0.3">
      <c r="A388" s="7">
        <v>41752</v>
      </c>
      <c r="B388" s="4">
        <f>YEAR(SalesData[[#This Row],[Order Date]])</f>
        <v>2014</v>
      </c>
      <c r="C388" s="4">
        <f>MONTH(SalesData[[#This Row],[Order Date]])</f>
        <v>4</v>
      </c>
      <c r="D388" s="3" t="s">
        <v>562</v>
      </c>
      <c r="E388" s="3" t="s">
        <v>78</v>
      </c>
      <c r="F388" s="3" t="s">
        <v>34</v>
      </c>
      <c r="G388" s="3" t="s">
        <v>47</v>
      </c>
      <c r="H388" s="3" t="s">
        <v>563</v>
      </c>
      <c r="I388" s="6">
        <v>22.34</v>
      </c>
      <c r="J388" s="4">
        <v>4</v>
      </c>
      <c r="K388" s="6">
        <v>7.82</v>
      </c>
    </row>
    <row r="389" spans="1:11" x14ac:dyDescent="0.3">
      <c r="A389" s="7">
        <v>41752</v>
      </c>
      <c r="B389" s="4">
        <f>YEAR(SalesData[[#This Row],[Order Date]])</f>
        <v>2014</v>
      </c>
      <c r="C389" s="4">
        <f>MONTH(SalesData[[#This Row],[Order Date]])</f>
        <v>4</v>
      </c>
      <c r="D389" s="3" t="s">
        <v>180</v>
      </c>
      <c r="E389" s="3" t="s">
        <v>27</v>
      </c>
      <c r="F389" s="3" t="s">
        <v>11</v>
      </c>
      <c r="G389" s="3" t="s">
        <v>12</v>
      </c>
      <c r="H389" s="3" t="s">
        <v>264</v>
      </c>
      <c r="I389" s="6">
        <v>48.91</v>
      </c>
      <c r="J389" s="4">
        <v>1</v>
      </c>
      <c r="K389" s="6">
        <v>22.99</v>
      </c>
    </row>
    <row r="390" spans="1:11" x14ac:dyDescent="0.3">
      <c r="A390" s="7">
        <v>41754</v>
      </c>
      <c r="B390" s="4">
        <f>YEAR(SalesData[[#This Row],[Order Date]])</f>
        <v>2014</v>
      </c>
      <c r="C390" s="4">
        <f>MONTH(SalesData[[#This Row],[Order Date]])</f>
        <v>4</v>
      </c>
      <c r="D390" s="3" t="s">
        <v>564</v>
      </c>
      <c r="E390" s="3" t="s">
        <v>10</v>
      </c>
      <c r="F390" s="3" t="s">
        <v>11</v>
      </c>
      <c r="G390" s="3" t="s">
        <v>12</v>
      </c>
      <c r="H390" s="3" t="s">
        <v>565</v>
      </c>
      <c r="I390" s="6">
        <v>10.37</v>
      </c>
      <c r="J390" s="4">
        <v>2</v>
      </c>
      <c r="K390" s="6">
        <v>3.63</v>
      </c>
    </row>
    <row r="391" spans="1:11" x14ac:dyDescent="0.3">
      <c r="A391" s="7">
        <v>41754</v>
      </c>
      <c r="B391" s="4">
        <f>YEAR(SalesData[[#This Row],[Order Date]])</f>
        <v>2014</v>
      </c>
      <c r="C391" s="4">
        <f>MONTH(SalesData[[#This Row],[Order Date]])</f>
        <v>4</v>
      </c>
      <c r="D391" s="3" t="s">
        <v>564</v>
      </c>
      <c r="E391" s="3" t="s">
        <v>10</v>
      </c>
      <c r="F391" s="3" t="s">
        <v>11</v>
      </c>
      <c r="G391" s="3" t="s">
        <v>24</v>
      </c>
      <c r="H391" s="3" t="s">
        <v>566</v>
      </c>
      <c r="I391" s="6">
        <v>6.24</v>
      </c>
      <c r="J391" s="4">
        <v>3</v>
      </c>
      <c r="K391" s="6">
        <v>0.55000000000000004</v>
      </c>
    </row>
    <row r="392" spans="1:11" x14ac:dyDescent="0.3">
      <c r="A392" s="7">
        <v>41754</v>
      </c>
      <c r="B392" s="4">
        <f>YEAR(SalesData[[#This Row],[Order Date]])</f>
        <v>2014</v>
      </c>
      <c r="C392" s="4">
        <f>MONTH(SalesData[[#This Row],[Order Date]])</f>
        <v>4</v>
      </c>
      <c r="D392" s="3" t="s">
        <v>567</v>
      </c>
      <c r="E392" s="3" t="s">
        <v>245</v>
      </c>
      <c r="F392" s="3" t="s">
        <v>39</v>
      </c>
      <c r="G392" s="3" t="s">
        <v>40</v>
      </c>
      <c r="H392" s="3" t="s">
        <v>568</v>
      </c>
      <c r="I392" s="6">
        <v>302.38</v>
      </c>
      <c r="J392" s="4">
        <v>3</v>
      </c>
      <c r="K392" s="6">
        <v>37.799999999999997</v>
      </c>
    </row>
    <row r="393" spans="1:11" x14ac:dyDescent="0.3">
      <c r="A393" s="7">
        <v>41754</v>
      </c>
      <c r="B393" s="4">
        <f>YEAR(SalesData[[#This Row],[Order Date]])</f>
        <v>2014</v>
      </c>
      <c r="C393" s="4">
        <f>MONTH(SalesData[[#This Row],[Order Date]])</f>
        <v>4</v>
      </c>
      <c r="D393" s="3" t="s">
        <v>569</v>
      </c>
      <c r="E393" s="3" t="s">
        <v>27</v>
      </c>
      <c r="F393" s="3" t="s">
        <v>34</v>
      </c>
      <c r="G393" s="3" t="s">
        <v>47</v>
      </c>
      <c r="H393" s="3" t="s">
        <v>570</v>
      </c>
      <c r="I393" s="6">
        <v>303.25</v>
      </c>
      <c r="J393" s="4">
        <v>5</v>
      </c>
      <c r="K393" s="6">
        <v>63.68</v>
      </c>
    </row>
    <row r="394" spans="1:11" x14ac:dyDescent="0.3">
      <c r="A394" s="7">
        <v>41754</v>
      </c>
      <c r="B394" s="4">
        <f>YEAR(SalesData[[#This Row],[Order Date]])</f>
        <v>2014</v>
      </c>
      <c r="C394" s="4">
        <f>MONTH(SalesData[[#This Row],[Order Date]])</f>
        <v>4</v>
      </c>
      <c r="D394" s="3" t="s">
        <v>569</v>
      </c>
      <c r="E394" s="3" t="s">
        <v>27</v>
      </c>
      <c r="F394" s="3" t="s">
        <v>11</v>
      </c>
      <c r="G394" s="3" t="s">
        <v>92</v>
      </c>
      <c r="H394" s="3" t="s">
        <v>571</v>
      </c>
      <c r="I394" s="6">
        <v>270.72000000000003</v>
      </c>
      <c r="J394" s="4">
        <v>3</v>
      </c>
      <c r="K394" s="6">
        <v>78.510000000000005</v>
      </c>
    </row>
    <row r="395" spans="1:11" x14ac:dyDescent="0.3">
      <c r="A395" s="7">
        <v>41754</v>
      </c>
      <c r="B395" s="4">
        <f>YEAR(SalesData[[#This Row],[Order Date]])</f>
        <v>2014</v>
      </c>
      <c r="C395" s="4">
        <f>MONTH(SalesData[[#This Row],[Order Date]])</f>
        <v>4</v>
      </c>
      <c r="D395" s="3" t="s">
        <v>569</v>
      </c>
      <c r="E395" s="3" t="s">
        <v>27</v>
      </c>
      <c r="F395" s="3" t="s">
        <v>34</v>
      </c>
      <c r="G395" s="3" t="s">
        <v>35</v>
      </c>
      <c r="H395" s="3" t="s">
        <v>572</v>
      </c>
      <c r="I395" s="6">
        <v>1487.04</v>
      </c>
      <c r="J395" s="4">
        <v>5</v>
      </c>
      <c r="K395" s="6">
        <v>148.69999999999999</v>
      </c>
    </row>
    <row r="396" spans="1:11" x14ac:dyDescent="0.3">
      <c r="A396" s="7">
        <v>41755</v>
      </c>
      <c r="B396" s="4">
        <f>YEAR(SalesData[[#This Row],[Order Date]])</f>
        <v>2014</v>
      </c>
      <c r="C396" s="4">
        <f>MONTH(SalesData[[#This Row],[Order Date]])</f>
        <v>4</v>
      </c>
      <c r="D396" s="3" t="s">
        <v>573</v>
      </c>
      <c r="E396" s="3" t="s">
        <v>27</v>
      </c>
      <c r="F396" s="3" t="s">
        <v>34</v>
      </c>
      <c r="G396" s="3" t="s">
        <v>35</v>
      </c>
      <c r="H396" s="3" t="s">
        <v>574</v>
      </c>
      <c r="I396" s="6">
        <v>230.28</v>
      </c>
      <c r="J396" s="4">
        <v>3</v>
      </c>
      <c r="K396" s="6">
        <v>23.03</v>
      </c>
    </row>
    <row r="397" spans="1:11" x14ac:dyDescent="0.3">
      <c r="A397" s="7">
        <v>41755</v>
      </c>
      <c r="B397" s="4">
        <f>YEAR(SalesData[[#This Row],[Order Date]])</f>
        <v>2014</v>
      </c>
      <c r="C397" s="4">
        <f>MONTH(SalesData[[#This Row],[Order Date]])</f>
        <v>4</v>
      </c>
      <c r="D397" s="3" t="s">
        <v>573</v>
      </c>
      <c r="E397" s="3" t="s">
        <v>27</v>
      </c>
      <c r="F397" s="3" t="s">
        <v>11</v>
      </c>
      <c r="G397" s="3" t="s">
        <v>20</v>
      </c>
      <c r="H397" s="3" t="s">
        <v>575</v>
      </c>
      <c r="I397" s="6">
        <v>18.29</v>
      </c>
      <c r="J397" s="4">
        <v>6</v>
      </c>
      <c r="K397" s="6">
        <v>5.72</v>
      </c>
    </row>
    <row r="398" spans="1:11" x14ac:dyDescent="0.3">
      <c r="A398" s="7">
        <v>41755</v>
      </c>
      <c r="B398" s="4">
        <f>YEAR(SalesData[[#This Row],[Order Date]])</f>
        <v>2014</v>
      </c>
      <c r="C398" s="4">
        <f>MONTH(SalesData[[#This Row],[Order Date]])</f>
        <v>4</v>
      </c>
      <c r="D398" s="3" t="s">
        <v>576</v>
      </c>
      <c r="E398" s="3" t="s">
        <v>27</v>
      </c>
      <c r="F398" s="3" t="s">
        <v>11</v>
      </c>
      <c r="G398" s="3" t="s">
        <v>24</v>
      </c>
      <c r="H398" s="3" t="s">
        <v>577</v>
      </c>
      <c r="I398" s="6">
        <v>21.4</v>
      </c>
      <c r="J398" s="4">
        <v>5</v>
      </c>
      <c r="K398" s="6">
        <v>6.21</v>
      </c>
    </row>
    <row r="399" spans="1:11" x14ac:dyDescent="0.3">
      <c r="A399" s="7">
        <v>41755</v>
      </c>
      <c r="B399" s="4">
        <f>YEAR(SalesData[[#This Row],[Order Date]])</f>
        <v>2014</v>
      </c>
      <c r="C399" s="4">
        <f>MONTH(SalesData[[#This Row],[Order Date]])</f>
        <v>4</v>
      </c>
      <c r="D399" s="3" t="s">
        <v>576</v>
      </c>
      <c r="E399" s="3" t="s">
        <v>27</v>
      </c>
      <c r="F399" s="3" t="s">
        <v>11</v>
      </c>
      <c r="G399" s="3" t="s">
        <v>16</v>
      </c>
      <c r="H399" s="3" t="s">
        <v>250</v>
      </c>
      <c r="I399" s="6">
        <v>12.6</v>
      </c>
      <c r="J399" s="4">
        <v>2</v>
      </c>
      <c r="K399" s="6">
        <v>5.8</v>
      </c>
    </row>
    <row r="400" spans="1:11" x14ac:dyDescent="0.3">
      <c r="A400" s="7">
        <v>41757</v>
      </c>
      <c r="B400" s="4">
        <f>YEAR(SalesData[[#This Row],[Order Date]])</f>
        <v>2014</v>
      </c>
      <c r="C400" s="4">
        <f>MONTH(SalesData[[#This Row],[Order Date]])</f>
        <v>4</v>
      </c>
      <c r="D400" s="3" t="s">
        <v>578</v>
      </c>
      <c r="E400" s="3" t="s">
        <v>531</v>
      </c>
      <c r="F400" s="3" t="s">
        <v>11</v>
      </c>
      <c r="G400" s="3" t="s">
        <v>20</v>
      </c>
      <c r="H400" s="3" t="s">
        <v>579</v>
      </c>
      <c r="I400" s="6">
        <v>20.86</v>
      </c>
      <c r="J400" s="4">
        <v>2</v>
      </c>
      <c r="K400" s="6">
        <v>9.39</v>
      </c>
    </row>
    <row r="401" spans="1:11" x14ac:dyDescent="0.3">
      <c r="A401" s="7">
        <v>41757</v>
      </c>
      <c r="B401" s="4">
        <f>YEAR(SalesData[[#This Row],[Order Date]])</f>
        <v>2014</v>
      </c>
      <c r="C401" s="4">
        <f>MONTH(SalesData[[#This Row],[Order Date]])</f>
        <v>4</v>
      </c>
      <c r="D401" s="3" t="s">
        <v>578</v>
      </c>
      <c r="E401" s="3" t="s">
        <v>531</v>
      </c>
      <c r="F401" s="3" t="s">
        <v>11</v>
      </c>
      <c r="G401" s="3" t="s">
        <v>18</v>
      </c>
      <c r="H401" s="3" t="s">
        <v>580</v>
      </c>
      <c r="I401" s="6">
        <v>497.61</v>
      </c>
      <c r="J401" s="4">
        <v>9</v>
      </c>
      <c r="K401" s="6">
        <v>129.38</v>
      </c>
    </row>
    <row r="402" spans="1:11" x14ac:dyDescent="0.3">
      <c r="A402" s="7">
        <v>41757</v>
      </c>
      <c r="B402" s="4">
        <f>YEAR(SalesData[[#This Row],[Order Date]])</f>
        <v>2014</v>
      </c>
      <c r="C402" s="4">
        <f>MONTH(SalesData[[#This Row],[Order Date]])</f>
        <v>4</v>
      </c>
      <c r="D402" s="3" t="s">
        <v>578</v>
      </c>
      <c r="E402" s="3" t="s">
        <v>531</v>
      </c>
      <c r="F402" s="3" t="s">
        <v>11</v>
      </c>
      <c r="G402" s="3" t="s">
        <v>24</v>
      </c>
      <c r="H402" s="3" t="s">
        <v>581</v>
      </c>
      <c r="I402" s="6">
        <v>5.34</v>
      </c>
      <c r="J402" s="4">
        <v>2</v>
      </c>
      <c r="K402" s="6">
        <v>1.5</v>
      </c>
    </row>
    <row r="403" spans="1:11" x14ac:dyDescent="0.3">
      <c r="A403" s="7">
        <v>41757</v>
      </c>
      <c r="B403" s="4">
        <f>YEAR(SalesData[[#This Row],[Order Date]])</f>
        <v>2014</v>
      </c>
      <c r="C403" s="4">
        <f>MONTH(SalesData[[#This Row],[Order Date]])</f>
        <v>4</v>
      </c>
      <c r="D403" s="3" t="s">
        <v>578</v>
      </c>
      <c r="E403" s="3" t="s">
        <v>531</v>
      </c>
      <c r="F403" s="3" t="s">
        <v>11</v>
      </c>
      <c r="G403" s="3" t="s">
        <v>16</v>
      </c>
      <c r="H403" s="3" t="s">
        <v>582</v>
      </c>
      <c r="I403" s="6">
        <v>3.15</v>
      </c>
      <c r="J403" s="4">
        <v>1</v>
      </c>
      <c r="K403" s="6">
        <v>1.51</v>
      </c>
    </row>
    <row r="404" spans="1:11" x14ac:dyDescent="0.3">
      <c r="A404" s="7">
        <v>41757</v>
      </c>
      <c r="B404" s="4">
        <f>YEAR(SalesData[[#This Row],[Order Date]])</f>
        <v>2014</v>
      </c>
      <c r="C404" s="4">
        <f>MONTH(SalesData[[#This Row],[Order Date]])</f>
        <v>4</v>
      </c>
      <c r="D404" s="3" t="s">
        <v>583</v>
      </c>
      <c r="E404" s="3" t="s">
        <v>78</v>
      </c>
      <c r="F404" s="3" t="s">
        <v>11</v>
      </c>
      <c r="G404" s="3" t="s">
        <v>16</v>
      </c>
      <c r="H404" s="3" t="s">
        <v>584</v>
      </c>
      <c r="I404" s="6">
        <v>6.91</v>
      </c>
      <c r="J404" s="4">
        <v>3</v>
      </c>
      <c r="K404" s="6">
        <v>2.5099999999999998</v>
      </c>
    </row>
    <row r="405" spans="1:11" x14ac:dyDescent="0.3">
      <c r="A405" s="7">
        <v>41757</v>
      </c>
      <c r="B405" s="4">
        <f>YEAR(SalesData[[#This Row],[Order Date]])</f>
        <v>2014</v>
      </c>
      <c r="C405" s="4">
        <f>MONTH(SalesData[[#This Row],[Order Date]])</f>
        <v>4</v>
      </c>
      <c r="D405" s="3" t="s">
        <v>583</v>
      </c>
      <c r="E405" s="3" t="s">
        <v>78</v>
      </c>
      <c r="F405" s="3" t="s">
        <v>11</v>
      </c>
      <c r="G405" s="3" t="s">
        <v>18</v>
      </c>
      <c r="H405" s="3" t="s">
        <v>585</v>
      </c>
      <c r="I405" s="6">
        <v>27.1</v>
      </c>
      <c r="J405" s="4">
        <v>3</v>
      </c>
      <c r="K405" s="6">
        <v>2.0299999999999998</v>
      </c>
    </row>
    <row r="406" spans="1:11" x14ac:dyDescent="0.3">
      <c r="A406" s="7">
        <v>41757</v>
      </c>
      <c r="B406" s="4">
        <f>YEAR(SalesData[[#This Row],[Order Date]])</f>
        <v>2014</v>
      </c>
      <c r="C406" s="4">
        <f>MONTH(SalesData[[#This Row],[Order Date]])</f>
        <v>4</v>
      </c>
      <c r="D406" s="3" t="s">
        <v>583</v>
      </c>
      <c r="E406" s="3" t="s">
        <v>78</v>
      </c>
      <c r="F406" s="3" t="s">
        <v>11</v>
      </c>
      <c r="G406" s="3" t="s">
        <v>18</v>
      </c>
      <c r="H406" s="3" t="s">
        <v>586</v>
      </c>
      <c r="I406" s="6">
        <v>177.57</v>
      </c>
      <c r="J406" s="4">
        <v>2</v>
      </c>
      <c r="K406" s="6">
        <v>-37.729999999999997</v>
      </c>
    </row>
    <row r="407" spans="1:11" x14ac:dyDescent="0.3">
      <c r="A407" s="7">
        <v>41757</v>
      </c>
      <c r="B407" s="4">
        <f>YEAR(SalesData[[#This Row],[Order Date]])</f>
        <v>2014</v>
      </c>
      <c r="C407" s="4">
        <f>MONTH(SalesData[[#This Row],[Order Date]])</f>
        <v>4</v>
      </c>
      <c r="D407" s="3" t="s">
        <v>587</v>
      </c>
      <c r="E407" s="3" t="s">
        <v>27</v>
      </c>
      <c r="F407" s="3" t="s">
        <v>39</v>
      </c>
      <c r="G407" s="3" t="s">
        <v>40</v>
      </c>
      <c r="H407" s="3" t="s">
        <v>588</v>
      </c>
      <c r="I407" s="6">
        <v>1679.96</v>
      </c>
      <c r="J407" s="4">
        <v>5</v>
      </c>
      <c r="K407" s="6">
        <v>126</v>
      </c>
    </row>
    <row r="408" spans="1:11" x14ac:dyDescent="0.3">
      <c r="A408" s="7">
        <v>41757</v>
      </c>
      <c r="B408" s="4">
        <f>YEAR(SalesData[[#This Row],[Order Date]])</f>
        <v>2014</v>
      </c>
      <c r="C408" s="4">
        <f>MONTH(SalesData[[#This Row],[Order Date]])</f>
        <v>4</v>
      </c>
      <c r="D408" s="3" t="s">
        <v>589</v>
      </c>
      <c r="E408" s="3" t="s">
        <v>149</v>
      </c>
      <c r="F408" s="3" t="s">
        <v>39</v>
      </c>
      <c r="G408" s="3" t="s">
        <v>52</v>
      </c>
      <c r="H408" s="3" t="s">
        <v>198</v>
      </c>
      <c r="I408" s="6">
        <v>159.97999999999999</v>
      </c>
      <c r="J408" s="4">
        <v>2</v>
      </c>
      <c r="K408" s="6">
        <v>57.59</v>
      </c>
    </row>
    <row r="409" spans="1:11" x14ac:dyDescent="0.3">
      <c r="A409" s="7">
        <v>41758</v>
      </c>
      <c r="B409" s="4">
        <f>YEAR(SalesData[[#This Row],[Order Date]])</f>
        <v>2014</v>
      </c>
      <c r="C409" s="4">
        <f>MONTH(SalesData[[#This Row],[Order Date]])</f>
        <v>4</v>
      </c>
      <c r="D409" s="3" t="s">
        <v>590</v>
      </c>
      <c r="E409" s="3" t="s">
        <v>149</v>
      </c>
      <c r="F409" s="3" t="s">
        <v>34</v>
      </c>
      <c r="G409" s="3" t="s">
        <v>47</v>
      </c>
      <c r="H409" s="3" t="s">
        <v>591</v>
      </c>
      <c r="I409" s="6">
        <v>17.46</v>
      </c>
      <c r="J409" s="4">
        <v>2</v>
      </c>
      <c r="K409" s="6">
        <v>5.94</v>
      </c>
    </row>
    <row r="410" spans="1:11" x14ac:dyDescent="0.3">
      <c r="A410" s="7">
        <v>41758</v>
      </c>
      <c r="B410" s="4">
        <f>YEAR(SalesData[[#This Row],[Order Date]])</f>
        <v>2014</v>
      </c>
      <c r="C410" s="4">
        <f>MONTH(SalesData[[#This Row],[Order Date]])</f>
        <v>4</v>
      </c>
      <c r="D410" s="3" t="s">
        <v>592</v>
      </c>
      <c r="E410" s="3" t="s">
        <v>62</v>
      </c>
      <c r="F410" s="3" t="s">
        <v>34</v>
      </c>
      <c r="G410" s="3" t="s">
        <v>35</v>
      </c>
      <c r="H410" s="3" t="s">
        <v>416</v>
      </c>
      <c r="I410" s="6">
        <v>51.96</v>
      </c>
      <c r="J410" s="4">
        <v>2</v>
      </c>
      <c r="K410" s="6">
        <v>12.99</v>
      </c>
    </row>
    <row r="411" spans="1:11" x14ac:dyDescent="0.3">
      <c r="A411" s="7">
        <v>41758</v>
      </c>
      <c r="B411" s="4">
        <f>YEAR(SalesData[[#This Row],[Order Date]])</f>
        <v>2014</v>
      </c>
      <c r="C411" s="4">
        <f>MONTH(SalesData[[#This Row],[Order Date]])</f>
        <v>4</v>
      </c>
      <c r="D411" s="3" t="s">
        <v>592</v>
      </c>
      <c r="E411" s="3" t="s">
        <v>62</v>
      </c>
      <c r="F411" s="3" t="s">
        <v>11</v>
      </c>
      <c r="G411" s="3" t="s">
        <v>20</v>
      </c>
      <c r="H411" s="3" t="s">
        <v>318</v>
      </c>
      <c r="I411" s="6">
        <v>17.940000000000001</v>
      </c>
      <c r="J411" s="4">
        <v>3</v>
      </c>
      <c r="K411" s="6">
        <v>8.61</v>
      </c>
    </row>
    <row r="412" spans="1:11" x14ac:dyDescent="0.3">
      <c r="A412" s="7">
        <v>41758</v>
      </c>
      <c r="B412" s="4">
        <f>YEAR(SalesData[[#This Row],[Order Date]])</f>
        <v>2014</v>
      </c>
      <c r="C412" s="4">
        <f>MONTH(SalesData[[#This Row],[Order Date]])</f>
        <v>4</v>
      </c>
      <c r="D412" s="3" t="s">
        <v>593</v>
      </c>
      <c r="E412" s="3" t="s">
        <v>120</v>
      </c>
      <c r="F412" s="3" t="s">
        <v>34</v>
      </c>
      <c r="G412" s="3" t="s">
        <v>35</v>
      </c>
      <c r="H412" s="3" t="s">
        <v>594</v>
      </c>
      <c r="I412" s="6">
        <v>561.58000000000004</v>
      </c>
      <c r="J412" s="4">
        <v>2</v>
      </c>
      <c r="K412" s="6">
        <v>70.2</v>
      </c>
    </row>
    <row r="413" spans="1:11" x14ac:dyDescent="0.3">
      <c r="A413" s="7">
        <v>41758</v>
      </c>
      <c r="B413" s="4">
        <f>YEAR(SalesData[[#This Row],[Order Date]])</f>
        <v>2014</v>
      </c>
      <c r="C413" s="4">
        <f>MONTH(SalesData[[#This Row],[Order Date]])</f>
        <v>4</v>
      </c>
      <c r="D413" s="3" t="s">
        <v>593</v>
      </c>
      <c r="E413" s="3" t="s">
        <v>120</v>
      </c>
      <c r="F413" s="3" t="s">
        <v>11</v>
      </c>
      <c r="G413" s="3" t="s">
        <v>18</v>
      </c>
      <c r="H413" s="3" t="s">
        <v>595</v>
      </c>
      <c r="I413" s="6">
        <v>99.92</v>
      </c>
      <c r="J413" s="4">
        <v>5</v>
      </c>
      <c r="K413" s="6">
        <v>-1.25</v>
      </c>
    </row>
    <row r="414" spans="1:11" x14ac:dyDescent="0.3">
      <c r="A414" s="7">
        <v>41758</v>
      </c>
      <c r="B414" s="4">
        <f>YEAR(SalesData[[#This Row],[Order Date]])</f>
        <v>2014</v>
      </c>
      <c r="C414" s="4">
        <f>MONTH(SalesData[[#This Row],[Order Date]])</f>
        <v>4</v>
      </c>
      <c r="D414" s="3" t="s">
        <v>596</v>
      </c>
      <c r="E414" s="3" t="s">
        <v>59</v>
      </c>
      <c r="F414" s="3" t="s">
        <v>39</v>
      </c>
      <c r="G414" s="3" t="s">
        <v>40</v>
      </c>
      <c r="H414" s="3" t="s">
        <v>597</v>
      </c>
      <c r="I414" s="6">
        <v>19.98</v>
      </c>
      <c r="J414" s="4">
        <v>2</v>
      </c>
      <c r="K414" s="6">
        <v>5.19</v>
      </c>
    </row>
    <row r="415" spans="1:11" x14ac:dyDescent="0.3">
      <c r="A415" s="7">
        <v>41759</v>
      </c>
      <c r="B415" s="4">
        <f>YEAR(SalesData[[#This Row],[Order Date]])</f>
        <v>2014</v>
      </c>
      <c r="C415" s="4">
        <f>MONTH(SalesData[[#This Row],[Order Date]])</f>
        <v>4</v>
      </c>
      <c r="D415" s="3" t="s">
        <v>217</v>
      </c>
      <c r="E415" s="3" t="s">
        <v>329</v>
      </c>
      <c r="F415" s="3" t="s">
        <v>39</v>
      </c>
      <c r="G415" s="3" t="s">
        <v>52</v>
      </c>
      <c r="H415" s="3" t="s">
        <v>598</v>
      </c>
      <c r="I415" s="6">
        <v>47.79</v>
      </c>
      <c r="J415" s="4">
        <v>3</v>
      </c>
      <c r="K415" s="6">
        <v>16.25</v>
      </c>
    </row>
    <row r="416" spans="1:11" x14ac:dyDescent="0.3">
      <c r="A416" s="7">
        <v>41759</v>
      </c>
      <c r="B416" s="4">
        <f>YEAR(SalesData[[#This Row],[Order Date]])</f>
        <v>2014</v>
      </c>
      <c r="C416" s="4">
        <f>MONTH(SalesData[[#This Row],[Order Date]])</f>
        <v>4</v>
      </c>
      <c r="D416" s="3" t="s">
        <v>599</v>
      </c>
      <c r="E416" s="3" t="s">
        <v>33</v>
      </c>
      <c r="F416" s="3" t="s">
        <v>11</v>
      </c>
      <c r="G416" s="3" t="s">
        <v>24</v>
      </c>
      <c r="H416" s="3" t="s">
        <v>600</v>
      </c>
      <c r="I416" s="6">
        <v>174.95</v>
      </c>
      <c r="J416" s="4">
        <v>5</v>
      </c>
      <c r="K416" s="6">
        <v>45.49</v>
      </c>
    </row>
    <row r="417" spans="1:11" x14ac:dyDescent="0.3">
      <c r="A417" s="7">
        <v>41759</v>
      </c>
      <c r="B417" s="4">
        <f>YEAR(SalesData[[#This Row],[Order Date]])</f>
        <v>2014</v>
      </c>
      <c r="C417" s="4">
        <f>MONTH(SalesData[[#This Row],[Order Date]])</f>
        <v>4</v>
      </c>
      <c r="D417" s="3" t="s">
        <v>599</v>
      </c>
      <c r="E417" s="3" t="s">
        <v>33</v>
      </c>
      <c r="F417" s="3" t="s">
        <v>11</v>
      </c>
      <c r="G417" s="3" t="s">
        <v>18</v>
      </c>
      <c r="H417" s="3" t="s">
        <v>374</v>
      </c>
      <c r="I417" s="6">
        <v>826</v>
      </c>
      <c r="J417" s="4">
        <v>5</v>
      </c>
      <c r="K417" s="6">
        <v>214.76</v>
      </c>
    </row>
    <row r="418" spans="1:11" x14ac:dyDescent="0.3">
      <c r="A418" s="7">
        <v>41761</v>
      </c>
      <c r="B418" s="4">
        <f>YEAR(SalesData[[#This Row],[Order Date]])</f>
        <v>2014</v>
      </c>
      <c r="C418" s="4">
        <f>MONTH(SalesData[[#This Row],[Order Date]])</f>
        <v>5</v>
      </c>
      <c r="D418" s="3" t="s">
        <v>601</v>
      </c>
      <c r="E418" s="3" t="s">
        <v>78</v>
      </c>
      <c r="F418" s="3" t="s">
        <v>11</v>
      </c>
      <c r="G418" s="3" t="s">
        <v>92</v>
      </c>
      <c r="H418" s="3" t="s">
        <v>333</v>
      </c>
      <c r="I418" s="6">
        <v>26.14</v>
      </c>
      <c r="J418" s="4">
        <v>3</v>
      </c>
      <c r="K418" s="6">
        <v>1.96</v>
      </c>
    </row>
    <row r="419" spans="1:11" x14ac:dyDescent="0.3">
      <c r="A419" s="7">
        <v>41761</v>
      </c>
      <c r="B419" s="4">
        <f>YEAR(SalesData[[#This Row],[Order Date]])</f>
        <v>2014</v>
      </c>
      <c r="C419" s="4">
        <f>MONTH(SalesData[[#This Row],[Order Date]])</f>
        <v>5</v>
      </c>
      <c r="D419" s="3" t="s">
        <v>602</v>
      </c>
      <c r="E419" s="3" t="s">
        <v>123</v>
      </c>
      <c r="F419" s="3" t="s">
        <v>39</v>
      </c>
      <c r="G419" s="3" t="s">
        <v>603</v>
      </c>
      <c r="H419" s="3" t="s">
        <v>604</v>
      </c>
      <c r="I419" s="6">
        <v>479.98</v>
      </c>
      <c r="J419" s="4">
        <v>2</v>
      </c>
      <c r="K419" s="6">
        <v>90</v>
      </c>
    </row>
    <row r="420" spans="1:11" x14ac:dyDescent="0.3">
      <c r="A420" s="7">
        <v>41762</v>
      </c>
      <c r="B420" s="4">
        <f>YEAR(SalesData[[#This Row],[Order Date]])</f>
        <v>2014</v>
      </c>
      <c r="C420" s="4">
        <f>MONTH(SalesData[[#This Row],[Order Date]])</f>
        <v>5</v>
      </c>
      <c r="D420" s="3" t="s">
        <v>605</v>
      </c>
      <c r="E420" s="3" t="s">
        <v>157</v>
      </c>
      <c r="F420" s="3" t="s">
        <v>11</v>
      </c>
      <c r="G420" s="3" t="s">
        <v>16</v>
      </c>
      <c r="H420" s="3" t="s">
        <v>606</v>
      </c>
      <c r="I420" s="6">
        <v>21.56</v>
      </c>
      <c r="J420" s="4">
        <v>7</v>
      </c>
      <c r="K420" s="6">
        <v>10.35</v>
      </c>
    </row>
    <row r="421" spans="1:11" x14ac:dyDescent="0.3">
      <c r="A421" s="7">
        <v>41762</v>
      </c>
      <c r="B421" s="4">
        <f>YEAR(SalesData[[#This Row],[Order Date]])</f>
        <v>2014</v>
      </c>
      <c r="C421" s="4">
        <f>MONTH(SalesData[[#This Row],[Order Date]])</f>
        <v>5</v>
      </c>
      <c r="D421" s="3" t="s">
        <v>607</v>
      </c>
      <c r="E421" s="3" t="s">
        <v>149</v>
      </c>
      <c r="F421" s="3" t="s">
        <v>11</v>
      </c>
      <c r="G421" s="3" t="s">
        <v>20</v>
      </c>
      <c r="H421" s="3" t="s">
        <v>608</v>
      </c>
      <c r="I421" s="6">
        <v>40.18</v>
      </c>
      <c r="J421" s="4">
        <v>3</v>
      </c>
      <c r="K421" s="6">
        <v>14.56</v>
      </c>
    </row>
    <row r="422" spans="1:11" x14ac:dyDescent="0.3">
      <c r="A422" s="7">
        <v>41762</v>
      </c>
      <c r="B422" s="4">
        <f>YEAR(SalesData[[#This Row],[Order Date]])</f>
        <v>2014</v>
      </c>
      <c r="C422" s="4">
        <f>MONTH(SalesData[[#This Row],[Order Date]])</f>
        <v>5</v>
      </c>
      <c r="D422" s="3" t="s">
        <v>607</v>
      </c>
      <c r="E422" s="3" t="s">
        <v>149</v>
      </c>
      <c r="F422" s="3" t="s">
        <v>11</v>
      </c>
      <c r="G422" s="3" t="s">
        <v>20</v>
      </c>
      <c r="H422" s="3" t="s">
        <v>609</v>
      </c>
      <c r="I422" s="6">
        <v>10.9</v>
      </c>
      <c r="J422" s="4">
        <v>3</v>
      </c>
      <c r="K422" s="6">
        <v>3.95</v>
      </c>
    </row>
    <row r="423" spans="1:11" x14ac:dyDescent="0.3">
      <c r="A423" s="7">
        <v>41763</v>
      </c>
      <c r="B423" s="4">
        <f>YEAR(SalesData[[#This Row],[Order Date]])</f>
        <v>2014</v>
      </c>
      <c r="C423" s="4">
        <f>MONTH(SalesData[[#This Row],[Order Date]])</f>
        <v>5</v>
      </c>
      <c r="D423" s="3" t="s">
        <v>610</v>
      </c>
      <c r="E423" s="3" t="s">
        <v>110</v>
      </c>
      <c r="F423" s="3" t="s">
        <v>11</v>
      </c>
      <c r="G423" s="3" t="s">
        <v>20</v>
      </c>
      <c r="H423" s="3" t="s">
        <v>611</v>
      </c>
      <c r="I423" s="6">
        <v>46.8</v>
      </c>
      <c r="J423" s="4">
        <v>4</v>
      </c>
      <c r="K423" s="6">
        <v>21.06</v>
      </c>
    </row>
    <row r="424" spans="1:11" x14ac:dyDescent="0.3">
      <c r="A424" s="7">
        <v>41763</v>
      </c>
      <c r="B424" s="4">
        <f>YEAR(SalesData[[#This Row],[Order Date]])</f>
        <v>2014</v>
      </c>
      <c r="C424" s="4">
        <f>MONTH(SalesData[[#This Row],[Order Date]])</f>
        <v>5</v>
      </c>
      <c r="D424" s="3" t="s">
        <v>612</v>
      </c>
      <c r="E424" s="3" t="s">
        <v>613</v>
      </c>
      <c r="F424" s="3" t="s">
        <v>34</v>
      </c>
      <c r="G424" s="3" t="s">
        <v>47</v>
      </c>
      <c r="H424" s="3" t="s">
        <v>365</v>
      </c>
      <c r="I424" s="6">
        <v>27.46</v>
      </c>
      <c r="J424" s="4">
        <v>2</v>
      </c>
      <c r="K424" s="6">
        <v>9.89</v>
      </c>
    </row>
    <row r="425" spans="1:11" x14ac:dyDescent="0.3">
      <c r="A425" s="7">
        <v>41763</v>
      </c>
      <c r="B425" s="4">
        <f>YEAR(SalesData[[#This Row],[Order Date]])</f>
        <v>2014</v>
      </c>
      <c r="C425" s="4">
        <f>MONTH(SalesData[[#This Row],[Order Date]])</f>
        <v>5</v>
      </c>
      <c r="D425" s="3" t="s">
        <v>417</v>
      </c>
      <c r="E425" s="3" t="s">
        <v>10</v>
      </c>
      <c r="F425" s="3" t="s">
        <v>11</v>
      </c>
      <c r="G425" s="3" t="s">
        <v>24</v>
      </c>
      <c r="H425" s="3" t="s">
        <v>484</v>
      </c>
      <c r="I425" s="6">
        <v>37.840000000000003</v>
      </c>
      <c r="J425" s="4">
        <v>2</v>
      </c>
      <c r="K425" s="6">
        <v>2.84</v>
      </c>
    </row>
    <row r="426" spans="1:11" x14ac:dyDescent="0.3">
      <c r="A426" s="7">
        <v>41763</v>
      </c>
      <c r="B426" s="4">
        <f>YEAR(SalesData[[#This Row],[Order Date]])</f>
        <v>2014</v>
      </c>
      <c r="C426" s="4">
        <f>MONTH(SalesData[[#This Row],[Order Date]])</f>
        <v>5</v>
      </c>
      <c r="D426" s="3" t="s">
        <v>417</v>
      </c>
      <c r="E426" s="3" t="s">
        <v>10</v>
      </c>
      <c r="F426" s="3" t="s">
        <v>11</v>
      </c>
      <c r="G426" s="3" t="s">
        <v>43</v>
      </c>
      <c r="H426" s="3" t="s">
        <v>614</v>
      </c>
      <c r="I426" s="6">
        <v>5.47</v>
      </c>
      <c r="J426" s="4">
        <v>6</v>
      </c>
      <c r="K426" s="6">
        <v>1.85</v>
      </c>
    </row>
    <row r="427" spans="1:11" x14ac:dyDescent="0.3">
      <c r="A427" s="7">
        <v>41763</v>
      </c>
      <c r="B427" s="4">
        <f>YEAR(SalesData[[#This Row],[Order Date]])</f>
        <v>2014</v>
      </c>
      <c r="C427" s="4">
        <f>MONTH(SalesData[[#This Row],[Order Date]])</f>
        <v>5</v>
      </c>
      <c r="D427" s="3" t="s">
        <v>615</v>
      </c>
      <c r="E427" s="3" t="s">
        <v>164</v>
      </c>
      <c r="F427" s="3" t="s">
        <v>34</v>
      </c>
      <c r="G427" s="3" t="s">
        <v>47</v>
      </c>
      <c r="H427" s="3" t="s">
        <v>616</v>
      </c>
      <c r="I427" s="6">
        <v>12.18</v>
      </c>
      <c r="J427" s="4">
        <v>7</v>
      </c>
      <c r="K427" s="6">
        <v>3.9</v>
      </c>
    </row>
    <row r="428" spans="1:11" x14ac:dyDescent="0.3">
      <c r="A428" s="7">
        <v>41763</v>
      </c>
      <c r="B428" s="4">
        <f>YEAR(SalesData[[#This Row],[Order Date]])</f>
        <v>2014</v>
      </c>
      <c r="C428" s="4">
        <f>MONTH(SalesData[[#This Row],[Order Date]])</f>
        <v>5</v>
      </c>
      <c r="D428" s="3" t="s">
        <v>615</v>
      </c>
      <c r="E428" s="3" t="s">
        <v>164</v>
      </c>
      <c r="F428" s="3" t="s">
        <v>11</v>
      </c>
      <c r="G428" s="3" t="s">
        <v>92</v>
      </c>
      <c r="H428" s="3" t="s">
        <v>617</v>
      </c>
      <c r="I428" s="6">
        <v>57.68</v>
      </c>
      <c r="J428" s="4">
        <v>4</v>
      </c>
      <c r="K428" s="6">
        <v>19.03</v>
      </c>
    </row>
    <row r="429" spans="1:11" x14ac:dyDescent="0.3">
      <c r="A429" s="7">
        <v>41764</v>
      </c>
      <c r="B429" s="4">
        <f>YEAR(SalesData[[#This Row],[Order Date]])</f>
        <v>2014</v>
      </c>
      <c r="C429" s="4">
        <f>MONTH(SalesData[[#This Row],[Order Date]])</f>
        <v>5</v>
      </c>
      <c r="D429" s="3" t="s">
        <v>618</v>
      </c>
      <c r="E429" s="3" t="s">
        <v>33</v>
      </c>
      <c r="F429" s="3" t="s">
        <v>11</v>
      </c>
      <c r="G429" s="3" t="s">
        <v>12</v>
      </c>
      <c r="H429" s="3" t="s">
        <v>619</v>
      </c>
      <c r="I429" s="6">
        <v>9.42</v>
      </c>
      <c r="J429" s="4">
        <v>3</v>
      </c>
      <c r="K429" s="6">
        <v>4.24</v>
      </c>
    </row>
    <row r="430" spans="1:11" x14ac:dyDescent="0.3">
      <c r="A430" s="7">
        <v>41764</v>
      </c>
      <c r="B430" s="4">
        <f>YEAR(SalesData[[#This Row],[Order Date]])</f>
        <v>2014</v>
      </c>
      <c r="C430" s="4">
        <f>MONTH(SalesData[[#This Row],[Order Date]])</f>
        <v>5</v>
      </c>
      <c r="D430" s="3" t="s">
        <v>618</v>
      </c>
      <c r="E430" s="3" t="s">
        <v>33</v>
      </c>
      <c r="F430" s="3" t="s">
        <v>11</v>
      </c>
      <c r="G430" s="3" t="s">
        <v>24</v>
      </c>
      <c r="H430" s="3" t="s">
        <v>620</v>
      </c>
      <c r="I430" s="6">
        <v>6.56</v>
      </c>
      <c r="J430" s="4">
        <v>2</v>
      </c>
      <c r="K430" s="6">
        <v>1.9</v>
      </c>
    </row>
    <row r="431" spans="1:11" x14ac:dyDescent="0.3">
      <c r="A431" s="7">
        <v>41764</v>
      </c>
      <c r="B431" s="4">
        <f>YEAR(SalesData[[#This Row],[Order Date]])</f>
        <v>2014</v>
      </c>
      <c r="C431" s="4">
        <f>MONTH(SalesData[[#This Row],[Order Date]])</f>
        <v>5</v>
      </c>
      <c r="D431" s="3" t="s">
        <v>618</v>
      </c>
      <c r="E431" s="3" t="s">
        <v>33</v>
      </c>
      <c r="F431" s="3" t="s">
        <v>11</v>
      </c>
      <c r="G431" s="3" t="s">
        <v>12</v>
      </c>
      <c r="H431" s="3" t="s">
        <v>621</v>
      </c>
      <c r="I431" s="6">
        <v>24.56</v>
      </c>
      <c r="J431" s="4">
        <v>2</v>
      </c>
      <c r="K431" s="6">
        <v>11.54</v>
      </c>
    </row>
    <row r="432" spans="1:11" x14ac:dyDescent="0.3">
      <c r="A432" s="7">
        <v>41764</v>
      </c>
      <c r="B432" s="4">
        <f>YEAR(SalesData[[#This Row],[Order Date]])</f>
        <v>2014</v>
      </c>
      <c r="C432" s="4">
        <f>MONTH(SalesData[[#This Row],[Order Date]])</f>
        <v>5</v>
      </c>
      <c r="D432" s="3" t="s">
        <v>622</v>
      </c>
      <c r="E432" s="3" t="s">
        <v>10</v>
      </c>
      <c r="F432" s="3" t="s">
        <v>34</v>
      </c>
      <c r="G432" s="3" t="s">
        <v>35</v>
      </c>
      <c r="H432" s="3" t="s">
        <v>187</v>
      </c>
      <c r="I432" s="6">
        <v>127.87</v>
      </c>
      <c r="J432" s="4">
        <v>3</v>
      </c>
      <c r="K432" s="6">
        <v>-9.1300000000000008</v>
      </c>
    </row>
    <row r="433" spans="1:11" x14ac:dyDescent="0.3">
      <c r="A433" s="7">
        <v>41764</v>
      </c>
      <c r="B433" s="4">
        <f>YEAR(SalesData[[#This Row],[Order Date]])</f>
        <v>2014</v>
      </c>
      <c r="C433" s="4">
        <f>MONTH(SalesData[[#This Row],[Order Date]])</f>
        <v>5</v>
      </c>
      <c r="D433" s="3" t="s">
        <v>433</v>
      </c>
      <c r="E433" s="3" t="s">
        <v>15</v>
      </c>
      <c r="F433" s="3" t="s">
        <v>11</v>
      </c>
      <c r="G433" s="3" t="s">
        <v>18</v>
      </c>
      <c r="H433" s="3" t="s">
        <v>623</v>
      </c>
      <c r="I433" s="6">
        <v>45.25</v>
      </c>
      <c r="J433" s="4">
        <v>2</v>
      </c>
      <c r="K433" s="6">
        <v>3.96</v>
      </c>
    </row>
    <row r="434" spans="1:11" x14ac:dyDescent="0.3">
      <c r="A434" s="7">
        <v>41764</v>
      </c>
      <c r="B434" s="4">
        <f>YEAR(SalesData[[#This Row],[Order Date]])</f>
        <v>2014</v>
      </c>
      <c r="C434" s="4">
        <f>MONTH(SalesData[[#This Row],[Order Date]])</f>
        <v>5</v>
      </c>
      <c r="D434" s="3" t="s">
        <v>624</v>
      </c>
      <c r="E434" s="3" t="s">
        <v>55</v>
      </c>
      <c r="F434" s="3" t="s">
        <v>11</v>
      </c>
      <c r="G434" s="3" t="s">
        <v>20</v>
      </c>
      <c r="H434" s="3" t="s">
        <v>118</v>
      </c>
      <c r="I434" s="6">
        <v>11.88</v>
      </c>
      <c r="J434" s="4">
        <v>2</v>
      </c>
      <c r="K434" s="6">
        <v>5.35</v>
      </c>
    </row>
    <row r="435" spans="1:11" x14ac:dyDescent="0.3">
      <c r="A435" s="7">
        <v>41764</v>
      </c>
      <c r="B435" s="4">
        <f>YEAR(SalesData[[#This Row],[Order Date]])</f>
        <v>2014</v>
      </c>
      <c r="C435" s="4">
        <f>MONTH(SalesData[[#This Row],[Order Date]])</f>
        <v>5</v>
      </c>
      <c r="D435" s="3" t="s">
        <v>624</v>
      </c>
      <c r="E435" s="3" t="s">
        <v>55</v>
      </c>
      <c r="F435" s="3" t="s">
        <v>11</v>
      </c>
      <c r="G435" s="3" t="s">
        <v>12</v>
      </c>
      <c r="H435" s="3" t="s">
        <v>625</v>
      </c>
      <c r="I435" s="6">
        <v>35.44</v>
      </c>
      <c r="J435" s="4">
        <v>1</v>
      </c>
      <c r="K435" s="6">
        <v>16.66</v>
      </c>
    </row>
    <row r="436" spans="1:11" x14ac:dyDescent="0.3">
      <c r="A436" s="7">
        <v>41765</v>
      </c>
      <c r="B436" s="4">
        <f>YEAR(SalesData[[#This Row],[Order Date]])</f>
        <v>2014</v>
      </c>
      <c r="C436" s="4">
        <f>MONTH(SalesData[[#This Row],[Order Date]])</f>
        <v>5</v>
      </c>
      <c r="D436" s="3" t="s">
        <v>626</v>
      </c>
      <c r="E436" s="3" t="s">
        <v>27</v>
      </c>
      <c r="F436" s="3" t="s">
        <v>11</v>
      </c>
      <c r="G436" s="3" t="s">
        <v>20</v>
      </c>
      <c r="H436" s="3" t="s">
        <v>627</v>
      </c>
      <c r="I436" s="6">
        <v>140.74</v>
      </c>
      <c r="J436" s="4">
        <v>8</v>
      </c>
      <c r="K436" s="6">
        <v>52.78</v>
      </c>
    </row>
    <row r="437" spans="1:11" x14ac:dyDescent="0.3">
      <c r="A437" s="7">
        <v>41765</v>
      </c>
      <c r="B437" s="4">
        <f>YEAR(SalesData[[#This Row],[Order Date]])</f>
        <v>2014</v>
      </c>
      <c r="C437" s="4">
        <f>MONTH(SalesData[[#This Row],[Order Date]])</f>
        <v>5</v>
      </c>
      <c r="D437" s="3" t="s">
        <v>628</v>
      </c>
      <c r="E437" s="3" t="s">
        <v>27</v>
      </c>
      <c r="F437" s="3" t="s">
        <v>11</v>
      </c>
      <c r="G437" s="3" t="s">
        <v>16</v>
      </c>
      <c r="H437" s="3" t="s">
        <v>221</v>
      </c>
      <c r="I437" s="6">
        <v>5.78</v>
      </c>
      <c r="J437" s="4">
        <v>2</v>
      </c>
      <c r="K437" s="6">
        <v>2.72</v>
      </c>
    </row>
    <row r="438" spans="1:11" x14ac:dyDescent="0.3">
      <c r="A438" s="7">
        <v>41765</v>
      </c>
      <c r="B438" s="4">
        <f>YEAR(SalesData[[#This Row],[Order Date]])</f>
        <v>2014</v>
      </c>
      <c r="C438" s="4">
        <f>MONTH(SalesData[[#This Row],[Order Date]])</f>
        <v>5</v>
      </c>
      <c r="D438" s="3" t="s">
        <v>628</v>
      </c>
      <c r="E438" s="3" t="s">
        <v>27</v>
      </c>
      <c r="F438" s="3" t="s">
        <v>11</v>
      </c>
      <c r="G438" s="3" t="s">
        <v>24</v>
      </c>
      <c r="H438" s="3" t="s">
        <v>629</v>
      </c>
      <c r="I438" s="6">
        <v>107.94</v>
      </c>
      <c r="J438" s="4">
        <v>6</v>
      </c>
      <c r="K438" s="6">
        <v>30.22</v>
      </c>
    </row>
    <row r="439" spans="1:11" x14ac:dyDescent="0.3">
      <c r="A439" s="7">
        <v>41766</v>
      </c>
      <c r="B439" s="4">
        <f>YEAR(SalesData[[#This Row],[Order Date]])</f>
        <v>2014</v>
      </c>
      <c r="C439" s="4">
        <f>MONTH(SalesData[[#This Row],[Order Date]])</f>
        <v>5</v>
      </c>
      <c r="D439" s="3" t="s">
        <v>630</v>
      </c>
      <c r="E439" s="3" t="s">
        <v>434</v>
      </c>
      <c r="F439" s="3" t="s">
        <v>11</v>
      </c>
      <c r="G439" s="3" t="s">
        <v>20</v>
      </c>
      <c r="H439" s="3" t="s">
        <v>631</v>
      </c>
      <c r="I439" s="6">
        <v>16.14</v>
      </c>
      <c r="J439" s="4">
        <v>3</v>
      </c>
      <c r="K439" s="6">
        <v>7.91</v>
      </c>
    </row>
    <row r="440" spans="1:11" x14ac:dyDescent="0.3">
      <c r="A440" s="7">
        <v>41766</v>
      </c>
      <c r="B440" s="4">
        <f>YEAR(SalesData[[#This Row],[Order Date]])</f>
        <v>2014</v>
      </c>
      <c r="C440" s="4">
        <f>MONTH(SalesData[[#This Row],[Order Date]])</f>
        <v>5</v>
      </c>
      <c r="D440" s="3" t="s">
        <v>630</v>
      </c>
      <c r="E440" s="3" t="s">
        <v>434</v>
      </c>
      <c r="F440" s="3" t="s">
        <v>34</v>
      </c>
      <c r="G440" s="3" t="s">
        <v>145</v>
      </c>
      <c r="H440" s="3" t="s">
        <v>146</v>
      </c>
      <c r="I440" s="6">
        <v>194.25</v>
      </c>
      <c r="J440" s="4">
        <v>2</v>
      </c>
      <c r="K440" s="6">
        <v>-38.85</v>
      </c>
    </row>
    <row r="441" spans="1:11" x14ac:dyDescent="0.3">
      <c r="A441" s="7">
        <v>41766</v>
      </c>
      <c r="B441" s="4">
        <f>YEAR(SalesData[[#This Row],[Order Date]])</f>
        <v>2014</v>
      </c>
      <c r="C441" s="4">
        <f>MONTH(SalesData[[#This Row],[Order Date]])</f>
        <v>5</v>
      </c>
      <c r="D441" s="3" t="s">
        <v>630</v>
      </c>
      <c r="E441" s="3" t="s">
        <v>434</v>
      </c>
      <c r="F441" s="3" t="s">
        <v>11</v>
      </c>
      <c r="G441" s="3" t="s">
        <v>24</v>
      </c>
      <c r="H441" s="3" t="s">
        <v>632</v>
      </c>
      <c r="I441" s="6">
        <v>8.64</v>
      </c>
      <c r="J441" s="4">
        <v>3</v>
      </c>
      <c r="K441" s="6">
        <v>2.5099999999999998</v>
      </c>
    </row>
    <row r="442" spans="1:11" x14ac:dyDescent="0.3">
      <c r="A442" s="7">
        <v>41766</v>
      </c>
      <c r="B442" s="4">
        <f>YEAR(SalesData[[#This Row],[Order Date]])</f>
        <v>2014</v>
      </c>
      <c r="C442" s="4">
        <f>MONTH(SalesData[[#This Row],[Order Date]])</f>
        <v>5</v>
      </c>
      <c r="D442" s="3" t="s">
        <v>630</v>
      </c>
      <c r="E442" s="3" t="s">
        <v>434</v>
      </c>
      <c r="F442" s="3" t="s">
        <v>34</v>
      </c>
      <c r="G442" s="3" t="s">
        <v>35</v>
      </c>
      <c r="H442" s="3" t="s">
        <v>633</v>
      </c>
      <c r="I442" s="6">
        <v>872.32</v>
      </c>
      <c r="J442" s="4">
        <v>4</v>
      </c>
      <c r="K442" s="6">
        <v>244.25</v>
      </c>
    </row>
    <row r="443" spans="1:11" x14ac:dyDescent="0.3">
      <c r="A443" s="7">
        <v>41767</v>
      </c>
      <c r="B443" s="4">
        <f>YEAR(SalesData[[#This Row],[Order Date]])</f>
        <v>2014</v>
      </c>
      <c r="C443" s="4">
        <f>MONTH(SalesData[[#This Row],[Order Date]])</f>
        <v>5</v>
      </c>
      <c r="D443" s="3" t="s">
        <v>277</v>
      </c>
      <c r="E443" s="3" t="s">
        <v>23</v>
      </c>
      <c r="F443" s="3" t="s">
        <v>39</v>
      </c>
      <c r="G443" s="3" t="s">
        <v>603</v>
      </c>
      <c r="H443" s="3" t="s">
        <v>634</v>
      </c>
      <c r="I443" s="6">
        <v>1799.97</v>
      </c>
      <c r="J443" s="4">
        <v>5</v>
      </c>
      <c r="K443" s="6">
        <v>240</v>
      </c>
    </row>
    <row r="444" spans="1:11" x14ac:dyDescent="0.3">
      <c r="A444" s="7">
        <v>41768</v>
      </c>
      <c r="B444" s="4">
        <f>YEAR(SalesData[[#This Row],[Order Date]])</f>
        <v>2014</v>
      </c>
      <c r="C444" s="4">
        <f>MONTH(SalesData[[#This Row],[Order Date]])</f>
        <v>5</v>
      </c>
      <c r="D444" s="3" t="s">
        <v>635</v>
      </c>
      <c r="E444" s="3" t="s">
        <v>27</v>
      </c>
      <c r="F444" s="3" t="s">
        <v>39</v>
      </c>
      <c r="G444" s="3" t="s">
        <v>52</v>
      </c>
      <c r="H444" s="3" t="s">
        <v>477</v>
      </c>
      <c r="I444" s="6">
        <v>67.8</v>
      </c>
      <c r="J444" s="4">
        <v>4</v>
      </c>
      <c r="K444" s="6">
        <v>4.07</v>
      </c>
    </row>
    <row r="445" spans="1:11" x14ac:dyDescent="0.3">
      <c r="A445" s="7">
        <v>41768</v>
      </c>
      <c r="B445" s="4">
        <f>YEAR(SalesData[[#This Row],[Order Date]])</f>
        <v>2014</v>
      </c>
      <c r="C445" s="4">
        <f>MONTH(SalesData[[#This Row],[Order Date]])</f>
        <v>5</v>
      </c>
      <c r="D445" s="3" t="s">
        <v>635</v>
      </c>
      <c r="E445" s="3" t="s">
        <v>27</v>
      </c>
      <c r="F445" s="3" t="s">
        <v>39</v>
      </c>
      <c r="G445" s="3" t="s">
        <v>52</v>
      </c>
      <c r="H445" s="3" t="s">
        <v>636</v>
      </c>
      <c r="I445" s="6">
        <v>167.97</v>
      </c>
      <c r="J445" s="4">
        <v>3</v>
      </c>
      <c r="K445" s="6">
        <v>40.31</v>
      </c>
    </row>
    <row r="446" spans="1:11" x14ac:dyDescent="0.3">
      <c r="A446" s="7">
        <v>41768</v>
      </c>
      <c r="B446" s="4">
        <f>YEAR(SalesData[[#This Row],[Order Date]])</f>
        <v>2014</v>
      </c>
      <c r="C446" s="4">
        <f>MONTH(SalesData[[#This Row],[Order Date]])</f>
        <v>5</v>
      </c>
      <c r="D446" s="3" t="s">
        <v>637</v>
      </c>
      <c r="E446" s="3" t="s">
        <v>33</v>
      </c>
      <c r="F446" s="3" t="s">
        <v>11</v>
      </c>
      <c r="G446" s="3" t="s">
        <v>18</v>
      </c>
      <c r="H446" s="3" t="s">
        <v>638</v>
      </c>
      <c r="I446" s="6">
        <v>83.25</v>
      </c>
      <c r="J446" s="4">
        <v>3</v>
      </c>
      <c r="K446" s="6">
        <v>14.99</v>
      </c>
    </row>
    <row r="447" spans="1:11" x14ac:dyDescent="0.3">
      <c r="A447" s="7">
        <v>41768</v>
      </c>
      <c r="B447" s="4">
        <f>YEAR(SalesData[[#This Row],[Order Date]])</f>
        <v>2014</v>
      </c>
      <c r="C447" s="4">
        <f>MONTH(SalesData[[#This Row],[Order Date]])</f>
        <v>5</v>
      </c>
      <c r="D447" s="3" t="s">
        <v>637</v>
      </c>
      <c r="E447" s="3" t="s">
        <v>33</v>
      </c>
      <c r="F447" s="3" t="s">
        <v>11</v>
      </c>
      <c r="G447" s="3" t="s">
        <v>16</v>
      </c>
      <c r="H447" s="3" t="s">
        <v>447</v>
      </c>
      <c r="I447" s="6">
        <v>9.4499999999999993</v>
      </c>
      <c r="J447" s="4">
        <v>3</v>
      </c>
      <c r="K447" s="6">
        <v>4.54</v>
      </c>
    </row>
    <row r="448" spans="1:11" x14ac:dyDescent="0.3">
      <c r="A448" s="7">
        <v>41768</v>
      </c>
      <c r="B448" s="4">
        <f>YEAR(SalesData[[#This Row],[Order Date]])</f>
        <v>2014</v>
      </c>
      <c r="C448" s="4">
        <f>MONTH(SalesData[[#This Row],[Order Date]])</f>
        <v>5</v>
      </c>
      <c r="D448" s="3" t="s">
        <v>637</v>
      </c>
      <c r="E448" s="3" t="s">
        <v>33</v>
      </c>
      <c r="F448" s="3" t="s">
        <v>11</v>
      </c>
      <c r="G448" s="3" t="s">
        <v>16</v>
      </c>
      <c r="H448" s="3" t="s">
        <v>639</v>
      </c>
      <c r="I448" s="6">
        <v>20.65</v>
      </c>
      <c r="J448" s="4">
        <v>5</v>
      </c>
      <c r="K448" s="6">
        <v>9.5</v>
      </c>
    </row>
    <row r="449" spans="1:11" x14ac:dyDescent="0.3">
      <c r="A449" s="7">
        <v>41768</v>
      </c>
      <c r="B449" s="4">
        <f>YEAR(SalesData[[#This Row],[Order Date]])</f>
        <v>2014</v>
      </c>
      <c r="C449" s="4">
        <f>MONTH(SalesData[[#This Row],[Order Date]])</f>
        <v>5</v>
      </c>
      <c r="D449" s="3" t="s">
        <v>637</v>
      </c>
      <c r="E449" s="3" t="s">
        <v>33</v>
      </c>
      <c r="F449" s="3" t="s">
        <v>11</v>
      </c>
      <c r="G449" s="3" t="s">
        <v>12</v>
      </c>
      <c r="H449" s="3" t="s">
        <v>640</v>
      </c>
      <c r="I449" s="6">
        <v>45.36</v>
      </c>
      <c r="J449" s="4">
        <v>7</v>
      </c>
      <c r="K449" s="6">
        <v>21.77</v>
      </c>
    </row>
    <row r="450" spans="1:11" x14ac:dyDescent="0.3">
      <c r="A450" s="7">
        <v>41769</v>
      </c>
      <c r="B450" s="4">
        <f>YEAR(SalesData[[#This Row],[Order Date]])</f>
        <v>2014</v>
      </c>
      <c r="C450" s="4">
        <f>MONTH(SalesData[[#This Row],[Order Date]])</f>
        <v>5</v>
      </c>
      <c r="D450" s="3" t="s">
        <v>587</v>
      </c>
      <c r="E450" s="3" t="s">
        <v>164</v>
      </c>
      <c r="F450" s="3" t="s">
        <v>11</v>
      </c>
      <c r="G450" s="3" t="s">
        <v>63</v>
      </c>
      <c r="H450" s="3" t="s">
        <v>641</v>
      </c>
      <c r="I450" s="6">
        <v>158.13</v>
      </c>
      <c r="J450" s="4">
        <v>3</v>
      </c>
      <c r="K450" s="6">
        <v>77.48</v>
      </c>
    </row>
    <row r="451" spans="1:11" x14ac:dyDescent="0.3">
      <c r="A451" s="7">
        <v>41769</v>
      </c>
      <c r="B451" s="4">
        <f>YEAR(SalesData[[#This Row],[Order Date]])</f>
        <v>2014</v>
      </c>
      <c r="C451" s="4">
        <f>MONTH(SalesData[[#This Row],[Order Date]])</f>
        <v>5</v>
      </c>
      <c r="D451" s="3" t="s">
        <v>587</v>
      </c>
      <c r="E451" s="3" t="s">
        <v>164</v>
      </c>
      <c r="F451" s="3" t="s">
        <v>39</v>
      </c>
      <c r="G451" s="3" t="s">
        <v>40</v>
      </c>
      <c r="H451" s="3" t="s">
        <v>642</v>
      </c>
      <c r="I451" s="6">
        <v>43.6</v>
      </c>
      <c r="J451" s="4">
        <v>5</v>
      </c>
      <c r="K451" s="6">
        <v>4.3600000000000003</v>
      </c>
    </row>
    <row r="452" spans="1:11" x14ac:dyDescent="0.3">
      <c r="A452" s="7">
        <v>41769</v>
      </c>
      <c r="B452" s="4">
        <f>YEAR(SalesData[[#This Row],[Order Date]])</f>
        <v>2014</v>
      </c>
      <c r="C452" s="4">
        <f>MONTH(SalesData[[#This Row],[Order Date]])</f>
        <v>5</v>
      </c>
      <c r="D452" s="3" t="s">
        <v>643</v>
      </c>
      <c r="E452" s="3" t="s">
        <v>23</v>
      </c>
      <c r="F452" s="3" t="s">
        <v>34</v>
      </c>
      <c r="G452" s="3" t="s">
        <v>74</v>
      </c>
      <c r="H452" s="3" t="s">
        <v>644</v>
      </c>
      <c r="I452" s="6">
        <v>349.97</v>
      </c>
      <c r="J452" s="4">
        <v>7</v>
      </c>
      <c r="K452" s="6">
        <v>-216.98</v>
      </c>
    </row>
    <row r="453" spans="1:11" x14ac:dyDescent="0.3">
      <c r="A453" s="7">
        <v>41769</v>
      </c>
      <c r="B453" s="4">
        <f>YEAR(SalesData[[#This Row],[Order Date]])</f>
        <v>2014</v>
      </c>
      <c r="C453" s="4">
        <f>MONTH(SalesData[[#This Row],[Order Date]])</f>
        <v>5</v>
      </c>
      <c r="D453" s="3" t="s">
        <v>643</v>
      </c>
      <c r="E453" s="3" t="s">
        <v>23</v>
      </c>
      <c r="F453" s="3" t="s">
        <v>11</v>
      </c>
      <c r="G453" s="3" t="s">
        <v>24</v>
      </c>
      <c r="H453" s="3" t="s">
        <v>645</v>
      </c>
      <c r="I453" s="6">
        <v>22.32</v>
      </c>
      <c r="J453" s="4">
        <v>5</v>
      </c>
      <c r="K453" s="6">
        <v>5.3</v>
      </c>
    </row>
    <row r="454" spans="1:11" x14ac:dyDescent="0.3">
      <c r="A454" s="7">
        <v>41769</v>
      </c>
      <c r="B454" s="4">
        <f>YEAR(SalesData[[#This Row],[Order Date]])</f>
        <v>2014</v>
      </c>
      <c r="C454" s="4">
        <f>MONTH(SalesData[[#This Row],[Order Date]])</f>
        <v>5</v>
      </c>
      <c r="D454" s="3" t="s">
        <v>646</v>
      </c>
      <c r="E454" s="3" t="s">
        <v>27</v>
      </c>
      <c r="F454" s="3" t="s">
        <v>11</v>
      </c>
      <c r="G454" s="3" t="s">
        <v>12</v>
      </c>
      <c r="H454" s="3" t="s">
        <v>647</v>
      </c>
      <c r="I454" s="6">
        <v>39.96</v>
      </c>
      <c r="J454" s="4">
        <v>2</v>
      </c>
      <c r="K454" s="6">
        <v>19.18</v>
      </c>
    </row>
    <row r="455" spans="1:11" x14ac:dyDescent="0.3">
      <c r="A455" s="7">
        <v>41769</v>
      </c>
      <c r="B455" s="4">
        <f>YEAR(SalesData[[#This Row],[Order Date]])</f>
        <v>2014</v>
      </c>
      <c r="C455" s="4">
        <f>MONTH(SalesData[[#This Row],[Order Date]])</f>
        <v>5</v>
      </c>
      <c r="D455" s="3" t="s">
        <v>646</v>
      </c>
      <c r="E455" s="3" t="s">
        <v>27</v>
      </c>
      <c r="F455" s="3" t="s">
        <v>39</v>
      </c>
      <c r="G455" s="3" t="s">
        <v>40</v>
      </c>
      <c r="H455" s="3" t="s">
        <v>648</v>
      </c>
      <c r="I455" s="6">
        <v>1432</v>
      </c>
      <c r="J455" s="4">
        <v>5</v>
      </c>
      <c r="K455" s="6">
        <v>125.3</v>
      </c>
    </row>
    <row r="456" spans="1:11" x14ac:dyDescent="0.3">
      <c r="A456" s="7">
        <v>41769</v>
      </c>
      <c r="B456" s="4">
        <f>YEAR(SalesData[[#This Row],[Order Date]])</f>
        <v>2014</v>
      </c>
      <c r="C456" s="4">
        <f>MONTH(SalesData[[#This Row],[Order Date]])</f>
        <v>5</v>
      </c>
      <c r="D456" s="3" t="s">
        <v>646</v>
      </c>
      <c r="E456" s="3" t="s">
        <v>27</v>
      </c>
      <c r="F456" s="3" t="s">
        <v>11</v>
      </c>
      <c r="G456" s="3" t="s">
        <v>200</v>
      </c>
      <c r="H456" s="3" t="s">
        <v>649</v>
      </c>
      <c r="I456" s="6">
        <v>41.04</v>
      </c>
      <c r="J456" s="4">
        <v>6</v>
      </c>
      <c r="K456" s="6">
        <v>11.08</v>
      </c>
    </row>
    <row r="457" spans="1:11" x14ac:dyDescent="0.3">
      <c r="A457" s="7">
        <v>41769</v>
      </c>
      <c r="B457" s="4">
        <f>YEAR(SalesData[[#This Row],[Order Date]])</f>
        <v>2014</v>
      </c>
      <c r="C457" s="4">
        <f>MONTH(SalesData[[#This Row],[Order Date]])</f>
        <v>5</v>
      </c>
      <c r="D457" s="3" t="s">
        <v>646</v>
      </c>
      <c r="E457" s="3" t="s">
        <v>27</v>
      </c>
      <c r="F457" s="3" t="s">
        <v>34</v>
      </c>
      <c r="G457" s="3" t="s">
        <v>35</v>
      </c>
      <c r="H457" s="3" t="s">
        <v>650</v>
      </c>
      <c r="I457" s="6">
        <v>256.77999999999997</v>
      </c>
      <c r="J457" s="4">
        <v>1</v>
      </c>
      <c r="K457" s="6">
        <v>32.1</v>
      </c>
    </row>
    <row r="458" spans="1:11" x14ac:dyDescent="0.3">
      <c r="A458" s="7">
        <v>41770</v>
      </c>
      <c r="B458" s="4">
        <f>YEAR(SalesData[[#This Row],[Order Date]])</f>
        <v>2014</v>
      </c>
      <c r="C458" s="4">
        <f>MONTH(SalesData[[#This Row],[Order Date]])</f>
        <v>5</v>
      </c>
      <c r="D458" s="3" t="s">
        <v>651</v>
      </c>
      <c r="E458" s="3" t="s">
        <v>10</v>
      </c>
      <c r="F458" s="3" t="s">
        <v>39</v>
      </c>
      <c r="G458" s="3" t="s">
        <v>52</v>
      </c>
      <c r="H458" s="3" t="s">
        <v>652</v>
      </c>
      <c r="I458" s="6">
        <v>58.11</v>
      </c>
      <c r="J458" s="4">
        <v>2</v>
      </c>
      <c r="K458" s="6">
        <v>7.26</v>
      </c>
    </row>
    <row r="459" spans="1:11" x14ac:dyDescent="0.3">
      <c r="A459" s="7">
        <v>41770</v>
      </c>
      <c r="B459" s="4">
        <f>YEAR(SalesData[[#This Row],[Order Date]])</f>
        <v>2014</v>
      </c>
      <c r="C459" s="4">
        <f>MONTH(SalesData[[#This Row],[Order Date]])</f>
        <v>5</v>
      </c>
      <c r="D459" s="3" t="s">
        <v>651</v>
      </c>
      <c r="E459" s="3" t="s">
        <v>10</v>
      </c>
      <c r="F459" s="3" t="s">
        <v>39</v>
      </c>
      <c r="G459" s="3" t="s">
        <v>40</v>
      </c>
      <c r="H459" s="3" t="s">
        <v>653</v>
      </c>
      <c r="I459" s="6">
        <v>100.79</v>
      </c>
      <c r="J459" s="4">
        <v>1</v>
      </c>
      <c r="K459" s="6">
        <v>6.3</v>
      </c>
    </row>
    <row r="460" spans="1:11" x14ac:dyDescent="0.3">
      <c r="A460" s="7">
        <v>41770</v>
      </c>
      <c r="B460" s="4">
        <f>YEAR(SalesData[[#This Row],[Order Date]])</f>
        <v>2014</v>
      </c>
      <c r="C460" s="4">
        <f>MONTH(SalesData[[#This Row],[Order Date]])</f>
        <v>5</v>
      </c>
      <c r="D460" s="3" t="s">
        <v>651</v>
      </c>
      <c r="E460" s="3" t="s">
        <v>10</v>
      </c>
      <c r="F460" s="3" t="s">
        <v>34</v>
      </c>
      <c r="G460" s="3" t="s">
        <v>47</v>
      </c>
      <c r="H460" s="3" t="s">
        <v>654</v>
      </c>
      <c r="I460" s="6">
        <v>66.11</v>
      </c>
      <c r="J460" s="4">
        <v>4</v>
      </c>
      <c r="K460" s="6">
        <v>-84.29</v>
      </c>
    </row>
    <row r="461" spans="1:11" x14ac:dyDescent="0.3">
      <c r="A461" s="7">
        <v>41770</v>
      </c>
      <c r="B461" s="4">
        <f>YEAR(SalesData[[#This Row],[Order Date]])</f>
        <v>2014</v>
      </c>
      <c r="C461" s="4">
        <f>MONTH(SalesData[[#This Row],[Order Date]])</f>
        <v>5</v>
      </c>
      <c r="D461" s="3" t="s">
        <v>655</v>
      </c>
      <c r="E461" s="3" t="s">
        <v>10</v>
      </c>
      <c r="F461" s="3" t="s">
        <v>39</v>
      </c>
      <c r="G461" s="3" t="s">
        <v>52</v>
      </c>
      <c r="H461" s="3" t="s">
        <v>656</v>
      </c>
      <c r="I461" s="6">
        <v>46.86</v>
      </c>
      <c r="J461" s="4">
        <v>2</v>
      </c>
      <c r="K461" s="6">
        <v>7.62</v>
      </c>
    </row>
    <row r="462" spans="1:11" x14ac:dyDescent="0.3">
      <c r="A462" s="7">
        <v>41770</v>
      </c>
      <c r="B462" s="4">
        <f>YEAR(SalesData[[#This Row],[Order Date]])</f>
        <v>2014</v>
      </c>
      <c r="C462" s="4">
        <f>MONTH(SalesData[[#This Row],[Order Date]])</f>
        <v>5</v>
      </c>
      <c r="D462" s="3" t="s">
        <v>657</v>
      </c>
      <c r="E462" s="3" t="s">
        <v>149</v>
      </c>
      <c r="F462" s="3" t="s">
        <v>11</v>
      </c>
      <c r="G462" s="3" t="s">
        <v>92</v>
      </c>
      <c r="H462" s="3" t="s">
        <v>658</v>
      </c>
      <c r="I462" s="6">
        <v>35.909999999999997</v>
      </c>
      <c r="J462" s="4">
        <v>3</v>
      </c>
      <c r="K462" s="6">
        <v>9.6999999999999993</v>
      </c>
    </row>
    <row r="463" spans="1:11" x14ac:dyDescent="0.3">
      <c r="A463" s="7">
        <v>41770</v>
      </c>
      <c r="B463" s="4">
        <f>YEAR(SalesData[[#This Row],[Order Date]])</f>
        <v>2014</v>
      </c>
      <c r="C463" s="4">
        <f>MONTH(SalesData[[#This Row],[Order Date]])</f>
        <v>5</v>
      </c>
      <c r="D463" s="3" t="s">
        <v>659</v>
      </c>
      <c r="E463" s="3" t="s">
        <v>10</v>
      </c>
      <c r="F463" s="3" t="s">
        <v>34</v>
      </c>
      <c r="G463" s="3" t="s">
        <v>35</v>
      </c>
      <c r="H463" s="3" t="s">
        <v>660</v>
      </c>
      <c r="I463" s="6">
        <v>1212.96</v>
      </c>
      <c r="J463" s="4">
        <v>8</v>
      </c>
      <c r="K463" s="6">
        <v>-69.31</v>
      </c>
    </row>
    <row r="464" spans="1:11" x14ac:dyDescent="0.3">
      <c r="A464" s="7">
        <v>41770</v>
      </c>
      <c r="B464" s="4">
        <f>YEAR(SalesData[[#This Row],[Order Date]])</f>
        <v>2014</v>
      </c>
      <c r="C464" s="4">
        <f>MONTH(SalesData[[#This Row],[Order Date]])</f>
        <v>5</v>
      </c>
      <c r="D464" s="3" t="s">
        <v>661</v>
      </c>
      <c r="E464" s="3" t="s">
        <v>15</v>
      </c>
      <c r="F464" s="3" t="s">
        <v>11</v>
      </c>
      <c r="G464" s="3" t="s">
        <v>12</v>
      </c>
      <c r="H464" s="3" t="s">
        <v>232</v>
      </c>
      <c r="I464" s="6">
        <v>17.47</v>
      </c>
      <c r="J464" s="4">
        <v>3</v>
      </c>
      <c r="K464" s="6">
        <v>5.68</v>
      </c>
    </row>
    <row r="465" spans="1:11" x14ac:dyDescent="0.3">
      <c r="A465" s="7">
        <v>41770</v>
      </c>
      <c r="B465" s="4">
        <f>YEAR(SalesData[[#This Row],[Order Date]])</f>
        <v>2014</v>
      </c>
      <c r="C465" s="4">
        <f>MONTH(SalesData[[#This Row],[Order Date]])</f>
        <v>5</v>
      </c>
      <c r="D465" s="3" t="s">
        <v>661</v>
      </c>
      <c r="E465" s="3" t="s">
        <v>15</v>
      </c>
      <c r="F465" s="3" t="s">
        <v>11</v>
      </c>
      <c r="G465" s="3" t="s">
        <v>20</v>
      </c>
      <c r="H465" s="3" t="s">
        <v>662</v>
      </c>
      <c r="I465" s="6">
        <v>104.58</v>
      </c>
      <c r="J465" s="4">
        <v>9</v>
      </c>
      <c r="K465" s="6">
        <v>-172.56</v>
      </c>
    </row>
    <row r="466" spans="1:11" x14ac:dyDescent="0.3">
      <c r="A466" s="7">
        <v>41771</v>
      </c>
      <c r="B466" s="4">
        <f>YEAR(SalesData[[#This Row],[Order Date]])</f>
        <v>2014</v>
      </c>
      <c r="C466" s="4">
        <f>MONTH(SalesData[[#This Row],[Order Date]])</f>
        <v>5</v>
      </c>
      <c r="D466" s="3" t="s">
        <v>100</v>
      </c>
      <c r="E466" s="3" t="s">
        <v>157</v>
      </c>
      <c r="F466" s="3" t="s">
        <v>34</v>
      </c>
      <c r="G466" s="3" t="s">
        <v>47</v>
      </c>
      <c r="H466" s="3" t="s">
        <v>60</v>
      </c>
      <c r="I466" s="6">
        <v>34.79</v>
      </c>
      <c r="J466" s="4">
        <v>7</v>
      </c>
      <c r="K466" s="6">
        <v>10.78</v>
      </c>
    </row>
    <row r="467" spans="1:11" x14ac:dyDescent="0.3">
      <c r="A467" s="7">
        <v>41771</v>
      </c>
      <c r="B467" s="4">
        <f>YEAR(SalesData[[#This Row],[Order Date]])</f>
        <v>2014</v>
      </c>
      <c r="C467" s="4">
        <f>MONTH(SalesData[[#This Row],[Order Date]])</f>
        <v>5</v>
      </c>
      <c r="D467" s="3" t="s">
        <v>277</v>
      </c>
      <c r="E467" s="3" t="s">
        <v>434</v>
      </c>
      <c r="F467" s="3" t="s">
        <v>34</v>
      </c>
      <c r="G467" s="3" t="s">
        <v>145</v>
      </c>
      <c r="H467" s="3" t="s">
        <v>663</v>
      </c>
      <c r="I467" s="6">
        <v>700.06</v>
      </c>
      <c r="J467" s="4">
        <v>3</v>
      </c>
      <c r="K467" s="6">
        <v>-130.01</v>
      </c>
    </row>
    <row r="468" spans="1:11" x14ac:dyDescent="0.3">
      <c r="A468" s="7">
        <v>41772</v>
      </c>
      <c r="B468" s="4">
        <f>YEAR(SalesData[[#This Row],[Order Date]])</f>
        <v>2014</v>
      </c>
      <c r="C468" s="4">
        <f>MONTH(SalesData[[#This Row],[Order Date]])</f>
        <v>5</v>
      </c>
      <c r="D468" s="3" t="s">
        <v>664</v>
      </c>
      <c r="E468" s="3" t="s">
        <v>296</v>
      </c>
      <c r="F468" s="3" t="s">
        <v>11</v>
      </c>
      <c r="G468" s="3" t="s">
        <v>18</v>
      </c>
      <c r="H468" s="3" t="s">
        <v>638</v>
      </c>
      <c r="I468" s="6">
        <v>55.5</v>
      </c>
      <c r="J468" s="4">
        <v>2</v>
      </c>
      <c r="K468" s="6">
        <v>9.99</v>
      </c>
    </row>
    <row r="469" spans="1:11" x14ac:dyDescent="0.3">
      <c r="A469" s="7">
        <v>41772</v>
      </c>
      <c r="B469" s="4">
        <f>YEAR(SalesData[[#This Row],[Order Date]])</f>
        <v>2014</v>
      </c>
      <c r="C469" s="4">
        <f>MONTH(SalesData[[#This Row],[Order Date]])</f>
        <v>5</v>
      </c>
      <c r="D469" s="3" t="s">
        <v>665</v>
      </c>
      <c r="E469" s="3" t="s">
        <v>123</v>
      </c>
      <c r="F469" s="3" t="s">
        <v>11</v>
      </c>
      <c r="G469" s="3" t="s">
        <v>43</v>
      </c>
      <c r="H469" s="3" t="s">
        <v>160</v>
      </c>
      <c r="I469" s="6">
        <v>7.1</v>
      </c>
      <c r="J469" s="4">
        <v>2</v>
      </c>
      <c r="K469" s="6">
        <v>2.4</v>
      </c>
    </row>
    <row r="470" spans="1:11" x14ac:dyDescent="0.3">
      <c r="A470" s="7">
        <v>41772</v>
      </c>
      <c r="B470" s="4">
        <f>YEAR(SalesData[[#This Row],[Order Date]])</f>
        <v>2014</v>
      </c>
      <c r="C470" s="4">
        <f>MONTH(SalesData[[#This Row],[Order Date]])</f>
        <v>5</v>
      </c>
      <c r="D470" s="3" t="s">
        <v>665</v>
      </c>
      <c r="E470" s="3" t="s">
        <v>123</v>
      </c>
      <c r="F470" s="3" t="s">
        <v>11</v>
      </c>
      <c r="G470" s="3" t="s">
        <v>20</v>
      </c>
      <c r="H470" s="3" t="s">
        <v>666</v>
      </c>
      <c r="I470" s="6">
        <v>398.35</v>
      </c>
      <c r="J470" s="4">
        <v>8</v>
      </c>
      <c r="K470" s="6">
        <v>-331.96</v>
      </c>
    </row>
    <row r="471" spans="1:11" x14ac:dyDescent="0.3">
      <c r="A471" s="7">
        <v>41772</v>
      </c>
      <c r="B471" s="4">
        <f>YEAR(SalesData[[#This Row],[Order Date]])</f>
        <v>2014</v>
      </c>
      <c r="C471" s="4">
        <f>MONTH(SalesData[[#This Row],[Order Date]])</f>
        <v>5</v>
      </c>
      <c r="D471" s="3" t="s">
        <v>667</v>
      </c>
      <c r="E471" s="3" t="s">
        <v>27</v>
      </c>
      <c r="F471" s="3" t="s">
        <v>39</v>
      </c>
      <c r="G471" s="3" t="s">
        <v>52</v>
      </c>
      <c r="H471" s="3" t="s">
        <v>668</v>
      </c>
      <c r="I471" s="6">
        <v>149.97</v>
      </c>
      <c r="J471" s="4">
        <v>3</v>
      </c>
      <c r="K471" s="6">
        <v>52.49</v>
      </c>
    </row>
    <row r="472" spans="1:11" x14ac:dyDescent="0.3">
      <c r="A472" s="7">
        <v>41772</v>
      </c>
      <c r="B472" s="4">
        <f>YEAR(SalesData[[#This Row],[Order Date]])</f>
        <v>2014</v>
      </c>
      <c r="C472" s="4">
        <f>MONTH(SalesData[[#This Row],[Order Date]])</f>
        <v>5</v>
      </c>
      <c r="D472" s="3" t="s">
        <v>558</v>
      </c>
      <c r="E472" s="3" t="s">
        <v>27</v>
      </c>
      <c r="F472" s="3" t="s">
        <v>34</v>
      </c>
      <c r="G472" s="3" t="s">
        <v>35</v>
      </c>
      <c r="H472" s="3" t="s">
        <v>382</v>
      </c>
      <c r="I472" s="6">
        <v>279.45999999999998</v>
      </c>
      <c r="J472" s="4">
        <v>6</v>
      </c>
      <c r="K472" s="6">
        <v>20.96</v>
      </c>
    </row>
    <row r="473" spans="1:11" x14ac:dyDescent="0.3">
      <c r="A473" s="7">
        <v>41772</v>
      </c>
      <c r="B473" s="4">
        <f>YEAR(SalesData[[#This Row],[Order Date]])</f>
        <v>2014</v>
      </c>
      <c r="C473" s="4">
        <f>MONTH(SalesData[[#This Row],[Order Date]])</f>
        <v>5</v>
      </c>
      <c r="D473" s="3" t="s">
        <v>558</v>
      </c>
      <c r="E473" s="3" t="s">
        <v>27</v>
      </c>
      <c r="F473" s="3" t="s">
        <v>11</v>
      </c>
      <c r="G473" s="3" t="s">
        <v>12</v>
      </c>
      <c r="H473" s="3" t="s">
        <v>332</v>
      </c>
      <c r="I473" s="6">
        <v>8</v>
      </c>
      <c r="J473" s="4">
        <v>2</v>
      </c>
      <c r="K473" s="6">
        <v>3.84</v>
      </c>
    </row>
    <row r="474" spans="1:11" x14ac:dyDescent="0.3">
      <c r="A474" s="7">
        <v>41773</v>
      </c>
      <c r="B474" s="4">
        <f>YEAR(SalesData[[#This Row],[Order Date]])</f>
        <v>2014</v>
      </c>
      <c r="C474" s="4">
        <f>MONTH(SalesData[[#This Row],[Order Date]])</f>
        <v>5</v>
      </c>
      <c r="D474" s="3" t="s">
        <v>669</v>
      </c>
      <c r="E474" s="3" t="s">
        <v>123</v>
      </c>
      <c r="F474" s="3" t="s">
        <v>34</v>
      </c>
      <c r="G474" s="3" t="s">
        <v>47</v>
      </c>
      <c r="H474" s="3" t="s">
        <v>670</v>
      </c>
      <c r="I474" s="6">
        <v>310.88</v>
      </c>
      <c r="J474" s="4">
        <v>2</v>
      </c>
      <c r="K474" s="6">
        <v>23.32</v>
      </c>
    </row>
    <row r="475" spans="1:11" x14ac:dyDescent="0.3">
      <c r="A475" s="7">
        <v>41775</v>
      </c>
      <c r="B475" s="4">
        <f>YEAR(SalesData[[#This Row],[Order Date]])</f>
        <v>2014</v>
      </c>
      <c r="C475" s="4">
        <f>MONTH(SalesData[[#This Row],[Order Date]])</f>
        <v>5</v>
      </c>
      <c r="D475" s="3" t="s">
        <v>671</v>
      </c>
      <c r="E475" s="3" t="s">
        <v>27</v>
      </c>
      <c r="F475" s="3" t="s">
        <v>34</v>
      </c>
      <c r="G475" s="3" t="s">
        <v>35</v>
      </c>
      <c r="H475" s="3" t="s">
        <v>382</v>
      </c>
      <c r="I475" s="6">
        <v>232.88</v>
      </c>
      <c r="J475" s="4">
        <v>5</v>
      </c>
      <c r="K475" s="6">
        <v>17.47</v>
      </c>
    </row>
    <row r="476" spans="1:11" x14ac:dyDescent="0.3">
      <c r="A476" s="7">
        <v>41775</v>
      </c>
      <c r="B476" s="4">
        <f>YEAR(SalesData[[#This Row],[Order Date]])</f>
        <v>2014</v>
      </c>
      <c r="C476" s="4">
        <f>MONTH(SalesData[[#This Row],[Order Date]])</f>
        <v>5</v>
      </c>
      <c r="D476" s="3" t="s">
        <v>672</v>
      </c>
      <c r="E476" s="3" t="s">
        <v>27</v>
      </c>
      <c r="F476" s="3" t="s">
        <v>39</v>
      </c>
      <c r="G476" s="3" t="s">
        <v>52</v>
      </c>
      <c r="H476" s="3" t="s">
        <v>673</v>
      </c>
      <c r="I476" s="6">
        <v>56.4</v>
      </c>
      <c r="J476" s="4">
        <v>3</v>
      </c>
      <c r="K476" s="6">
        <v>3.38</v>
      </c>
    </row>
    <row r="477" spans="1:11" x14ac:dyDescent="0.3">
      <c r="A477" s="7">
        <v>41776</v>
      </c>
      <c r="B477" s="4">
        <f>YEAR(SalesData[[#This Row],[Order Date]])</f>
        <v>2014</v>
      </c>
      <c r="C477" s="4">
        <f>MONTH(SalesData[[#This Row],[Order Date]])</f>
        <v>5</v>
      </c>
      <c r="D477" s="3" t="s">
        <v>674</v>
      </c>
      <c r="E477" s="3" t="s">
        <v>157</v>
      </c>
      <c r="F477" s="3" t="s">
        <v>11</v>
      </c>
      <c r="G477" s="3" t="s">
        <v>20</v>
      </c>
      <c r="H477" s="3" t="s">
        <v>162</v>
      </c>
      <c r="I477" s="6">
        <v>91.68</v>
      </c>
      <c r="J477" s="4">
        <v>3</v>
      </c>
      <c r="K477" s="6">
        <v>45.84</v>
      </c>
    </row>
    <row r="478" spans="1:11" x14ac:dyDescent="0.3">
      <c r="A478" s="7">
        <v>41777</v>
      </c>
      <c r="B478" s="4">
        <f>YEAR(SalesData[[#This Row],[Order Date]])</f>
        <v>2014</v>
      </c>
      <c r="C478" s="4">
        <f>MONTH(SalesData[[#This Row],[Order Date]])</f>
        <v>5</v>
      </c>
      <c r="D478" s="3" t="s">
        <v>675</v>
      </c>
      <c r="E478" s="3" t="s">
        <v>78</v>
      </c>
      <c r="F478" s="3" t="s">
        <v>39</v>
      </c>
      <c r="G478" s="3" t="s">
        <v>40</v>
      </c>
      <c r="H478" s="3" t="s">
        <v>676</v>
      </c>
      <c r="I478" s="6">
        <v>779.8</v>
      </c>
      <c r="J478" s="4">
        <v>2</v>
      </c>
      <c r="K478" s="6">
        <v>-168.96</v>
      </c>
    </row>
    <row r="479" spans="1:11" x14ac:dyDescent="0.3">
      <c r="A479" s="7">
        <v>41777</v>
      </c>
      <c r="B479" s="4">
        <f>YEAR(SalesData[[#This Row],[Order Date]])</f>
        <v>2014</v>
      </c>
      <c r="C479" s="4">
        <f>MONTH(SalesData[[#This Row],[Order Date]])</f>
        <v>5</v>
      </c>
      <c r="D479" s="3" t="s">
        <v>677</v>
      </c>
      <c r="E479" s="3" t="s">
        <v>78</v>
      </c>
      <c r="F479" s="3" t="s">
        <v>34</v>
      </c>
      <c r="G479" s="3" t="s">
        <v>47</v>
      </c>
      <c r="H479" s="3" t="s">
        <v>678</v>
      </c>
      <c r="I479" s="6">
        <v>149.22999999999999</v>
      </c>
      <c r="J479" s="4">
        <v>3</v>
      </c>
      <c r="K479" s="6">
        <v>3.73</v>
      </c>
    </row>
    <row r="480" spans="1:11" x14ac:dyDescent="0.3">
      <c r="A480" s="7">
        <v>41777</v>
      </c>
      <c r="B480" s="4">
        <f>YEAR(SalesData[[#This Row],[Order Date]])</f>
        <v>2014</v>
      </c>
      <c r="C480" s="4">
        <f>MONTH(SalesData[[#This Row],[Order Date]])</f>
        <v>5</v>
      </c>
      <c r="D480" s="3" t="s">
        <v>677</v>
      </c>
      <c r="E480" s="3" t="s">
        <v>78</v>
      </c>
      <c r="F480" s="3" t="s">
        <v>11</v>
      </c>
      <c r="G480" s="3" t="s">
        <v>12</v>
      </c>
      <c r="H480" s="3" t="s">
        <v>679</v>
      </c>
      <c r="I480" s="6">
        <v>15.94</v>
      </c>
      <c r="J480" s="4">
        <v>4</v>
      </c>
      <c r="K480" s="6">
        <v>5.78</v>
      </c>
    </row>
    <row r="481" spans="1:11" x14ac:dyDescent="0.3">
      <c r="A481" s="7">
        <v>41777</v>
      </c>
      <c r="B481" s="4">
        <f>YEAR(SalesData[[#This Row],[Order Date]])</f>
        <v>2014</v>
      </c>
      <c r="C481" s="4">
        <f>MONTH(SalesData[[#This Row],[Order Date]])</f>
        <v>5</v>
      </c>
      <c r="D481" s="3" t="s">
        <v>680</v>
      </c>
      <c r="E481" s="3" t="s">
        <v>10</v>
      </c>
      <c r="F481" s="3" t="s">
        <v>11</v>
      </c>
      <c r="G481" s="3" t="s">
        <v>12</v>
      </c>
      <c r="H481" s="3" t="s">
        <v>679</v>
      </c>
      <c r="I481" s="6">
        <v>3.98</v>
      </c>
      <c r="J481" s="4">
        <v>1</v>
      </c>
      <c r="K481" s="6">
        <v>1.44</v>
      </c>
    </row>
    <row r="482" spans="1:11" x14ac:dyDescent="0.3">
      <c r="A482" s="7">
        <v>41778</v>
      </c>
      <c r="B482" s="4">
        <f>YEAR(SalesData[[#This Row],[Order Date]])</f>
        <v>2014</v>
      </c>
      <c r="C482" s="4">
        <f>MONTH(SalesData[[#This Row],[Order Date]])</f>
        <v>5</v>
      </c>
      <c r="D482" s="3" t="s">
        <v>681</v>
      </c>
      <c r="E482" s="3" t="s">
        <v>110</v>
      </c>
      <c r="F482" s="3" t="s">
        <v>11</v>
      </c>
      <c r="G482" s="3" t="s">
        <v>20</v>
      </c>
      <c r="H482" s="3" t="s">
        <v>682</v>
      </c>
      <c r="I482" s="6">
        <v>57.42</v>
      </c>
      <c r="J482" s="4">
        <v>9</v>
      </c>
      <c r="K482" s="6">
        <v>26.41</v>
      </c>
    </row>
    <row r="483" spans="1:11" x14ac:dyDescent="0.3">
      <c r="A483" s="7">
        <v>41778</v>
      </c>
      <c r="B483" s="4">
        <f>YEAR(SalesData[[#This Row],[Order Date]])</f>
        <v>2014</v>
      </c>
      <c r="C483" s="4">
        <f>MONTH(SalesData[[#This Row],[Order Date]])</f>
        <v>5</v>
      </c>
      <c r="D483" s="3" t="s">
        <v>683</v>
      </c>
      <c r="E483" s="3" t="s">
        <v>55</v>
      </c>
      <c r="F483" s="3" t="s">
        <v>11</v>
      </c>
      <c r="G483" s="3" t="s">
        <v>200</v>
      </c>
      <c r="H483" s="3" t="s">
        <v>649</v>
      </c>
      <c r="I483" s="6">
        <v>34.200000000000003</v>
      </c>
      <c r="J483" s="4">
        <v>5</v>
      </c>
      <c r="K483" s="6">
        <v>9.23</v>
      </c>
    </row>
    <row r="484" spans="1:11" x14ac:dyDescent="0.3">
      <c r="A484" s="7">
        <v>41779</v>
      </c>
      <c r="B484" s="4">
        <f>YEAR(SalesData[[#This Row],[Order Date]])</f>
        <v>2014</v>
      </c>
      <c r="C484" s="4">
        <f>MONTH(SalesData[[#This Row],[Order Date]])</f>
        <v>5</v>
      </c>
      <c r="D484" s="3" t="s">
        <v>684</v>
      </c>
      <c r="E484" s="3" t="s">
        <v>685</v>
      </c>
      <c r="F484" s="3" t="s">
        <v>11</v>
      </c>
      <c r="G484" s="3" t="s">
        <v>92</v>
      </c>
      <c r="H484" s="3" t="s">
        <v>686</v>
      </c>
      <c r="I484" s="6">
        <v>33.28</v>
      </c>
      <c r="J484" s="4">
        <v>4</v>
      </c>
      <c r="K484" s="6">
        <v>9.32</v>
      </c>
    </row>
    <row r="485" spans="1:11" x14ac:dyDescent="0.3">
      <c r="A485" s="7">
        <v>41779</v>
      </c>
      <c r="B485" s="4">
        <f>YEAR(SalesData[[#This Row],[Order Date]])</f>
        <v>2014</v>
      </c>
      <c r="C485" s="4">
        <f>MONTH(SalesData[[#This Row],[Order Date]])</f>
        <v>5</v>
      </c>
      <c r="D485" s="3" t="s">
        <v>684</v>
      </c>
      <c r="E485" s="3" t="s">
        <v>685</v>
      </c>
      <c r="F485" s="3" t="s">
        <v>11</v>
      </c>
      <c r="G485" s="3" t="s">
        <v>24</v>
      </c>
      <c r="H485" s="3" t="s">
        <v>687</v>
      </c>
      <c r="I485" s="6">
        <v>38.520000000000003</v>
      </c>
      <c r="J485" s="4">
        <v>9</v>
      </c>
      <c r="K485" s="6">
        <v>11.94</v>
      </c>
    </row>
    <row r="486" spans="1:11" x14ac:dyDescent="0.3">
      <c r="A486" s="7">
        <v>41779</v>
      </c>
      <c r="B486" s="4">
        <f>YEAR(SalesData[[#This Row],[Order Date]])</f>
        <v>2014</v>
      </c>
      <c r="C486" s="4">
        <f>MONTH(SalesData[[#This Row],[Order Date]])</f>
        <v>5</v>
      </c>
      <c r="D486" s="3" t="s">
        <v>684</v>
      </c>
      <c r="E486" s="3" t="s">
        <v>685</v>
      </c>
      <c r="F486" s="3" t="s">
        <v>34</v>
      </c>
      <c r="G486" s="3" t="s">
        <v>47</v>
      </c>
      <c r="H486" s="3" t="s">
        <v>688</v>
      </c>
      <c r="I486" s="6">
        <v>139.86000000000001</v>
      </c>
      <c r="J486" s="4">
        <v>7</v>
      </c>
      <c r="K486" s="6">
        <v>60.14</v>
      </c>
    </row>
    <row r="487" spans="1:11" x14ac:dyDescent="0.3">
      <c r="A487" s="7">
        <v>41779</v>
      </c>
      <c r="B487" s="4">
        <f>YEAR(SalesData[[#This Row],[Order Date]])</f>
        <v>2014</v>
      </c>
      <c r="C487" s="4">
        <f>MONTH(SalesData[[#This Row],[Order Date]])</f>
        <v>5</v>
      </c>
      <c r="D487" s="3" t="s">
        <v>689</v>
      </c>
      <c r="E487" s="3" t="s">
        <v>10</v>
      </c>
      <c r="F487" s="3" t="s">
        <v>34</v>
      </c>
      <c r="G487" s="3" t="s">
        <v>47</v>
      </c>
      <c r="H487" s="3" t="s">
        <v>690</v>
      </c>
      <c r="I487" s="6">
        <v>10.33</v>
      </c>
      <c r="J487" s="4">
        <v>3</v>
      </c>
      <c r="K487" s="6">
        <v>-5.94</v>
      </c>
    </row>
    <row r="488" spans="1:11" x14ac:dyDescent="0.3">
      <c r="A488" s="7">
        <v>41779</v>
      </c>
      <c r="B488" s="4">
        <f>YEAR(SalesData[[#This Row],[Order Date]])</f>
        <v>2014</v>
      </c>
      <c r="C488" s="4">
        <f>MONTH(SalesData[[#This Row],[Order Date]])</f>
        <v>5</v>
      </c>
      <c r="D488" s="3" t="s">
        <v>689</v>
      </c>
      <c r="E488" s="3" t="s">
        <v>10</v>
      </c>
      <c r="F488" s="3" t="s">
        <v>11</v>
      </c>
      <c r="G488" s="3" t="s">
        <v>12</v>
      </c>
      <c r="H488" s="3" t="s">
        <v>524</v>
      </c>
      <c r="I488" s="6">
        <v>10.37</v>
      </c>
      <c r="J488" s="4">
        <v>2</v>
      </c>
      <c r="K488" s="6">
        <v>3.63</v>
      </c>
    </row>
    <row r="489" spans="1:11" x14ac:dyDescent="0.3">
      <c r="A489" s="7">
        <v>41779</v>
      </c>
      <c r="B489" s="4">
        <f>YEAR(SalesData[[#This Row],[Order Date]])</f>
        <v>2014</v>
      </c>
      <c r="C489" s="4">
        <f>MONTH(SalesData[[#This Row],[Order Date]])</f>
        <v>5</v>
      </c>
      <c r="D489" s="3" t="s">
        <v>689</v>
      </c>
      <c r="E489" s="3" t="s">
        <v>10</v>
      </c>
      <c r="F489" s="3" t="s">
        <v>39</v>
      </c>
      <c r="G489" s="3" t="s">
        <v>52</v>
      </c>
      <c r="H489" s="3" t="s">
        <v>691</v>
      </c>
      <c r="I489" s="6">
        <v>20.78</v>
      </c>
      <c r="J489" s="4">
        <v>2</v>
      </c>
      <c r="K489" s="6">
        <v>-3.64</v>
      </c>
    </row>
    <row r="490" spans="1:11" x14ac:dyDescent="0.3">
      <c r="A490" s="7">
        <v>41779</v>
      </c>
      <c r="B490" s="4">
        <f>YEAR(SalesData[[#This Row],[Order Date]])</f>
        <v>2014</v>
      </c>
      <c r="C490" s="4">
        <f>MONTH(SalesData[[#This Row],[Order Date]])</f>
        <v>5</v>
      </c>
      <c r="D490" s="3" t="s">
        <v>689</v>
      </c>
      <c r="E490" s="3" t="s">
        <v>10</v>
      </c>
      <c r="F490" s="3" t="s">
        <v>11</v>
      </c>
      <c r="G490" s="3" t="s">
        <v>18</v>
      </c>
      <c r="H490" s="3" t="s">
        <v>435</v>
      </c>
      <c r="I490" s="6">
        <v>66.959999999999994</v>
      </c>
      <c r="J490" s="4">
        <v>5</v>
      </c>
      <c r="K490" s="6">
        <v>-13.39</v>
      </c>
    </row>
    <row r="491" spans="1:11" x14ac:dyDescent="0.3">
      <c r="A491" s="7">
        <v>41780</v>
      </c>
      <c r="B491" s="4">
        <f>YEAR(SalesData[[#This Row],[Order Date]])</f>
        <v>2014</v>
      </c>
      <c r="C491" s="4">
        <f>MONTH(SalesData[[#This Row],[Order Date]])</f>
        <v>5</v>
      </c>
      <c r="D491" s="3" t="s">
        <v>692</v>
      </c>
      <c r="E491" s="3" t="s">
        <v>55</v>
      </c>
      <c r="F491" s="3" t="s">
        <v>11</v>
      </c>
      <c r="G491" s="3" t="s">
        <v>20</v>
      </c>
      <c r="H491" s="3" t="s">
        <v>693</v>
      </c>
      <c r="I491" s="6">
        <v>2715.93</v>
      </c>
      <c r="J491" s="4">
        <v>7</v>
      </c>
      <c r="K491" s="6">
        <v>1276.49</v>
      </c>
    </row>
    <row r="492" spans="1:11" x14ac:dyDescent="0.3">
      <c r="A492" s="7">
        <v>41780</v>
      </c>
      <c r="B492" s="4">
        <f>YEAR(SalesData[[#This Row],[Order Date]])</f>
        <v>2014</v>
      </c>
      <c r="C492" s="4">
        <f>MONTH(SalesData[[#This Row],[Order Date]])</f>
        <v>5</v>
      </c>
      <c r="D492" s="3" t="s">
        <v>692</v>
      </c>
      <c r="E492" s="3" t="s">
        <v>55</v>
      </c>
      <c r="F492" s="3" t="s">
        <v>39</v>
      </c>
      <c r="G492" s="3" t="s">
        <v>40</v>
      </c>
      <c r="H492" s="3" t="s">
        <v>694</v>
      </c>
      <c r="I492" s="6">
        <v>617.97</v>
      </c>
      <c r="J492" s="4">
        <v>3</v>
      </c>
      <c r="K492" s="6">
        <v>173.03</v>
      </c>
    </row>
    <row r="493" spans="1:11" x14ac:dyDescent="0.3">
      <c r="A493" s="7">
        <v>41780</v>
      </c>
      <c r="B493" s="4">
        <f>YEAR(SalesData[[#This Row],[Order Date]])</f>
        <v>2014</v>
      </c>
      <c r="C493" s="4">
        <f>MONTH(SalesData[[#This Row],[Order Date]])</f>
        <v>5</v>
      </c>
      <c r="D493" s="3" t="s">
        <v>695</v>
      </c>
      <c r="E493" s="3" t="s">
        <v>27</v>
      </c>
      <c r="F493" s="3" t="s">
        <v>11</v>
      </c>
      <c r="G493" s="3" t="s">
        <v>24</v>
      </c>
      <c r="H493" s="3" t="s">
        <v>76</v>
      </c>
      <c r="I493" s="6">
        <v>31.84</v>
      </c>
      <c r="J493" s="4">
        <v>8</v>
      </c>
      <c r="K493" s="6">
        <v>10.51</v>
      </c>
    </row>
    <row r="494" spans="1:11" x14ac:dyDescent="0.3">
      <c r="A494" s="7">
        <v>41780</v>
      </c>
      <c r="B494" s="4">
        <f>YEAR(SalesData[[#This Row],[Order Date]])</f>
        <v>2014</v>
      </c>
      <c r="C494" s="4">
        <f>MONTH(SalesData[[#This Row],[Order Date]])</f>
        <v>5</v>
      </c>
      <c r="D494" s="3" t="s">
        <v>696</v>
      </c>
      <c r="E494" s="3" t="s">
        <v>434</v>
      </c>
      <c r="F494" s="3" t="s">
        <v>11</v>
      </c>
      <c r="G494" s="3" t="s">
        <v>20</v>
      </c>
      <c r="H494" s="3" t="s">
        <v>697</v>
      </c>
      <c r="I494" s="6">
        <v>447.86</v>
      </c>
      <c r="J494" s="4">
        <v>7</v>
      </c>
      <c r="K494" s="6">
        <v>219.45</v>
      </c>
    </row>
    <row r="495" spans="1:11" x14ac:dyDescent="0.3">
      <c r="A495" s="7">
        <v>41780</v>
      </c>
      <c r="B495" s="4">
        <f>YEAR(SalesData[[#This Row],[Order Date]])</f>
        <v>2014</v>
      </c>
      <c r="C495" s="4">
        <f>MONTH(SalesData[[#This Row],[Order Date]])</f>
        <v>5</v>
      </c>
      <c r="D495" s="3" t="s">
        <v>696</v>
      </c>
      <c r="E495" s="3" t="s">
        <v>434</v>
      </c>
      <c r="F495" s="3" t="s">
        <v>11</v>
      </c>
      <c r="G495" s="3" t="s">
        <v>12</v>
      </c>
      <c r="H495" s="3" t="s">
        <v>698</v>
      </c>
      <c r="I495" s="6">
        <v>17.940000000000001</v>
      </c>
      <c r="J495" s="4">
        <v>3</v>
      </c>
      <c r="K495" s="6">
        <v>8.7899999999999991</v>
      </c>
    </row>
    <row r="496" spans="1:11" x14ac:dyDescent="0.3">
      <c r="A496" s="7">
        <v>41780</v>
      </c>
      <c r="B496" s="4">
        <f>YEAR(SalesData[[#This Row],[Order Date]])</f>
        <v>2014</v>
      </c>
      <c r="C496" s="4">
        <f>MONTH(SalesData[[#This Row],[Order Date]])</f>
        <v>5</v>
      </c>
      <c r="D496" s="3" t="s">
        <v>696</v>
      </c>
      <c r="E496" s="3" t="s">
        <v>434</v>
      </c>
      <c r="F496" s="3" t="s">
        <v>11</v>
      </c>
      <c r="G496" s="3" t="s">
        <v>92</v>
      </c>
      <c r="H496" s="3" t="s">
        <v>199</v>
      </c>
      <c r="I496" s="6">
        <v>245.88</v>
      </c>
      <c r="J496" s="4">
        <v>6</v>
      </c>
      <c r="K496" s="6">
        <v>68.849999999999994</v>
      </c>
    </row>
    <row r="497" spans="1:11" x14ac:dyDescent="0.3">
      <c r="A497" s="7">
        <v>41780</v>
      </c>
      <c r="B497" s="4">
        <f>YEAR(SalesData[[#This Row],[Order Date]])</f>
        <v>2014</v>
      </c>
      <c r="C497" s="4">
        <f>MONTH(SalesData[[#This Row],[Order Date]])</f>
        <v>5</v>
      </c>
      <c r="D497" s="3" t="s">
        <v>596</v>
      </c>
      <c r="E497" s="3" t="s">
        <v>10</v>
      </c>
      <c r="F497" s="3" t="s">
        <v>11</v>
      </c>
      <c r="G497" s="3" t="s">
        <v>63</v>
      </c>
      <c r="H497" s="3" t="s">
        <v>64</v>
      </c>
      <c r="I497" s="6">
        <v>56.06</v>
      </c>
      <c r="J497" s="4">
        <v>6</v>
      </c>
      <c r="K497" s="6">
        <v>21.02</v>
      </c>
    </row>
    <row r="498" spans="1:11" x14ac:dyDescent="0.3">
      <c r="A498" s="7">
        <v>41780</v>
      </c>
      <c r="B498" s="4">
        <f>YEAR(SalesData[[#This Row],[Order Date]])</f>
        <v>2014</v>
      </c>
      <c r="C498" s="4">
        <f>MONTH(SalesData[[#This Row],[Order Date]])</f>
        <v>5</v>
      </c>
      <c r="D498" s="3" t="s">
        <v>596</v>
      </c>
      <c r="E498" s="3" t="s">
        <v>10</v>
      </c>
      <c r="F498" s="3" t="s">
        <v>34</v>
      </c>
      <c r="G498" s="3" t="s">
        <v>35</v>
      </c>
      <c r="H498" s="3" t="s">
        <v>699</v>
      </c>
      <c r="I498" s="6">
        <v>107.77</v>
      </c>
      <c r="J498" s="4">
        <v>2</v>
      </c>
      <c r="K498" s="6">
        <v>-29.25</v>
      </c>
    </row>
    <row r="499" spans="1:11" x14ac:dyDescent="0.3">
      <c r="A499" s="7">
        <v>41780</v>
      </c>
      <c r="B499" s="4">
        <f>YEAR(SalesData[[#This Row],[Order Date]])</f>
        <v>2014</v>
      </c>
      <c r="C499" s="4">
        <f>MONTH(SalesData[[#This Row],[Order Date]])</f>
        <v>5</v>
      </c>
      <c r="D499" s="3" t="s">
        <v>596</v>
      </c>
      <c r="E499" s="3" t="s">
        <v>10</v>
      </c>
      <c r="F499" s="3" t="s">
        <v>11</v>
      </c>
      <c r="G499" s="3" t="s">
        <v>12</v>
      </c>
      <c r="H499" s="3" t="s">
        <v>700</v>
      </c>
      <c r="I499" s="6">
        <v>4.83</v>
      </c>
      <c r="J499" s="4">
        <v>1</v>
      </c>
      <c r="K499" s="6">
        <v>1.63</v>
      </c>
    </row>
    <row r="500" spans="1:11" x14ac:dyDescent="0.3">
      <c r="A500" s="7">
        <v>41780</v>
      </c>
      <c r="B500" s="4">
        <f>YEAR(SalesData[[#This Row],[Order Date]])</f>
        <v>2014</v>
      </c>
      <c r="C500" s="4">
        <f>MONTH(SalesData[[#This Row],[Order Date]])</f>
        <v>5</v>
      </c>
      <c r="D500" s="3" t="s">
        <v>596</v>
      </c>
      <c r="E500" s="3" t="s">
        <v>10</v>
      </c>
      <c r="F500" s="3" t="s">
        <v>11</v>
      </c>
      <c r="G500" s="3" t="s">
        <v>20</v>
      </c>
      <c r="H500" s="3" t="s">
        <v>701</v>
      </c>
      <c r="I500" s="6">
        <v>18.239999999999998</v>
      </c>
      <c r="J500" s="4">
        <v>3</v>
      </c>
      <c r="K500" s="6">
        <v>-31.01</v>
      </c>
    </row>
    <row r="501" spans="1:11" x14ac:dyDescent="0.3">
      <c r="A501" s="7">
        <v>41781</v>
      </c>
      <c r="B501" s="4">
        <f>YEAR(SalesData[[#This Row],[Order Date]])</f>
        <v>2014</v>
      </c>
      <c r="C501" s="4">
        <f>MONTH(SalesData[[#This Row],[Order Date]])</f>
        <v>5</v>
      </c>
      <c r="D501" s="3" t="s">
        <v>702</v>
      </c>
      <c r="E501" s="3" t="s">
        <v>488</v>
      </c>
      <c r="F501" s="3" t="s">
        <v>39</v>
      </c>
      <c r="G501" s="3" t="s">
        <v>40</v>
      </c>
      <c r="H501" s="3" t="s">
        <v>703</v>
      </c>
      <c r="I501" s="6">
        <v>135.97999999999999</v>
      </c>
      <c r="J501" s="4">
        <v>2</v>
      </c>
      <c r="K501" s="6">
        <v>34</v>
      </c>
    </row>
    <row r="502" spans="1:11" x14ac:dyDescent="0.3">
      <c r="A502" s="7">
        <v>41781</v>
      </c>
      <c r="B502" s="4">
        <f>YEAR(SalesData[[#This Row],[Order Date]])</f>
        <v>2014</v>
      </c>
      <c r="C502" s="4">
        <f>MONTH(SalesData[[#This Row],[Order Date]])</f>
        <v>5</v>
      </c>
      <c r="D502" s="3" t="s">
        <v>702</v>
      </c>
      <c r="E502" s="3" t="s">
        <v>488</v>
      </c>
      <c r="F502" s="3" t="s">
        <v>39</v>
      </c>
      <c r="G502" s="3" t="s">
        <v>40</v>
      </c>
      <c r="H502" s="3" t="s">
        <v>704</v>
      </c>
      <c r="I502" s="6">
        <v>44.95</v>
      </c>
      <c r="J502" s="4">
        <v>1</v>
      </c>
      <c r="K502" s="6">
        <v>12.59</v>
      </c>
    </row>
    <row r="503" spans="1:11" x14ac:dyDescent="0.3">
      <c r="A503" s="7">
        <v>41782</v>
      </c>
      <c r="B503" s="4">
        <f>YEAR(SalesData[[#This Row],[Order Date]])</f>
        <v>2014</v>
      </c>
      <c r="C503" s="4">
        <f>MONTH(SalesData[[#This Row],[Order Date]])</f>
        <v>5</v>
      </c>
      <c r="D503" s="3" t="s">
        <v>601</v>
      </c>
      <c r="E503" s="3" t="s">
        <v>23</v>
      </c>
      <c r="F503" s="3" t="s">
        <v>11</v>
      </c>
      <c r="G503" s="3" t="s">
        <v>20</v>
      </c>
      <c r="H503" s="3" t="s">
        <v>705</v>
      </c>
      <c r="I503" s="6">
        <v>3.28</v>
      </c>
      <c r="J503" s="4">
        <v>2</v>
      </c>
      <c r="K503" s="6">
        <v>-2.63</v>
      </c>
    </row>
    <row r="504" spans="1:11" x14ac:dyDescent="0.3">
      <c r="A504" s="7">
        <v>41782</v>
      </c>
      <c r="B504" s="4">
        <f>YEAR(SalesData[[#This Row],[Order Date]])</f>
        <v>2014</v>
      </c>
      <c r="C504" s="4">
        <f>MONTH(SalesData[[#This Row],[Order Date]])</f>
        <v>5</v>
      </c>
      <c r="D504" s="3" t="s">
        <v>601</v>
      </c>
      <c r="E504" s="3" t="s">
        <v>23</v>
      </c>
      <c r="F504" s="3" t="s">
        <v>11</v>
      </c>
      <c r="G504" s="3" t="s">
        <v>24</v>
      </c>
      <c r="H504" s="3" t="s">
        <v>706</v>
      </c>
      <c r="I504" s="6">
        <v>21.17</v>
      </c>
      <c r="J504" s="4">
        <v>9</v>
      </c>
      <c r="K504" s="6">
        <v>2.38</v>
      </c>
    </row>
    <row r="505" spans="1:11" x14ac:dyDescent="0.3">
      <c r="A505" s="7">
        <v>41782</v>
      </c>
      <c r="B505" s="4">
        <f>YEAR(SalesData[[#This Row],[Order Date]])</f>
        <v>2014</v>
      </c>
      <c r="C505" s="4">
        <f>MONTH(SalesData[[#This Row],[Order Date]])</f>
        <v>5</v>
      </c>
      <c r="D505" s="3" t="s">
        <v>601</v>
      </c>
      <c r="E505" s="3" t="s">
        <v>23</v>
      </c>
      <c r="F505" s="3" t="s">
        <v>39</v>
      </c>
      <c r="G505" s="3" t="s">
        <v>40</v>
      </c>
      <c r="H505" s="3" t="s">
        <v>707</v>
      </c>
      <c r="I505" s="6">
        <v>55.19</v>
      </c>
      <c r="J505" s="4">
        <v>2</v>
      </c>
      <c r="K505" s="6">
        <v>-10.119999999999999</v>
      </c>
    </row>
    <row r="506" spans="1:11" x14ac:dyDescent="0.3">
      <c r="A506" s="7">
        <v>41782</v>
      </c>
      <c r="B506" s="4">
        <f>YEAR(SalesData[[#This Row],[Order Date]])</f>
        <v>2014</v>
      </c>
      <c r="C506" s="4">
        <f>MONTH(SalesData[[#This Row],[Order Date]])</f>
        <v>5</v>
      </c>
      <c r="D506" s="3" t="s">
        <v>83</v>
      </c>
      <c r="E506" s="3" t="s">
        <v>164</v>
      </c>
      <c r="F506" s="3" t="s">
        <v>11</v>
      </c>
      <c r="G506" s="3" t="s">
        <v>12</v>
      </c>
      <c r="H506" s="3" t="s">
        <v>708</v>
      </c>
      <c r="I506" s="6">
        <v>12.96</v>
      </c>
      <c r="J506" s="4">
        <v>2</v>
      </c>
      <c r="K506" s="6">
        <v>6.22</v>
      </c>
    </row>
    <row r="507" spans="1:11" x14ac:dyDescent="0.3">
      <c r="A507" s="7">
        <v>41782</v>
      </c>
      <c r="B507" s="4">
        <f>YEAR(SalesData[[#This Row],[Order Date]])</f>
        <v>2014</v>
      </c>
      <c r="C507" s="4">
        <f>MONTH(SalesData[[#This Row],[Order Date]])</f>
        <v>5</v>
      </c>
      <c r="D507" s="3" t="s">
        <v>709</v>
      </c>
      <c r="E507" s="3" t="s">
        <v>149</v>
      </c>
      <c r="F507" s="3" t="s">
        <v>11</v>
      </c>
      <c r="G507" s="3" t="s">
        <v>20</v>
      </c>
      <c r="H507" s="3" t="s">
        <v>451</v>
      </c>
      <c r="I507" s="6">
        <v>17.96</v>
      </c>
      <c r="J507" s="4">
        <v>5</v>
      </c>
      <c r="K507" s="6">
        <v>5.84</v>
      </c>
    </row>
    <row r="508" spans="1:11" x14ac:dyDescent="0.3">
      <c r="A508" s="7">
        <v>41782</v>
      </c>
      <c r="B508" s="4">
        <f>YEAR(SalesData[[#This Row],[Order Date]])</f>
        <v>2014</v>
      </c>
      <c r="C508" s="4">
        <f>MONTH(SalesData[[#This Row],[Order Date]])</f>
        <v>5</v>
      </c>
      <c r="D508" s="3" t="s">
        <v>709</v>
      </c>
      <c r="E508" s="3" t="s">
        <v>149</v>
      </c>
      <c r="F508" s="3" t="s">
        <v>11</v>
      </c>
      <c r="G508" s="3" t="s">
        <v>200</v>
      </c>
      <c r="H508" s="3" t="s">
        <v>710</v>
      </c>
      <c r="I508" s="6">
        <v>5.04</v>
      </c>
      <c r="J508" s="4">
        <v>2</v>
      </c>
      <c r="K508" s="6">
        <v>0.15</v>
      </c>
    </row>
    <row r="509" spans="1:11" x14ac:dyDescent="0.3">
      <c r="A509" s="7">
        <v>41782</v>
      </c>
      <c r="B509" s="4">
        <f>YEAR(SalesData[[#This Row],[Order Date]])</f>
        <v>2014</v>
      </c>
      <c r="C509" s="4">
        <f>MONTH(SalesData[[#This Row],[Order Date]])</f>
        <v>5</v>
      </c>
      <c r="D509" s="3" t="s">
        <v>709</v>
      </c>
      <c r="E509" s="3" t="s">
        <v>149</v>
      </c>
      <c r="F509" s="3" t="s">
        <v>11</v>
      </c>
      <c r="G509" s="3" t="s">
        <v>92</v>
      </c>
      <c r="H509" s="3" t="s">
        <v>711</v>
      </c>
      <c r="I509" s="6">
        <v>208.16</v>
      </c>
      <c r="J509" s="4">
        <v>1</v>
      </c>
      <c r="K509" s="6">
        <v>56.2</v>
      </c>
    </row>
    <row r="510" spans="1:11" x14ac:dyDescent="0.3">
      <c r="A510" s="7">
        <v>41783</v>
      </c>
      <c r="B510" s="4">
        <f>YEAR(SalesData[[#This Row],[Order Date]])</f>
        <v>2014</v>
      </c>
      <c r="C510" s="4">
        <f>MONTH(SalesData[[#This Row],[Order Date]])</f>
        <v>5</v>
      </c>
      <c r="D510" s="3" t="s">
        <v>712</v>
      </c>
      <c r="E510" s="3" t="s">
        <v>531</v>
      </c>
      <c r="F510" s="3" t="s">
        <v>11</v>
      </c>
      <c r="G510" s="3" t="s">
        <v>12</v>
      </c>
      <c r="H510" s="3" t="s">
        <v>713</v>
      </c>
      <c r="I510" s="6">
        <v>116.28</v>
      </c>
      <c r="J510" s="4">
        <v>3</v>
      </c>
      <c r="K510" s="6">
        <v>56.98</v>
      </c>
    </row>
    <row r="511" spans="1:11" x14ac:dyDescent="0.3">
      <c r="A511" s="7">
        <v>41784</v>
      </c>
      <c r="B511" s="4">
        <f>YEAR(SalesData[[#This Row],[Order Date]])</f>
        <v>2014</v>
      </c>
      <c r="C511" s="4">
        <f>MONTH(SalesData[[#This Row],[Order Date]])</f>
        <v>5</v>
      </c>
      <c r="D511" s="3" t="s">
        <v>714</v>
      </c>
      <c r="E511" s="3" t="s">
        <v>15</v>
      </c>
      <c r="F511" s="3" t="s">
        <v>11</v>
      </c>
      <c r="G511" s="3" t="s">
        <v>92</v>
      </c>
      <c r="H511" s="3" t="s">
        <v>715</v>
      </c>
      <c r="I511" s="6">
        <v>75.599999999999994</v>
      </c>
      <c r="J511" s="4">
        <v>2</v>
      </c>
      <c r="K511" s="6">
        <v>-166.32</v>
      </c>
    </row>
    <row r="512" spans="1:11" x14ac:dyDescent="0.3">
      <c r="A512" s="7">
        <v>41784</v>
      </c>
      <c r="B512" s="4">
        <f>YEAR(SalesData[[#This Row],[Order Date]])</f>
        <v>2014</v>
      </c>
      <c r="C512" s="4">
        <f>MONTH(SalesData[[#This Row],[Order Date]])</f>
        <v>5</v>
      </c>
      <c r="D512" s="3" t="s">
        <v>714</v>
      </c>
      <c r="E512" s="3" t="s">
        <v>15</v>
      </c>
      <c r="F512" s="3" t="s">
        <v>34</v>
      </c>
      <c r="G512" s="3" t="s">
        <v>47</v>
      </c>
      <c r="H512" s="3" t="s">
        <v>716</v>
      </c>
      <c r="I512" s="6">
        <v>29.32</v>
      </c>
      <c r="J512" s="4">
        <v>2</v>
      </c>
      <c r="K512" s="6">
        <v>-24.19</v>
      </c>
    </row>
    <row r="513" spans="1:11" x14ac:dyDescent="0.3">
      <c r="A513" s="7">
        <v>41784</v>
      </c>
      <c r="B513" s="4">
        <f>YEAR(SalesData[[#This Row],[Order Date]])</f>
        <v>2014</v>
      </c>
      <c r="C513" s="4">
        <f>MONTH(SalesData[[#This Row],[Order Date]])</f>
        <v>5</v>
      </c>
      <c r="D513" s="3" t="s">
        <v>717</v>
      </c>
      <c r="E513" s="3" t="s">
        <v>149</v>
      </c>
      <c r="F513" s="3" t="s">
        <v>11</v>
      </c>
      <c r="G513" s="3" t="s">
        <v>12</v>
      </c>
      <c r="H513" s="3" t="s">
        <v>718</v>
      </c>
      <c r="I513" s="6">
        <v>14.62</v>
      </c>
      <c r="J513" s="4">
        <v>2</v>
      </c>
      <c r="K513" s="6">
        <v>6.73</v>
      </c>
    </row>
    <row r="514" spans="1:11" x14ac:dyDescent="0.3">
      <c r="A514" s="7">
        <v>41785</v>
      </c>
      <c r="B514" s="4">
        <f>YEAR(SalesData[[#This Row],[Order Date]])</f>
        <v>2014</v>
      </c>
      <c r="C514" s="4">
        <f>MONTH(SalesData[[#This Row],[Order Date]])</f>
        <v>5</v>
      </c>
      <c r="D514" s="3" t="s">
        <v>197</v>
      </c>
      <c r="E514" s="3" t="s">
        <v>27</v>
      </c>
      <c r="F514" s="3" t="s">
        <v>34</v>
      </c>
      <c r="G514" s="3" t="s">
        <v>74</v>
      </c>
      <c r="H514" s="3" t="s">
        <v>719</v>
      </c>
      <c r="I514" s="6">
        <v>290.67</v>
      </c>
      <c r="J514" s="4">
        <v>2</v>
      </c>
      <c r="K514" s="6">
        <v>27.36</v>
      </c>
    </row>
    <row r="515" spans="1:11" x14ac:dyDescent="0.3">
      <c r="A515" s="7">
        <v>41785</v>
      </c>
      <c r="B515" s="4">
        <f>YEAR(SalesData[[#This Row],[Order Date]])</f>
        <v>2014</v>
      </c>
      <c r="C515" s="4">
        <f>MONTH(SalesData[[#This Row],[Order Date]])</f>
        <v>5</v>
      </c>
      <c r="D515" s="3" t="s">
        <v>197</v>
      </c>
      <c r="E515" s="3" t="s">
        <v>27</v>
      </c>
      <c r="F515" s="3" t="s">
        <v>39</v>
      </c>
      <c r="G515" s="3" t="s">
        <v>40</v>
      </c>
      <c r="H515" s="3" t="s">
        <v>720</v>
      </c>
      <c r="I515" s="6">
        <v>201.58</v>
      </c>
      <c r="J515" s="4">
        <v>2</v>
      </c>
      <c r="K515" s="6">
        <v>20.16</v>
      </c>
    </row>
    <row r="516" spans="1:11" x14ac:dyDescent="0.3">
      <c r="A516" s="7">
        <v>41785</v>
      </c>
      <c r="B516" s="4">
        <f>YEAR(SalesData[[#This Row],[Order Date]])</f>
        <v>2014</v>
      </c>
      <c r="C516" s="4">
        <f>MONTH(SalesData[[#This Row],[Order Date]])</f>
        <v>5</v>
      </c>
      <c r="D516" s="3" t="s">
        <v>197</v>
      </c>
      <c r="E516" s="3" t="s">
        <v>27</v>
      </c>
      <c r="F516" s="3" t="s">
        <v>39</v>
      </c>
      <c r="G516" s="3" t="s">
        <v>40</v>
      </c>
      <c r="H516" s="3" t="s">
        <v>721</v>
      </c>
      <c r="I516" s="6">
        <v>83.98</v>
      </c>
      <c r="J516" s="4">
        <v>2</v>
      </c>
      <c r="K516" s="6">
        <v>31.49</v>
      </c>
    </row>
    <row r="517" spans="1:11" x14ac:dyDescent="0.3">
      <c r="A517" s="7">
        <v>41785</v>
      </c>
      <c r="B517" s="4">
        <f>YEAR(SalesData[[#This Row],[Order Date]])</f>
        <v>2014</v>
      </c>
      <c r="C517" s="4">
        <f>MONTH(SalesData[[#This Row],[Order Date]])</f>
        <v>5</v>
      </c>
      <c r="D517" s="3" t="s">
        <v>722</v>
      </c>
      <c r="E517" s="3" t="s">
        <v>27</v>
      </c>
      <c r="F517" s="3" t="s">
        <v>34</v>
      </c>
      <c r="G517" s="3" t="s">
        <v>35</v>
      </c>
      <c r="H517" s="3" t="s">
        <v>723</v>
      </c>
      <c r="I517" s="6">
        <v>225.3</v>
      </c>
      <c r="J517" s="4">
        <v>2</v>
      </c>
      <c r="K517" s="6">
        <v>22.53</v>
      </c>
    </row>
    <row r="518" spans="1:11" x14ac:dyDescent="0.3">
      <c r="A518" s="7">
        <v>41785</v>
      </c>
      <c r="B518" s="4">
        <f>YEAR(SalesData[[#This Row],[Order Date]])</f>
        <v>2014</v>
      </c>
      <c r="C518" s="4">
        <f>MONTH(SalesData[[#This Row],[Order Date]])</f>
        <v>5</v>
      </c>
      <c r="D518" s="3" t="s">
        <v>724</v>
      </c>
      <c r="E518" s="3" t="s">
        <v>296</v>
      </c>
      <c r="F518" s="3" t="s">
        <v>11</v>
      </c>
      <c r="G518" s="3" t="s">
        <v>12</v>
      </c>
      <c r="H518" s="3" t="s">
        <v>108</v>
      </c>
      <c r="I518" s="6">
        <v>48.4</v>
      </c>
      <c r="J518" s="4">
        <v>5</v>
      </c>
      <c r="K518" s="6">
        <v>23.23</v>
      </c>
    </row>
    <row r="519" spans="1:11" x14ac:dyDescent="0.3">
      <c r="A519" s="7">
        <v>41785</v>
      </c>
      <c r="B519" s="4">
        <f>YEAR(SalesData[[#This Row],[Order Date]])</f>
        <v>2014</v>
      </c>
      <c r="C519" s="4">
        <f>MONTH(SalesData[[#This Row],[Order Date]])</f>
        <v>5</v>
      </c>
      <c r="D519" s="3" t="s">
        <v>514</v>
      </c>
      <c r="E519" s="3" t="s">
        <v>15</v>
      </c>
      <c r="F519" s="3" t="s">
        <v>11</v>
      </c>
      <c r="G519" s="3" t="s">
        <v>18</v>
      </c>
      <c r="H519" s="3" t="s">
        <v>725</v>
      </c>
      <c r="I519" s="6">
        <v>102.62</v>
      </c>
      <c r="J519" s="4">
        <v>3</v>
      </c>
      <c r="K519" s="6">
        <v>7.7</v>
      </c>
    </row>
    <row r="520" spans="1:11" x14ac:dyDescent="0.3">
      <c r="A520" s="7">
        <v>41785</v>
      </c>
      <c r="B520" s="4">
        <f>YEAR(SalesData[[#This Row],[Order Date]])</f>
        <v>2014</v>
      </c>
      <c r="C520" s="4">
        <f>MONTH(SalesData[[#This Row],[Order Date]])</f>
        <v>5</v>
      </c>
      <c r="D520" s="3" t="s">
        <v>514</v>
      </c>
      <c r="E520" s="3" t="s">
        <v>15</v>
      </c>
      <c r="F520" s="3" t="s">
        <v>34</v>
      </c>
      <c r="G520" s="3" t="s">
        <v>35</v>
      </c>
      <c r="H520" s="3" t="s">
        <v>726</v>
      </c>
      <c r="I520" s="6">
        <v>359.77</v>
      </c>
      <c r="J520" s="4">
        <v>2</v>
      </c>
      <c r="K520" s="6">
        <v>-5.14</v>
      </c>
    </row>
    <row r="521" spans="1:11" x14ac:dyDescent="0.3">
      <c r="A521" s="7">
        <v>41785</v>
      </c>
      <c r="B521" s="4">
        <f>YEAR(SalesData[[#This Row],[Order Date]])</f>
        <v>2014</v>
      </c>
      <c r="C521" s="4">
        <f>MONTH(SalesData[[#This Row],[Order Date]])</f>
        <v>5</v>
      </c>
      <c r="D521" s="3" t="s">
        <v>514</v>
      </c>
      <c r="E521" s="3" t="s">
        <v>15</v>
      </c>
      <c r="F521" s="3" t="s">
        <v>11</v>
      </c>
      <c r="G521" s="3" t="s">
        <v>24</v>
      </c>
      <c r="H521" s="3" t="s">
        <v>645</v>
      </c>
      <c r="I521" s="6">
        <v>13.39</v>
      </c>
      <c r="J521" s="4">
        <v>3</v>
      </c>
      <c r="K521" s="6">
        <v>3.18</v>
      </c>
    </row>
    <row r="522" spans="1:11" x14ac:dyDescent="0.3">
      <c r="A522" s="7">
        <v>41786</v>
      </c>
      <c r="B522" s="4">
        <f>YEAR(SalesData[[#This Row],[Order Date]])</f>
        <v>2014</v>
      </c>
      <c r="C522" s="4">
        <f>MONTH(SalesData[[#This Row],[Order Date]])</f>
        <v>5</v>
      </c>
      <c r="D522" s="3" t="s">
        <v>727</v>
      </c>
      <c r="E522" s="3" t="s">
        <v>27</v>
      </c>
      <c r="F522" s="3" t="s">
        <v>34</v>
      </c>
      <c r="G522" s="3" t="s">
        <v>145</v>
      </c>
      <c r="H522" s="3" t="s">
        <v>728</v>
      </c>
      <c r="I522" s="6">
        <v>567.12</v>
      </c>
      <c r="J522" s="4">
        <v>10</v>
      </c>
      <c r="K522" s="6">
        <v>-28.36</v>
      </c>
    </row>
    <row r="523" spans="1:11" x14ac:dyDescent="0.3">
      <c r="A523" s="7">
        <v>41786</v>
      </c>
      <c r="B523" s="4">
        <f>YEAR(SalesData[[#This Row],[Order Date]])</f>
        <v>2014</v>
      </c>
      <c r="C523" s="4">
        <f>MONTH(SalesData[[#This Row],[Order Date]])</f>
        <v>5</v>
      </c>
      <c r="D523" s="3" t="s">
        <v>727</v>
      </c>
      <c r="E523" s="3" t="s">
        <v>27</v>
      </c>
      <c r="F523" s="3" t="s">
        <v>11</v>
      </c>
      <c r="G523" s="3" t="s">
        <v>18</v>
      </c>
      <c r="H523" s="3" t="s">
        <v>729</v>
      </c>
      <c r="I523" s="6">
        <v>359.32</v>
      </c>
      <c r="J523" s="4">
        <v>4</v>
      </c>
      <c r="K523" s="6">
        <v>7.19</v>
      </c>
    </row>
    <row r="524" spans="1:11" x14ac:dyDescent="0.3">
      <c r="A524" s="7">
        <v>41786</v>
      </c>
      <c r="B524" s="4">
        <f>YEAR(SalesData[[#This Row],[Order Date]])</f>
        <v>2014</v>
      </c>
      <c r="C524" s="4">
        <f>MONTH(SalesData[[#This Row],[Order Date]])</f>
        <v>5</v>
      </c>
      <c r="D524" s="3" t="s">
        <v>567</v>
      </c>
      <c r="E524" s="3" t="s">
        <v>27</v>
      </c>
      <c r="F524" s="3" t="s">
        <v>39</v>
      </c>
      <c r="G524" s="3" t="s">
        <v>40</v>
      </c>
      <c r="H524" s="3" t="s">
        <v>730</v>
      </c>
      <c r="I524" s="6">
        <v>1113.5</v>
      </c>
      <c r="J524" s="4">
        <v>12</v>
      </c>
      <c r="K524" s="6">
        <v>125.27</v>
      </c>
    </row>
    <row r="525" spans="1:11" x14ac:dyDescent="0.3">
      <c r="A525" s="7">
        <v>41786</v>
      </c>
      <c r="B525" s="4">
        <f>YEAR(SalesData[[#This Row],[Order Date]])</f>
        <v>2014</v>
      </c>
      <c r="C525" s="4">
        <f>MONTH(SalesData[[#This Row],[Order Date]])</f>
        <v>5</v>
      </c>
      <c r="D525" s="3" t="s">
        <v>567</v>
      </c>
      <c r="E525" s="3" t="s">
        <v>27</v>
      </c>
      <c r="F525" s="3" t="s">
        <v>39</v>
      </c>
      <c r="G525" s="3" t="s">
        <v>52</v>
      </c>
      <c r="H525" s="3" t="s">
        <v>731</v>
      </c>
      <c r="I525" s="6">
        <v>99.99</v>
      </c>
      <c r="J525" s="4">
        <v>1</v>
      </c>
      <c r="K525" s="6">
        <v>38</v>
      </c>
    </row>
    <row r="526" spans="1:11" x14ac:dyDescent="0.3">
      <c r="A526" s="7">
        <v>41786</v>
      </c>
      <c r="B526" s="4">
        <f>YEAR(SalesData[[#This Row],[Order Date]])</f>
        <v>2014</v>
      </c>
      <c r="C526" s="4">
        <f>MONTH(SalesData[[#This Row],[Order Date]])</f>
        <v>5</v>
      </c>
      <c r="D526" s="3" t="s">
        <v>732</v>
      </c>
      <c r="E526" s="3" t="s">
        <v>15</v>
      </c>
      <c r="F526" s="3" t="s">
        <v>11</v>
      </c>
      <c r="G526" s="3" t="s">
        <v>20</v>
      </c>
      <c r="H526" s="3" t="s">
        <v>733</v>
      </c>
      <c r="I526" s="6">
        <v>17.46</v>
      </c>
      <c r="J526" s="4">
        <v>6</v>
      </c>
      <c r="K526" s="6">
        <v>-30.56</v>
      </c>
    </row>
    <row r="527" spans="1:11" x14ac:dyDescent="0.3">
      <c r="A527" s="7">
        <v>41787</v>
      </c>
      <c r="B527" s="4">
        <f>YEAR(SalesData[[#This Row],[Order Date]])</f>
        <v>2014</v>
      </c>
      <c r="C527" s="4">
        <f>MONTH(SalesData[[#This Row],[Order Date]])</f>
        <v>5</v>
      </c>
      <c r="D527" s="3" t="s">
        <v>734</v>
      </c>
      <c r="E527" s="3" t="s">
        <v>164</v>
      </c>
      <c r="F527" s="3" t="s">
        <v>39</v>
      </c>
      <c r="G527" s="3" t="s">
        <v>40</v>
      </c>
      <c r="H527" s="3" t="s">
        <v>735</v>
      </c>
      <c r="I527" s="6">
        <v>57.41</v>
      </c>
      <c r="J527" s="4">
        <v>6</v>
      </c>
      <c r="K527" s="6">
        <v>5.74</v>
      </c>
    </row>
    <row r="528" spans="1:11" x14ac:dyDescent="0.3">
      <c r="A528" s="7">
        <v>41787</v>
      </c>
      <c r="B528" s="4">
        <f>YEAR(SalesData[[#This Row],[Order Date]])</f>
        <v>2014</v>
      </c>
      <c r="C528" s="4">
        <f>MONTH(SalesData[[#This Row],[Order Date]])</f>
        <v>5</v>
      </c>
      <c r="D528" s="3" t="s">
        <v>734</v>
      </c>
      <c r="E528" s="3" t="s">
        <v>164</v>
      </c>
      <c r="F528" s="3" t="s">
        <v>39</v>
      </c>
      <c r="G528" s="3" t="s">
        <v>52</v>
      </c>
      <c r="H528" s="3" t="s">
        <v>298</v>
      </c>
      <c r="I528" s="6">
        <v>27.6</v>
      </c>
      <c r="J528" s="4">
        <v>4</v>
      </c>
      <c r="K528" s="6">
        <v>2.21</v>
      </c>
    </row>
    <row r="529" spans="1:11" x14ac:dyDescent="0.3">
      <c r="A529" s="7">
        <v>41787</v>
      </c>
      <c r="B529" s="4">
        <f>YEAR(SalesData[[#This Row],[Order Date]])</f>
        <v>2014</v>
      </c>
      <c r="C529" s="4">
        <f>MONTH(SalesData[[#This Row],[Order Date]])</f>
        <v>5</v>
      </c>
      <c r="D529" s="3" t="s">
        <v>736</v>
      </c>
      <c r="E529" s="3" t="s">
        <v>164</v>
      </c>
      <c r="F529" s="3" t="s">
        <v>11</v>
      </c>
      <c r="G529" s="3" t="s">
        <v>20</v>
      </c>
      <c r="H529" s="3" t="s">
        <v>737</v>
      </c>
      <c r="I529" s="6">
        <v>136.96</v>
      </c>
      <c r="J529" s="4">
        <v>4</v>
      </c>
      <c r="K529" s="6">
        <v>51.36</v>
      </c>
    </row>
    <row r="530" spans="1:11" x14ac:dyDescent="0.3">
      <c r="A530" s="7">
        <v>41789</v>
      </c>
      <c r="B530" s="4">
        <f>YEAR(SalesData[[#This Row],[Order Date]])</f>
        <v>2014</v>
      </c>
      <c r="C530" s="4">
        <f>MONTH(SalesData[[#This Row],[Order Date]])</f>
        <v>5</v>
      </c>
      <c r="D530" s="3" t="s">
        <v>738</v>
      </c>
      <c r="E530" s="3" t="s">
        <v>55</v>
      </c>
      <c r="F530" s="3" t="s">
        <v>11</v>
      </c>
      <c r="G530" s="3" t="s">
        <v>12</v>
      </c>
      <c r="H530" s="3" t="s">
        <v>739</v>
      </c>
      <c r="I530" s="6">
        <v>13.62</v>
      </c>
      <c r="J530" s="4">
        <v>3</v>
      </c>
      <c r="K530" s="6">
        <v>6.13</v>
      </c>
    </row>
    <row r="531" spans="1:11" x14ac:dyDescent="0.3">
      <c r="A531" s="7">
        <v>41789</v>
      </c>
      <c r="B531" s="4">
        <f>YEAR(SalesData[[#This Row],[Order Date]])</f>
        <v>2014</v>
      </c>
      <c r="C531" s="4">
        <f>MONTH(SalesData[[#This Row],[Order Date]])</f>
        <v>5</v>
      </c>
      <c r="D531" s="3" t="s">
        <v>740</v>
      </c>
      <c r="E531" s="3" t="s">
        <v>15</v>
      </c>
      <c r="F531" s="3" t="s">
        <v>34</v>
      </c>
      <c r="G531" s="3" t="s">
        <v>145</v>
      </c>
      <c r="H531" s="3" t="s">
        <v>741</v>
      </c>
      <c r="I531" s="6">
        <v>355.46</v>
      </c>
      <c r="J531" s="4">
        <v>3</v>
      </c>
      <c r="K531" s="6">
        <v>-184.84</v>
      </c>
    </row>
    <row r="532" spans="1:11" x14ac:dyDescent="0.3">
      <c r="A532" s="7">
        <v>41789</v>
      </c>
      <c r="B532" s="4">
        <f>YEAR(SalesData[[#This Row],[Order Date]])</f>
        <v>2014</v>
      </c>
      <c r="C532" s="4">
        <f>MONTH(SalesData[[#This Row],[Order Date]])</f>
        <v>5</v>
      </c>
      <c r="D532" s="3" t="s">
        <v>742</v>
      </c>
      <c r="E532" s="3" t="s">
        <v>149</v>
      </c>
      <c r="F532" s="3" t="s">
        <v>11</v>
      </c>
      <c r="G532" s="3" t="s">
        <v>20</v>
      </c>
      <c r="H532" s="3" t="s">
        <v>627</v>
      </c>
      <c r="I532" s="6">
        <v>70.37</v>
      </c>
      <c r="J532" s="4">
        <v>4</v>
      </c>
      <c r="K532" s="6">
        <v>26.39</v>
      </c>
    </row>
    <row r="533" spans="1:11" x14ac:dyDescent="0.3">
      <c r="A533" s="7">
        <v>41789</v>
      </c>
      <c r="B533" s="4">
        <f>YEAR(SalesData[[#This Row],[Order Date]])</f>
        <v>2014</v>
      </c>
      <c r="C533" s="4">
        <f>MONTH(SalesData[[#This Row],[Order Date]])</f>
        <v>5</v>
      </c>
      <c r="D533" s="3" t="s">
        <v>743</v>
      </c>
      <c r="E533" s="3" t="s">
        <v>149</v>
      </c>
      <c r="F533" s="3" t="s">
        <v>11</v>
      </c>
      <c r="G533" s="3" t="s">
        <v>20</v>
      </c>
      <c r="H533" s="3" t="s">
        <v>744</v>
      </c>
      <c r="I533" s="6">
        <v>25.58</v>
      </c>
      <c r="J533" s="4">
        <v>2</v>
      </c>
      <c r="K533" s="6">
        <v>8.9499999999999993</v>
      </c>
    </row>
    <row r="534" spans="1:11" x14ac:dyDescent="0.3">
      <c r="A534" s="7">
        <v>41789</v>
      </c>
      <c r="B534" s="4">
        <f>YEAR(SalesData[[#This Row],[Order Date]])</f>
        <v>2014</v>
      </c>
      <c r="C534" s="4">
        <f>MONTH(SalesData[[#This Row],[Order Date]])</f>
        <v>5</v>
      </c>
      <c r="D534" s="3" t="s">
        <v>743</v>
      </c>
      <c r="E534" s="3" t="s">
        <v>149</v>
      </c>
      <c r="F534" s="3" t="s">
        <v>39</v>
      </c>
      <c r="G534" s="3" t="s">
        <v>40</v>
      </c>
      <c r="H534" s="3" t="s">
        <v>745</v>
      </c>
      <c r="I534" s="6">
        <v>464</v>
      </c>
      <c r="J534" s="4">
        <v>5</v>
      </c>
      <c r="K534" s="6">
        <v>134.56</v>
      </c>
    </row>
    <row r="535" spans="1:11" x14ac:dyDescent="0.3">
      <c r="A535" s="7">
        <v>41789</v>
      </c>
      <c r="B535" s="4">
        <f>YEAR(SalesData[[#This Row],[Order Date]])</f>
        <v>2014</v>
      </c>
      <c r="C535" s="4">
        <f>MONTH(SalesData[[#This Row],[Order Date]])</f>
        <v>5</v>
      </c>
      <c r="D535" s="3" t="s">
        <v>743</v>
      </c>
      <c r="E535" s="3" t="s">
        <v>149</v>
      </c>
      <c r="F535" s="3" t="s">
        <v>11</v>
      </c>
      <c r="G535" s="3" t="s">
        <v>92</v>
      </c>
      <c r="H535" s="3" t="s">
        <v>746</v>
      </c>
      <c r="I535" s="6">
        <v>235.95</v>
      </c>
      <c r="J535" s="4">
        <v>3</v>
      </c>
      <c r="K535" s="6">
        <v>77.86</v>
      </c>
    </row>
    <row r="536" spans="1:11" x14ac:dyDescent="0.3">
      <c r="A536" s="7">
        <v>41789</v>
      </c>
      <c r="B536" s="4">
        <f>YEAR(SalesData[[#This Row],[Order Date]])</f>
        <v>2014</v>
      </c>
      <c r="C536" s="4">
        <f>MONTH(SalesData[[#This Row],[Order Date]])</f>
        <v>5</v>
      </c>
      <c r="D536" s="3" t="s">
        <v>743</v>
      </c>
      <c r="E536" s="3" t="s">
        <v>149</v>
      </c>
      <c r="F536" s="3" t="s">
        <v>11</v>
      </c>
      <c r="G536" s="3" t="s">
        <v>12</v>
      </c>
      <c r="H536" s="3" t="s">
        <v>747</v>
      </c>
      <c r="I536" s="6">
        <v>39.96</v>
      </c>
      <c r="J536" s="4">
        <v>4</v>
      </c>
      <c r="K536" s="6">
        <v>17.98</v>
      </c>
    </row>
    <row r="537" spans="1:11" x14ac:dyDescent="0.3">
      <c r="A537" s="7">
        <v>41789</v>
      </c>
      <c r="B537" s="4">
        <f>YEAR(SalesData[[#This Row],[Order Date]])</f>
        <v>2014</v>
      </c>
      <c r="C537" s="4">
        <f>MONTH(SalesData[[#This Row],[Order Date]])</f>
        <v>5</v>
      </c>
      <c r="D537" s="3" t="s">
        <v>748</v>
      </c>
      <c r="E537" s="3" t="s">
        <v>15</v>
      </c>
      <c r="F537" s="3" t="s">
        <v>39</v>
      </c>
      <c r="G537" s="3" t="s">
        <v>603</v>
      </c>
      <c r="H537" s="3" t="s">
        <v>604</v>
      </c>
      <c r="I537" s="6">
        <v>719.98</v>
      </c>
      <c r="J537" s="4">
        <v>3</v>
      </c>
      <c r="K537" s="6">
        <v>135</v>
      </c>
    </row>
    <row r="538" spans="1:11" x14ac:dyDescent="0.3">
      <c r="A538" s="7">
        <v>41790</v>
      </c>
      <c r="B538" s="4">
        <f>YEAR(SalesData[[#This Row],[Order Date]])</f>
        <v>2014</v>
      </c>
      <c r="C538" s="4">
        <f>MONTH(SalesData[[#This Row],[Order Date]])</f>
        <v>5</v>
      </c>
      <c r="D538" s="3" t="s">
        <v>749</v>
      </c>
      <c r="E538" s="3" t="s">
        <v>329</v>
      </c>
      <c r="F538" s="3" t="s">
        <v>39</v>
      </c>
      <c r="G538" s="3" t="s">
        <v>40</v>
      </c>
      <c r="H538" s="3" t="s">
        <v>750</v>
      </c>
      <c r="I538" s="6">
        <v>659.97</v>
      </c>
      <c r="J538" s="4">
        <v>3</v>
      </c>
      <c r="K538" s="6">
        <v>197.99</v>
      </c>
    </row>
    <row r="539" spans="1:11" x14ac:dyDescent="0.3">
      <c r="A539" s="7">
        <v>41790</v>
      </c>
      <c r="B539" s="4">
        <f>YEAR(SalesData[[#This Row],[Order Date]])</f>
        <v>2014</v>
      </c>
      <c r="C539" s="4">
        <f>MONTH(SalesData[[#This Row],[Order Date]])</f>
        <v>5</v>
      </c>
      <c r="D539" s="3" t="s">
        <v>749</v>
      </c>
      <c r="E539" s="3" t="s">
        <v>329</v>
      </c>
      <c r="F539" s="3" t="s">
        <v>39</v>
      </c>
      <c r="G539" s="3" t="s">
        <v>40</v>
      </c>
      <c r="H539" s="3" t="s">
        <v>751</v>
      </c>
      <c r="I539" s="6">
        <v>113.73</v>
      </c>
      <c r="J539" s="4">
        <v>3</v>
      </c>
      <c r="K539" s="6">
        <v>32.979999999999997</v>
      </c>
    </row>
    <row r="540" spans="1:11" x14ac:dyDescent="0.3">
      <c r="A540" s="7">
        <v>41791</v>
      </c>
      <c r="B540" s="4">
        <f>YEAR(SalesData[[#This Row],[Order Date]])</f>
        <v>2014</v>
      </c>
      <c r="C540" s="4">
        <f>MONTH(SalesData[[#This Row],[Order Date]])</f>
        <v>6</v>
      </c>
      <c r="D540" s="3" t="s">
        <v>752</v>
      </c>
      <c r="E540" s="3" t="s">
        <v>315</v>
      </c>
      <c r="F540" s="3" t="s">
        <v>34</v>
      </c>
      <c r="G540" s="3" t="s">
        <v>35</v>
      </c>
      <c r="H540" s="3" t="s">
        <v>36</v>
      </c>
      <c r="I540" s="6">
        <v>2001.86</v>
      </c>
      <c r="J540" s="4">
        <v>7</v>
      </c>
      <c r="K540" s="6">
        <v>580.54</v>
      </c>
    </row>
    <row r="541" spans="1:11" x14ac:dyDescent="0.3">
      <c r="A541" s="7">
        <v>41791</v>
      </c>
      <c r="B541" s="4">
        <f>YEAR(SalesData[[#This Row],[Order Date]])</f>
        <v>2014</v>
      </c>
      <c r="C541" s="4">
        <f>MONTH(SalesData[[#This Row],[Order Date]])</f>
        <v>6</v>
      </c>
      <c r="D541" s="3" t="s">
        <v>752</v>
      </c>
      <c r="E541" s="3" t="s">
        <v>315</v>
      </c>
      <c r="F541" s="3" t="s">
        <v>11</v>
      </c>
      <c r="G541" s="3" t="s">
        <v>18</v>
      </c>
      <c r="H541" s="3" t="s">
        <v>753</v>
      </c>
      <c r="I541" s="6">
        <v>166.72</v>
      </c>
      <c r="J541" s="4">
        <v>2</v>
      </c>
      <c r="K541" s="6">
        <v>41.68</v>
      </c>
    </row>
    <row r="542" spans="1:11" x14ac:dyDescent="0.3">
      <c r="A542" s="7">
        <v>41791</v>
      </c>
      <c r="B542" s="4">
        <f>YEAR(SalesData[[#This Row],[Order Date]])</f>
        <v>2014</v>
      </c>
      <c r="C542" s="4">
        <f>MONTH(SalesData[[#This Row],[Order Date]])</f>
        <v>6</v>
      </c>
      <c r="D542" s="3" t="s">
        <v>752</v>
      </c>
      <c r="E542" s="3" t="s">
        <v>315</v>
      </c>
      <c r="F542" s="3" t="s">
        <v>11</v>
      </c>
      <c r="G542" s="3" t="s">
        <v>12</v>
      </c>
      <c r="H542" s="3" t="s">
        <v>754</v>
      </c>
      <c r="I542" s="6">
        <v>47.88</v>
      </c>
      <c r="J542" s="4">
        <v>6</v>
      </c>
      <c r="K542" s="6">
        <v>23.94</v>
      </c>
    </row>
    <row r="543" spans="1:11" x14ac:dyDescent="0.3">
      <c r="A543" s="7">
        <v>41791</v>
      </c>
      <c r="B543" s="4">
        <f>YEAR(SalesData[[#This Row],[Order Date]])</f>
        <v>2014</v>
      </c>
      <c r="C543" s="4">
        <f>MONTH(SalesData[[#This Row],[Order Date]])</f>
        <v>6</v>
      </c>
      <c r="D543" s="3" t="s">
        <v>752</v>
      </c>
      <c r="E543" s="3" t="s">
        <v>315</v>
      </c>
      <c r="F543" s="3" t="s">
        <v>11</v>
      </c>
      <c r="G543" s="3" t="s">
        <v>92</v>
      </c>
      <c r="H543" s="3" t="s">
        <v>755</v>
      </c>
      <c r="I543" s="6">
        <v>1503.25</v>
      </c>
      <c r="J543" s="4">
        <v>5</v>
      </c>
      <c r="K543" s="6">
        <v>496.07</v>
      </c>
    </row>
    <row r="544" spans="1:11" x14ac:dyDescent="0.3">
      <c r="A544" s="7">
        <v>41791</v>
      </c>
      <c r="B544" s="4">
        <f>YEAR(SalesData[[#This Row],[Order Date]])</f>
        <v>2014</v>
      </c>
      <c r="C544" s="4">
        <f>MONTH(SalesData[[#This Row],[Order Date]])</f>
        <v>6</v>
      </c>
      <c r="D544" s="3" t="s">
        <v>752</v>
      </c>
      <c r="E544" s="3" t="s">
        <v>315</v>
      </c>
      <c r="F544" s="3" t="s">
        <v>11</v>
      </c>
      <c r="G544" s="3" t="s">
        <v>12</v>
      </c>
      <c r="H544" s="3" t="s">
        <v>756</v>
      </c>
      <c r="I544" s="6">
        <v>25.92</v>
      </c>
      <c r="J544" s="4">
        <v>4</v>
      </c>
      <c r="K544" s="6">
        <v>12.44</v>
      </c>
    </row>
    <row r="545" spans="1:11" x14ac:dyDescent="0.3">
      <c r="A545" s="7">
        <v>41791</v>
      </c>
      <c r="B545" s="4">
        <f>YEAR(SalesData[[#This Row],[Order Date]])</f>
        <v>2014</v>
      </c>
      <c r="C545" s="4">
        <f>MONTH(SalesData[[#This Row],[Order Date]])</f>
        <v>6</v>
      </c>
      <c r="D545" s="3" t="s">
        <v>757</v>
      </c>
      <c r="E545" s="3" t="s">
        <v>177</v>
      </c>
      <c r="F545" s="3" t="s">
        <v>11</v>
      </c>
      <c r="G545" s="3" t="s">
        <v>20</v>
      </c>
      <c r="H545" s="3" t="s">
        <v>758</v>
      </c>
      <c r="I545" s="6">
        <v>45.48</v>
      </c>
      <c r="J545" s="4">
        <v>3</v>
      </c>
      <c r="K545" s="6">
        <v>20.92</v>
      </c>
    </row>
    <row r="546" spans="1:11" x14ac:dyDescent="0.3">
      <c r="A546" s="7">
        <v>41791</v>
      </c>
      <c r="B546" s="4">
        <f>YEAR(SalesData[[#This Row],[Order Date]])</f>
        <v>2014</v>
      </c>
      <c r="C546" s="4">
        <f>MONTH(SalesData[[#This Row],[Order Date]])</f>
        <v>6</v>
      </c>
      <c r="D546" s="3" t="s">
        <v>757</v>
      </c>
      <c r="E546" s="3" t="s">
        <v>177</v>
      </c>
      <c r="F546" s="3" t="s">
        <v>11</v>
      </c>
      <c r="G546" s="3" t="s">
        <v>24</v>
      </c>
      <c r="H546" s="3" t="s">
        <v>759</v>
      </c>
      <c r="I546" s="6">
        <v>289.2</v>
      </c>
      <c r="J546" s="4">
        <v>6</v>
      </c>
      <c r="K546" s="6">
        <v>83.87</v>
      </c>
    </row>
    <row r="547" spans="1:11" x14ac:dyDescent="0.3">
      <c r="A547" s="7">
        <v>41791</v>
      </c>
      <c r="B547" s="4">
        <f>YEAR(SalesData[[#This Row],[Order Date]])</f>
        <v>2014</v>
      </c>
      <c r="C547" s="4">
        <f>MONTH(SalesData[[#This Row],[Order Date]])</f>
        <v>6</v>
      </c>
      <c r="D547" s="3" t="s">
        <v>760</v>
      </c>
      <c r="E547" s="3" t="s">
        <v>101</v>
      </c>
      <c r="F547" s="3" t="s">
        <v>34</v>
      </c>
      <c r="G547" s="3" t="s">
        <v>47</v>
      </c>
      <c r="H547" s="3" t="s">
        <v>761</v>
      </c>
      <c r="I547" s="6">
        <v>22.2</v>
      </c>
      <c r="J547" s="4">
        <v>6</v>
      </c>
      <c r="K547" s="6">
        <v>9.1</v>
      </c>
    </row>
    <row r="548" spans="1:11" x14ac:dyDescent="0.3">
      <c r="A548" s="7">
        <v>41791</v>
      </c>
      <c r="B548" s="4">
        <f>YEAR(SalesData[[#This Row],[Order Date]])</f>
        <v>2014</v>
      </c>
      <c r="C548" s="4">
        <f>MONTH(SalesData[[#This Row],[Order Date]])</f>
        <v>6</v>
      </c>
      <c r="D548" s="3" t="s">
        <v>760</v>
      </c>
      <c r="E548" s="3" t="s">
        <v>101</v>
      </c>
      <c r="F548" s="3" t="s">
        <v>39</v>
      </c>
      <c r="G548" s="3" t="s">
        <v>40</v>
      </c>
      <c r="H548" s="3" t="s">
        <v>762</v>
      </c>
      <c r="I548" s="6">
        <v>881.93</v>
      </c>
      <c r="J548" s="4">
        <v>7</v>
      </c>
      <c r="K548" s="6">
        <v>229.3</v>
      </c>
    </row>
    <row r="549" spans="1:11" x14ac:dyDescent="0.3">
      <c r="A549" s="7">
        <v>41791</v>
      </c>
      <c r="B549" s="4">
        <f>YEAR(SalesData[[#This Row],[Order Date]])</f>
        <v>2014</v>
      </c>
      <c r="C549" s="4">
        <f>MONTH(SalesData[[#This Row],[Order Date]])</f>
        <v>6</v>
      </c>
      <c r="D549" s="3" t="s">
        <v>334</v>
      </c>
      <c r="E549" s="3" t="s">
        <v>110</v>
      </c>
      <c r="F549" s="3" t="s">
        <v>11</v>
      </c>
      <c r="G549" s="3" t="s">
        <v>20</v>
      </c>
      <c r="H549" s="3" t="s">
        <v>763</v>
      </c>
      <c r="I549" s="6">
        <v>138.56</v>
      </c>
      <c r="J549" s="4">
        <v>4</v>
      </c>
      <c r="K549" s="6">
        <v>66.510000000000005</v>
      </c>
    </row>
    <row r="550" spans="1:11" x14ac:dyDescent="0.3">
      <c r="A550" s="7">
        <v>41791</v>
      </c>
      <c r="B550" s="4">
        <f>YEAR(SalesData[[#This Row],[Order Date]])</f>
        <v>2014</v>
      </c>
      <c r="C550" s="4">
        <f>MONTH(SalesData[[#This Row],[Order Date]])</f>
        <v>6</v>
      </c>
      <c r="D550" s="3" t="s">
        <v>334</v>
      </c>
      <c r="E550" s="3" t="s">
        <v>110</v>
      </c>
      <c r="F550" s="3" t="s">
        <v>11</v>
      </c>
      <c r="G550" s="3" t="s">
        <v>92</v>
      </c>
      <c r="H550" s="3" t="s">
        <v>764</v>
      </c>
      <c r="I550" s="6">
        <v>65.52</v>
      </c>
      <c r="J550" s="4">
        <v>5</v>
      </c>
      <c r="K550" s="6">
        <v>12.38</v>
      </c>
    </row>
    <row r="551" spans="1:11" x14ac:dyDescent="0.3">
      <c r="A551" s="7">
        <v>41792</v>
      </c>
      <c r="B551" s="4">
        <f>YEAR(SalesData[[#This Row],[Order Date]])</f>
        <v>2014</v>
      </c>
      <c r="C551" s="4">
        <f>MONTH(SalesData[[#This Row],[Order Date]])</f>
        <v>6</v>
      </c>
      <c r="D551" s="3" t="s">
        <v>293</v>
      </c>
      <c r="E551" s="3" t="s">
        <v>296</v>
      </c>
      <c r="F551" s="3" t="s">
        <v>11</v>
      </c>
      <c r="G551" s="3" t="s">
        <v>20</v>
      </c>
      <c r="H551" s="3" t="s">
        <v>765</v>
      </c>
      <c r="I551" s="6">
        <v>59.81</v>
      </c>
      <c r="J551" s="4">
        <v>3</v>
      </c>
      <c r="K551" s="6">
        <v>19.440000000000001</v>
      </c>
    </row>
    <row r="552" spans="1:11" x14ac:dyDescent="0.3">
      <c r="A552" s="7">
        <v>41792</v>
      </c>
      <c r="B552" s="4">
        <f>YEAR(SalesData[[#This Row],[Order Date]])</f>
        <v>2014</v>
      </c>
      <c r="C552" s="4">
        <f>MONTH(SalesData[[#This Row],[Order Date]])</f>
        <v>6</v>
      </c>
      <c r="D552" s="3" t="s">
        <v>293</v>
      </c>
      <c r="E552" s="3" t="s">
        <v>296</v>
      </c>
      <c r="F552" s="3" t="s">
        <v>34</v>
      </c>
      <c r="G552" s="3" t="s">
        <v>47</v>
      </c>
      <c r="H552" s="3" t="s">
        <v>766</v>
      </c>
      <c r="I552" s="6">
        <v>73.319999999999993</v>
      </c>
      <c r="J552" s="4">
        <v>6</v>
      </c>
      <c r="K552" s="6">
        <v>22</v>
      </c>
    </row>
    <row r="553" spans="1:11" x14ac:dyDescent="0.3">
      <c r="A553" s="7">
        <v>41792</v>
      </c>
      <c r="B553" s="4">
        <f>YEAR(SalesData[[#This Row],[Order Date]])</f>
        <v>2014</v>
      </c>
      <c r="C553" s="4">
        <f>MONTH(SalesData[[#This Row],[Order Date]])</f>
        <v>6</v>
      </c>
      <c r="D553" s="3" t="s">
        <v>523</v>
      </c>
      <c r="E553" s="3" t="s">
        <v>30</v>
      </c>
      <c r="F553" s="3" t="s">
        <v>11</v>
      </c>
      <c r="G553" s="3" t="s">
        <v>24</v>
      </c>
      <c r="H553" s="3" t="s">
        <v>687</v>
      </c>
      <c r="I553" s="6">
        <v>8.56</v>
      </c>
      <c r="J553" s="4">
        <v>2</v>
      </c>
      <c r="K553" s="6">
        <v>2.65</v>
      </c>
    </row>
    <row r="554" spans="1:11" x14ac:dyDescent="0.3">
      <c r="A554" s="7">
        <v>41792</v>
      </c>
      <c r="B554" s="4">
        <f>YEAR(SalesData[[#This Row],[Order Date]])</f>
        <v>2014</v>
      </c>
      <c r="C554" s="4">
        <f>MONTH(SalesData[[#This Row],[Order Date]])</f>
        <v>6</v>
      </c>
      <c r="D554" s="3" t="s">
        <v>523</v>
      </c>
      <c r="E554" s="3" t="s">
        <v>30</v>
      </c>
      <c r="F554" s="3" t="s">
        <v>39</v>
      </c>
      <c r="G554" s="3" t="s">
        <v>40</v>
      </c>
      <c r="H554" s="3" t="s">
        <v>767</v>
      </c>
      <c r="I554" s="6">
        <v>239.97</v>
      </c>
      <c r="J554" s="4">
        <v>3</v>
      </c>
      <c r="K554" s="6">
        <v>67.19</v>
      </c>
    </row>
    <row r="555" spans="1:11" x14ac:dyDescent="0.3">
      <c r="A555" s="7">
        <v>41792</v>
      </c>
      <c r="B555" s="4">
        <f>YEAR(SalesData[[#This Row],[Order Date]])</f>
        <v>2014</v>
      </c>
      <c r="C555" s="4">
        <f>MONTH(SalesData[[#This Row],[Order Date]])</f>
        <v>6</v>
      </c>
      <c r="D555" s="3" t="s">
        <v>523</v>
      </c>
      <c r="E555" s="3" t="s">
        <v>30</v>
      </c>
      <c r="F555" s="3" t="s">
        <v>11</v>
      </c>
      <c r="G555" s="3" t="s">
        <v>18</v>
      </c>
      <c r="H555" s="3" t="s">
        <v>308</v>
      </c>
      <c r="I555" s="6">
        <v>356.94</v>
      </c>
      <c r="J555" s="4">
        <v>2</v>
      </c>
      <c r="K555" s="6">
        <v>107.08</v>
      </c>
    </row>
    <row r="556" spans="1:11" x14ac:dyDescent="0.3">
      <c r="A556" s="7">
        <v>41793</v>
      </c>
      <c r="B556" s="4">
        <f>YEAR(SalesData[[#This Row],[Order Date]])</f>
        <v>2014</v>
      </c>
      <c r="C556" s="4">
        <f>MONTH(SalesData[[#This Row],[Order Date]])</f>
        <v>6</v>
      </c>
      <c r="D556" s="3" t="s">
        <v>768</v>
      </c>
      <c r="E556" s="3" t="s">
        <v>164</v>
      </c>
      <c r="F556" s="3" t="s">
        <v>34</v>
      </c>
      <c r="G556" s="3" t="s">
        <v>145</v>
      </c>
      <c r="H556" s="3" t="s">
        <v>473</v>
      </c>
      <c r="I556" s="6">
        <v>515.88</v>
      </c>
      <c r="J556" s="4">
        <v>6</v>
      </c>
      <c r="K556" s="6">
        <v>113.49</v>
      </c>
    </row>
    <row r="557" spans="1:11" x14ac:dyDescent="0.3">
      <c r="A557" s="7">
        <v>41793</v>
      </c>
      <c r="B557" s="4">
        <f>YEAR(SalesData[[#This Row],[Order Date]])</f>
        <v>2014</v>
      </c>
      <c r="C557" s="4">
        <f>MONTH(SalesData[[#This Row],[Order Date]])</f>
        <v>6</v>
      </c>
      <c r="D557" s="3" t="s">
        <v>769</v>
      </c>
      <c r="E557" s="3" t="s">
        <v>110</v>
      </c>
      <c r="F557" s="3" t="s">
        <v>11</v>
      </c>
      <c r="G557" s="3" t="s">
        <v>63</v>
      </c>
      <c r="H557" s="3" t="s">
        <v>770</v>
      </c>
      <c r="I557" s="6">
        <v>15.28</v>
      </c>
      <c r="J557" s="4">
        <v>2</v>
      </c>
      <c r="K557" s="6">
        <v>7.49</v>
      </c>
    </row>
    <row r="558" spans="1:11" x14ac:dyDescent="0.3">
      <c r="A558" s="7">
        <v>41793</v>
      </c>
      <c r="B558" s="4">
        <f>YEAR(SalesData[[#This Row],[Order Date]])</f>
        <v>2014</v>
      </c>
      <c r="C558" s="4">
        <f>MONTH(SalesData[[#This Row],[Order Date]])</f>
        <v>6</v>
      </c>
      <c r="D558" s="3" t="s">
        <v>771</v>
      </c>
      <c r="E558" s="3" t="s">
        <v>15</v>
      </c>
      <c r="F558" s="3" t="s">
        <v>11</v>
      </c>
      <c r="G558" s="3" t="s">
        <v>16</v>
      </c>
      <c r="H558" s="3" t="s">
        <v>772</v>
      </c>
      <c r="I558" s="6">
        <v>15.94</v>
      </c>
      <c r="J558" s="4">
        <v>4</v>
      </c>
      <c r="K558" s="6">
        <v>5.18</v>
      </c>
    </row>
    <row r="559" spans="1:11" x14ac:dyDescent="0.3">
      <c r="A559" s="7">
        <v>41793</v>
      </c>
      <c r="B559" s="4">
        <f>YEAR(SalesData[[#This Row],[Order Date]])</f>
        <v>2014</v>
      </c>
      <c r="C559" s="4">
        <f>MONTH(SalesData[[#This Row],[Order Date]])</f>
        <v>6</v>
      </c>
      <c r="D559" s="3" t="s">
        <v>771</v>
      </c>
      <c r="E559" s="3" t="s">
        <v>15</v>
      </c>
      <c r="F559" s="3" t="s">
        <v>34</v>
      </c>
      <c r="G559" s="3" t="s">
        <v>47</v>
      </c>
      <c r="H559" s="3" t="s">
        <v>773</v>
      </c>
      <c r="I559" s="6">
        <v>61.54</v>
      </c>
      <c r="J559" s="4">
        <v>7</v>
      </c>
      <c r="K559" s="6">
        <v>-40</v>
      </c>
    </row>
    <row r="560" spans="1:11" x14ac:dyDescent="0.3">
      <c r="A560" s="7">
        <v>41793</v>
      </c>
      <c r="B560" s="4">
        <f>YEAR(SalesData[[#This Row],[Order Date]])</f>
        <v>2014</v>
      </c>
      <c r="C560" s="4">
        <f>MONTH(SalesData[[#This Row],[Order Date]])</f>
        <v>6</v>
      </c>
      <c r="D560" s="3" t="s">
        <v>771</v>
      </c>
      <c r="E560" s="3" t="s">
        <v>15</v>
      </c>
      <c r="F560" s="3" t="s">
        <v>11</v>
      </c>
      <c r="G560" s="3" t="s">
        <v>18</v>
      </c>
      <c r="H560" s="3" t="s">
        <v>580</v>
      </c>
      <c r="I560" s="6">
        <v>132.69999999999999</v>
      </c>
      <c r="J560" s="4">
        <v>3</v>
      </c>
      <c r="K560" s="6">
        <v>9.9499999999999993</v>
      </c>
    </row>
    <row r="561" spans="1:11" x14ac:dyDescent="0.3">
      <c r="A561" s="7">
        <v>41794</v>
      </c>
      <c r="B561" s="4">
        <f>YEAR(SalesData[[#This Row],[Order Date]])</f>
        <v>2014</v>
      </c>
      <c r="C561" s="4">
        <f>MONTH(SalesData[[#This Row],[Order Date]])</f>
        <v>6</v>
      </c>
      <c r="D561" s="3" t="s">
        <v>413</v>
      </c>
      <c r="E561" s="3" t="s">
        <v>78</v>
      </c>
      <c r="F561" s="3" t="s">
        <v>11</v>
      </c>
      <c r="G561" s="3" t="s">
        <v>12</v>
      </c>
      <c r="H561" s="3" t="s">
        <v>625</v>
      </c>
      <c r="I561" s="6">
        <v>16.22</v>
      </c>
      <c r="J561" s="4">
        <v>2</v>
      </c>
      <c r="K561" s="6">
        <v>5.88</v>
      </c>
    </row>
    <row r="562" spans="1:11" x14ac:dyDescent="0.3">
      <c r="A562" s="7">
        <v>41794</v>
      </c>
      <c r="B562" s="4">
        <f>YEAR(SalesData[[#This Row],[Order Date]])</f>
        <v>2014</v>
      </c>
      <c r="C562" s="4">
        <f>MONTH(SalesData[[#This Row],[Order Date]])</f>
        <v>6</v>
      </c>
      <c r="D562" s="3" t="s">
        <v>774</v>
      </c>
      <c r="E562" s="3" t="s">
        <v>149</v>
      </c>
      <c r="F562" s="3" t="s">
        <v>34</v>
      </c>
      <c r="G562" s="3" t="s">
        <v>47</v>
      </c>
      <c r="H562" s="3" t="s">
        <v>775</v>
      </c>
      <c r="I562" s="6">
        <v>56.96</v>
      </c>
      <c r="J562" s="4">
        <v>2</v>
      </c>
      <c r="K562" s="6">
        <v>21.08</v>
      </c>
    </row>
    <row r="563" spans="1:11" x14ac:dyDescent="0.3">
      <c r="A563" s="7">
        <v>41794</v>
      </c>
      <c r="B563" s="4">
        <f>YEAR(SalesData[[#This Row],[Order Date]])</f>
        <v>2014</v>
      </c>
      <c r="C563" s="4">
        <f>MONTH(SalesData[[#This Row],[Order Date]])</f>
        <v>6</v>
      </c>
      <c r="D563" s="3" t="s">
        <v>774</v>
      </c>
      <c r="E563" s="3" t="s">
        <v>149</v>
      </c>
      <c r="F563" s="3" t="s">
        <v>11</v>
      </c>
      <c r="G563" s="3" t="s">
        <v>92</v>
      </c>
      <c r="H563" s="3" t="s">
        <v>776</v>
      </c>
      <c r="I563" s="6">
        <v>15.56</v>
      </c>
      <c r="J563" s="4">
        <v>4</v>
      </c>
      <c r="K563" s="6">
        <v>4.05</v>
      </c>
    </row>
    <row r="564" spans="1:11" x14ac:dyDescent="0.3">
      <c r="A564" s="7">
        <v>41794</v>
      </c>
      <c r="B564" s="4">
        <f>YEAR(SalesData[[#This Row],[Order Date]])</f>
        <v>2014</v>
      </c>
      <c r="C564" s="4">
        <f>MONTH(SalesData[[#This Row],[Order Date]])</f>
        <v>6</v>
      </c>
      <c r="D564" s="3" t="s">
        <v>774</v>
      </c>
      <c r="E564" s="3" t="s">
        <v>149</v>
      </c>
      <c r="F564" s="3" t="s">
        <v>34</v>
      </c>
      <c r="G564" s="3" t="s">
        <v>74</v>
      </c>
      <c r="H564" s="3" t="s">
        <v>777</v>
      </c>
      <c r="I564" s="6">
        <v>353.57</v>
      </c>
      <c r="J564" s="4">
        <v>2</v>
      </c>
      <c r="K564" s="6">
        <v>-44.2</v>
      </c>
    </row>
    <row r="565" spans="1:11" x14ac:dyDescent="0.3">
      <c r="A565" s="7">
        <v>41794</v>
      </c>
      <c r="B565" s="4">
        <f>YEAR(SalesData[[#This Row],[Order Date]])</f>
        <v>2014</v>
      </c>
      <c r="C565" s="4">
        <f>MONTH(SalesData[[#This Row],[Order Date]])</f>
        <v>6</v>
      </c>
      <c r="D565" s="3" t="s">
        <v>774</v>
      </c>
      <c r="E565" s="3" t="s">
        <v>149</v>
      </c>
      <c r="F565" s="3" t="s">
        <v>34</v>
      </c>
      <c r="G565" s="3" t="s">
        <v>47</v>
      </c>
      <c r="H565" s="3" t="s">
        <v>563</v>
      </c>
      <c r="I565" s="6">
        <v>13.96</v>
      </c>
      <c r="J565" s="4">
        <v>2</v>
      </c>
      <c r="K565" s="6">
        <v>6.7</v>
      </c>
    </row>
    <row r="566" spans="1:11" x14ac:dyDescent="0.3">
      <c r="A566" s="7">
        <v>41796</v>
      </c>
      <c r="B566" s="4">
        <f>YEAR(SalesData[[#This Row],[Order Date]])</f>
        <v>2014</v>
      </c>
      <c r="C566" s="4">
        <f>MONTH(SalesData[[#This Row],[Order Date]])</f>
        <v>6</v>
      </c>
      <c r="D566" s="3" t="s">
        <v>778</v>
      </c>
      <c r="E566" s="3" t="s">
        <v>149</v>
      </c>
      <c r="F566" s="3" t="s">
        <v>11</v>
      </c>
      <c r="G566" s="3" t="s">
        <v>24</v>
      </c>
      <c r="H566" s="3" t="s">
        <v>779</v>
      </c>
      <c r="I566" s="6">
        <v>13.36</v>
      </c>
      <c r="J566" s="4">
        <v>2</v>
      </c>
      <c r="K566" s="6">
        <v>4.9400000000000004</v>
      </c>
    </row>
    <row r="567" spans="1:11" x14ac:dyDescent="0.3">
      <c r="A567" s="7">
        <v>41796</v>
      </c>
      <c r="B567" s="4">
        <f>YEAR(SalesData[[#This Row],[Order Date]])</f>
        <v>2014</v>
      </c>
      <c r="C567" s="4">
        <f>MONTH(SalesData[[#This Row],[Order Date]])</f>
        <v>6</v>
      </c>
      <c r="D567" s="3" t="s">
        <v>780</v>
      </c>
      <c r="E567" s="3" t="s">
        <v>149</v>
      </c>
      <c r="F567" s="3" t="s">
        <v>11</v>
      </c>
      <c r="G567" s="3" t="s">
        <v>20</v>
      </c>
      <c r="H567" s="3" t="s">
        <v>781</v>
      </c>
      <c r="I567" s="6">
        <v>149.54</v>
      </c>
      <c r="J567" s="4">
        <v>9</v>
      </c>
      <c r="K567" s="6">
        <v>50.47</v>
      </c>
    </row>
    <row r="568" spans="1:11" x14ac:dyDescent="0.3">
      <c r="A568" s="7">
        <v>41796</v>
      </c>
      <c r="B568" s="4">
        <f>YEAR(SalesData[[#This Row],[Order Date]])</f>
        <v>2014</v>
      </c>
      <c r="C568" s="4">
        <f>MONTH(SalesData[[#This Row],[Order Date]])</f>
        <v>6</v>
      </c>
      <c r="D568" s="3" t="s">
        <v>780</v>
      </c>
      <c r="E568" s="3" t="s">
        <v>149</v>
      </c>
      <c r="F568" s="3" t="s">
        <v>11</v>
      </c>
      <c r="G568" s="3" t="s">
        <v>200</v>
      </c>
      <c r="H568" s="3" t="s">
        <v>782</v>
      </c>
      <c r="I568" s="6">
        <v>17.14</v>
      </c>
      <c r="J568" s="4">
        <v>2</v>
      </c>
      <c r="K568" s="6">
        <v>4.46</v>
      </c>
    </row>
    <row r="569" spans="1:11" x14ac:dyDescent="0.3">
      <c r="A569" s="7">
        <v>41796</v>
      </c>
      <c r="B569" s="4">
        <f>YEAR(SalesData[[#This Row],[Order Date]])</f>
        <v>2014</v>
      </c>
      <c r="C569" s="4">
        <f>MONTH(SalesData[[#This Row],[Order Date]])</f>
        <v>6</v>
      </c>
      <c r="D569" s="3" t="s">
        <v>780</v>
      </c>
      <c r="E569" s="3" t="s">
        <v>149</v>
      </c>
      <c r="F569" s="3" t="s">
        <v>34</v>
      </c>
      <c r="G569" s="3" t="s">
        <v>145</v>
      </c>
      <c r="H569" s="3" t="s">
        <v>783</v>
      </c>
      <c r="I569" s="6">
        <v>991.76</v>
      </c>
      <c r="J569" s="4">
        <v>3</v>
      </c>
      <c r="K569" s="6">
        <v>-347.12</v>
      </c>
    </row>
    <row r="570" spans="1:11" x14ac:dyDescent="0.3">
      <c r="A570" s="7">
        <v>41796</v>
      </c>
      <c r="B570" s="4">
        <f>YEAR(SalesData[[#This Row],[Order Date]])</f>
        <v>2014</v>
      </c>
      <c r="C570" s="4">
        <f>MONTH(SalesData[[#This Row],[Order Date]])</f>
        <v>6</v>
      </c>
      <c r="D570" s="3" t="s">
        <v>784</v>
      </c>
      <c r="E570" s="3" t="s">
        <v>15</v>
      </c>
      <c r="F570" s="3" t="s">
        <v>11</v>
      </c>
      <c r="G570" s="3" t="s">
        <v>20</v>
      </c>
      <c r="H570" s="3" t="s">
        <v>485</v>
      </c>
      <c r="I570" s="6">
        <v>24.59</v>
      </c>
      <c r="J570" s="4">
        <v>3</v>
      </c>
      <c r="K570" s="6">
        <v>-38.11</v>
      </c>
    </row>
    <row r="571" spans="1:11" x14ac:dyDescent="0.3">
      <c r="A571" s="7">
        <v>41796</v>
      </c>
      <c r="B571" s="4">
        <f>YEAR(SalesData[[#This Row],[Order Date]])</f>
        <v>2014</v>
      </c>
      <c r="C571" s="4">
        <f>MONTH(SalesData[[#This Row],[Order Date]])</f>
        <v>6</v>
      </c>
      <c r="D571" s="3" t="s">
        <v>784</v>
      </c>
      <c r="E571" s="3" t="s">
        <v>15</v>
      </c>
      <c r="F571" s="3" t="s">
        <v>11</v>
      </c>
      <c r="G571" s="3" t="s">
        <v>63</v>
      </c>
      <c r="H571" s="3" t="s">
        <v>785</v>
      </c>
      <c r="I571" s="6">
        <v>13.98</v>
      </c>
      <c r="J571" s="4">
        <v>2</v>
      </c>
      <c r="K571" s="6">
        <v>4.72</v>
      </c>
    </row>
    <row r="572" spans="1:11" x14ac:dyDescent="0.3">
      <c r="A572" s="7">
        <v>41796</v>
      </c>
      <c r="B572" s="4">
        <f>YEAR(SalesData[[#This Row],[Order Date]])</f>
        <v>2014</v>
      </c>
      <c r="C572" s="4">
        <f>MONTH(SalesData[[#This Row],[Order Date]])</f>
        <v>6</v>
      </c>
      <c r="D572" s="3" t="s">
        <v>786</v>
      </c>
      <c r="E572" s="3" t="s">
        <v>10</v>
      </c>
      <c r="F572" s="3" t="s">
        <v>11</v>
      </c>
      <c r="G572" s="3" t="s">
        <v>16</v>
      </c>
      <c r="H572" s="3" t="s">
        <v>89</v>
      </c>
      <c r="I572" s="6">
        <v>100.24</v>
      </c>
      <c r="J572" s="4">
        <v>10</v>
      </c>
      <c r="K572" s="6">
        <v>33.83</v>
      </c>
    </row>
    <row r="573" spans="1:11" x14ac:dyDescent="0.3">
      <c r="A573" s="7">
        <v>41796</v>
      </c>
      <c r="B573" s="4">
        <f>YEAR(SalesData[[#This Row],[Order Date]])</f>
        <v>2014</v>
      </c>
      <c r="C573" s="4">
        <f>MONTH(SalesData[[#This Row],[Order Date]])</f>
        <v>6</v>
      </c>
      <c r="D573" s="3" t="s">
        <v>523</v>
      </c>
      <c r="E573" s="3" t="s">
        <v>123</v>
      </c>
      <c r="F573" s="3" t="s">
        <v>11</v>
      </c>
      <c r="G573" s="3" t="s">
        <v>20</v>
      </c>
      <c r="H573" s="3" t="s">
        <v>787</v>
      </c>
      <c r="I573" s="6">
        <v>1.37</v>
      </c>
      <c r="J573" s="4">
        <v>1</v>
      </c>
      <c r="K573" s="6">
        <v>-0.91</v>
      </c>
    </row>
    <row r="574" spans="1:11" x14ac:dyDescent="0.3">
      <c r="A574" s="7">
        <v>41796</v>
      </c>
      <c r="B574" s="4">
        <f>YEAR(SalesData[[#This Row],[Order Date]])</f>
        <v>2014</v>
      </c>
      <c r="C574" s="4">
        <f>MONTH(SalesData[[#This Row],[Order Date]])</f>
        <v>6</v>
      </c>
      <c r="D574" s="3" t="s">
        <v>523</v>
      </c>
      <c r="E574" s="3" t="s">
        <v>123</v>
      </c>
      <c r="F574" s="3" t="s">
        <v>11</v>
      </c>
      <c r="G574" s="3" t="s">
        <v>12</v>
      </c>
      <c r="H574" s="3" t="s">
        <v>713</v>
      </c>
      <c r="I574" s="6">
        <v>62.02</v>
      </c>
      <c r="J574" s="4">
        <v>2</v>
      </c>
      <c r="K574" s="6">
        <v>22.48</v>
      </c>
    </row>
    <row r="575" spans="1:11" x14ac:dyDescent="0.3">
      <c r="A575" s="7">
        <v>41797</v>
      </c>
      <c r="B575" s="4">
        <f>YEAR(SalesData[[#This Row],[Order Date]])</f>
        <v>2014</v>
      </c>
      <c r="C575" s="4">
        <f>MONTH(SalesData[[#This Row],[Order Date]])</f>
        <v>6</v>
      </c>
      <c r="D575" s="3" t="s">
        <v>788</v>
      </c>
      <c r="E575" s="3" t="s">
        <v>15</v>
      </c>
      <c r="F575" s="3" t="s">
        <v>11</v>
      </c>
      <c r="G575" s="3" t="s">
        <v>20</v>
      </c>
      <c r="H575" s="3" t="s">
        <v>781</v>
      </c>
      <c r="I575" s="6">
        <v>12.46</v>
      </c>
      <c r="J575" s="4">
        <v>3</v>
      </c>
      <c r="K575" s="6">
        <v>-20.56</v>
      </c>
    </row>
    <row r="576" spans="1:11" x14ac:dyDescent="0.3">
      <c r="A576" s="7">
        <v>41797</v>
      </c>
      <c r="B576" s="4">
        <f>YEAR(SalesData[[#This Row],[Order Date]])</f>
        <v>2014</v>
      </c>
      <c r="C576" s="4">
        <f>MONTH(SalesData[[#This Row],[Order Date]])</f>
        <v>6</v>
      </c>
      <c r="D576" s="3" t="s">
        <v>789</v>
      </c>
      <c r="E576" s="3" t="s">
        <v>15</v>
      </c>
      <c r="F576" s="3" t="s">
        <v>34</v>
      </c>
      <c r="G576" s="3" t="s">
        <v>145</v>
      </c>
      <c r="H576" s="3" t="s">
        <v>790</v>
      </c>
      <c r="I576" s="6">
        <v>268.94</v>
      </c>
      <c r="J576" s="4">
        <v>3</v>
      </c>
      <c r="K576" s="6">
        <v>-209.77</v>
      </c>
    </row>
    <row r="577" spans="1:11" x14ac:dyDescent="0.3">
      <c r="A577" s="7">
        <v>41798</v>
      </c>
      <c r="B577" s="4">
        <f>YEAR(SalesData[[#This Row],[Order Date]])</f>
        <v>2014</v>
      </c>
      <c r="C577" s="4">
        <f>MONTH(SalesData[[#This Row],[Order Date]])</f>
        <v>6</v>
      </c>
      <c r="D577" s="3" t="s">
        <v>791</v>
      </c>
      <c r="E577" s="3" t="s">
        <v>164</v>
      </c>
      <c r="F577" s="3" t="s">
        <v>34</v>
      </c>
      <c r="G577" s="3" t="s">
        <v>35</v>
      </c>
      <c r="H577" s="3" t="s">
        <v>792</v>
      </c>
      <c r="I577" s="6">
        <v>585.54999999999995</v>
      </c>
      <c r="J577" s="4">
        <v>3</v>
      </c>
      <c r="K577" s="6">
        <v>73.19</v>
      </c>
    </row>
    <row r="578" spans="1:11" x14ac:dyDescent="0.3">
      <c r="A578" s="7">
        <v>41798</v>
      </c>
      <c r="B578" s="4">
        <f>YEAR(SalesData[[#This Row],[Order Date]])</f>
        <v>2014</v>
      </c>
      <c r="C578" s="4">
        <f>MONTH(SalesData[[#This Row],[Order Date]])</f>
        <v>6</v>
      </c>
      <c r="D578" s="3" t="s">
        <v>445</v>
      </c>
      <c r="E578" s="3" t="s">
        <v>120</v>
      </c>
      <c r="F578" s="3" t="s">
        <v>34</v>
      </c>
      <c r="G578" s="3" t="s">
        <v>35</v>
      </c>
      <c r="H578" s="3" t="s">
        <v>793</v>
      </c>
      <c r="I578" s="6">
        <v>170.35</v>
      </c>
      <c r="J578" s="4">
        <v>3</v>
      </c>
      <c r="K578" s="6">
        <v>10.65</v>
      </c>
    </row>
    <row r="579" spans="1:11" x14ac:dyDescent="0.3">
      <c r="A579" s="7">
        <v>41798</v>
      </c>
      <c r="B579" s="4">
        <f>YEAR(SalesData[[#This Row],[Order Date]])</f>
        <v>2014</v>
      </c>
      <c r="C579" s="4">
        <f>MONTH(SalesData[[#This Row],[Order Date]])</f>
        <v>6</v>
      </c>
      <c r="D579" s="3" t="s">
        <v>794</v>
      </c>
      <c r="E579" s="3" t="s">
        <v>149</v>
      </c>
      <c r="F579" s="3" t="s">
        <v>11</v>
      </c>
      <c r="G579" s="3" t="s">
        <v>20</v>
      </c>
      <c r="H579" s="3" t="s">
        <v>737</v>
      </c>
      <c r="I579" s="6">
        <v>68.48</v>
      </c>
      <c r="J579" s="4">
        <v>2</v>
      </c>
      <c r="K579" s="6">
        <v>25.68</v>
      </c>
    </row>
    <row r="580" spans="1:11" x14ac:dyDescent="0.3">
      <c r="A580" s="7">
        <v>41798</v>
      </c>
      <c r="B580" s="4">
        <f>YEAR(SalesData[[#This Row],[Order Date]])</f>
        <v>2014</v>
      </c>
      <c r="C580" s="4">
        <f>MONTH(SalesData[[#This Row],[Order Date]])</f>
        <v>6</v>
      </c>
      <c r="D580" s="3" t="s">
        <v>794</v>
      </c>
      <c r="E580" s="3" t="s">
        <v>149</v>
      </c>
      <c r="F580" s="3" t="s">
        <v>11</v>
      </c>
      <c r="G580" s="3" t="s">
        <v>18</v>
      </c>
      <c r="H580" s="3" t="s">
        <v>795</v>
      </c>
      <c r="I580" s="6">
        <v>1676.88</v>
      </c>
      <c r="J580" s="4">
        <v>6</v>
      </c>
      <c r="K580" s="6">
        <v>83.84</v>
      </c>
    </row>
    <row r="581" spans="1:11" x14ac:dyDescent="0.3">
      <c r="A581" s="7">
        <v>41799</v>
      </c>
      <c r="B581" s="4">
        <f>YEAR(SalesData[[#This Row],[Order Date]])</f>
        <v>2014</v>
      </c>
      <c r="C581" s="4">
        <f>MONTH(SalesData[[#This Row],[Order Date]])</f>
        <v>6</v>
      </c>
      <c r="D581" s="3" t="s">
        <v>796</v>
      </c>
      <c r="E581" s="3" t="s">
        <v>27</v>
      </c>
      <c r="F581" s="3" t="s">
        <v>34</v>
      </c>
      <c r="G581" s="3" t="s">
        <v>47</v>
      </c>
      <c r="H581" s="3" t="s">
        <v>797</v>
      </c>
      <c r="I581" s="6">
        <v>48.86</v>
      </c>
      <c r="J581" s="4">
        <v>7</v>
      </c>
      <c r="K581" s="6">
        <v>14.17</v>
      </c>
    </row>
    <row r="582" spans="1:11" x14ac:dyDescent="0.3">
      <c r="A582" s="7">
        <v>41799</v>
      </c>
      <c r="B582" s="4">
        <f>YEAR(SalesData[[#This Row],[Order Date]])</f>
        <v>2014</v>
      </c>
      <c r="C582" s="4">
        <f>MONTH(SalesData[[#This Row],[Order Date]])</f>
        <v>6</v>
      </c>
      <c r="D582" s="3" t="s">
        <v>796</v>
      </c>
      <c r="E582" s="3" t="s">
        <v>27</v>
      </c>
      <c r="F582" s="3" t="s">
        <v>11</v>
      </c>
      <c r="G582" s="3" t="s">
        <v>24</v>
      </c>
      <c r="H582" s="3" t="s">
        <v>798</v>
      </c>
      <c r="I582" s="6">
        <v>7.28</v>
      </c>
      <c r="J582" s="4">
        <v>4</v>
      </c>
      <c r="K582" s="6">
        <v>1.97</v>
      </c>
    </row>
    <row r="583" spans="1:11" x14ac:dyDescent="0.3">
      <c r="A583" s="7">
        <v>41799</v>
      </c>
      <c r="B583" s="4">
        <f>YEAR(SalesData[[#This Row],[Order Date]])</f>
        <v>2014</v>
      </c>
      <c r="C583" s="4">
        <f>MONTH(SalesData[[#This Row],[Order Date]])</f>
        <v>6</v>
      </c>
      <c r="D583" s="3" t="s">
        <v>796</v>
      </c>
      <c r="E583" s="3" t="s">
        <v>27</v>
      </c>
      <c r="F583" s="3" t="s">
        <v>39</v>
      </c>
      <c r="G583" s="3" t="s">
        <v>40</v>
      </c>
      <c r="H583" s="3" t="s">
        <v>799</v>
      </c>
      <c r="I583" s="6">
        <v>907.15</v>
      </c>
      <c r="J583" s="4">
        <v>6</v>
      </c>
      <c r="K583" s="6">
        <v>90.72</v>
      </c>
    </row>
    <row r="584" spans="1:11" x14ac:dyDescent="0.3">
      <c r="A584" s="7">
        <v>41799</v>
      </c>
      <c r="B584" s="4">
        <f>YEAR(SalesData[[#This Row],[Order Date]])</f>
        <v>2014</v>
      </c>
      <c r="C584" s="4">
        <f>MONTH(SalesData[[#This Row],[Order Date]])</f>
        <v>6</v>
      </c>
      <c r="D584" s="3" t="s">
        <v>796</v>
      </c>
      <c r="E584" s="3" t="s">
        <v>27</v>
      </c>
      <c r="F584" s="3" t="s">
        <v>11</v>
      </c>
      <c r="G584" s="3" t="s">
        <v>20</v>
      </c>
      <c r="H584" s="3" t="s">
        <v>800</v>
      </c>
      <c r="I584" s="6">
        <v>18.5</v>
      </c>
      <c r="J584" s="4">
        <v>3</v>
      </c>
      <c r="K584" s="6">
        <v>5.78</v>
      </c>
    </row>
    <row r="585" spans="1:11" x14ac:dyDescent="0.3">
      <c r="A585" s="7">
        <v>41799</v>
      </c>
      <c r="B585" s="4">
        <f>YEAR(SalesData[[#This Row],[Order Date]])</f>
        <v>2014</v>
      </c>
      <c r="C585" s="4">
        <f>MONTH(SalesData[[#This Row],[Order Date]])</f>
        <v>6</v>
      </c>
      <c r="D585" s="3" t="s">
        <v>796</v>
      </c>
      <c r="E585" s="3" t="s">
        <v>27</v>
      </c>
      <c r="F585" s="3" t="s">
        <v>11</v>
      </c>
      <c r="G585" s="3" t="s">
        <v>92</v>
      </c>
      <c r="H585" s="3" t="s">
        <v>801</v>
      </c>
      <c r="I585" s="6">
        <v>114.9</v>
      </c>
      <c r="J585" s="4">
        <v>5</v>
      </c>
      <c r="K585" s="6">
        <v>34.47</v>
      </c>
    </row>
    <row r="586" spans="1:11" x14ac:dyDescent="0.3">
      <c r="A586" s="7">
        <v>41799</v>
      </c>
      <c r="B586" s="4">
        <f>YEAR(SalesData[[#This Row],[Order Date]])</f>
        <v>2014</v>
      </c>
      <c r="C586" s="4">
        <f>MONTH(SalesData[[#This Row],[Order Date]])</f>
        <v>6</v>
      </c>
      <c r="D586" s="3" t="s">
        <v>796</v>
      </c>
      <c r="E586" s="3" t="s">
        <v>27</v>
      </c>
      <c r="F586" s="3" t="s">
        <v>34</v>
      </c>
      <c r="G586" s="3" t="s">
        <v>145</v>
      </c>
      <c r="H586" s="3" t="s">
        <v>741</v>
      </c>
      <c r="I586" s="6">
        <v>1706.18</v>
      </c>
      <c r="J586" s="4">
        <v>9</v>
      </c>
      <c r="K586" s="6">
        <v>85.31</v>
      </c>
    </row>
    <row r="587" spans="1:11" x14ac:dyDescent="0.3">
      <c r="A587" s="7">
        <v>41799</v>
      </c>
      <c r="B587" s="4">
        <f>YEAR(SalesData[[#This Row],[Order Date]])</f>
        <v>2014</v>
      </c>
      <c r="C587" s="4">
        <f>MONTH(SalesData[[#This Row],[Order Date]])</f>
        <v>6</v>
      </c>
      <c r="D587" s="3" t="s">
        <v>796</v>
      </c>
      <c r="E587" s="3" t="s">
        <v>27</v>
      </c>
      <c r="F587" s="3" t="s">
        <v>39</v>
      </c>
      <c r="G587" s="3" t="s">
        <v>40</v>
      </c>
      <c r="H587" s="3" t="s">
        <v>802</v>
      </c>
      <c r="I587" s="6">
        <v>911.42</v>
      </c>
      <c r="J587" s="4">
        <v>4</v>
      </c>
      <c r="K587" s="6">
        <v>68.36</v>
      </c>
    </row>
    <row r="588" spans="1:11" x14ac:dyDescent="0.3">
      <c r="A588" s="7">
        <v>41799</v>
      </c>
      <c r="B588" s="4">
        <f>YEAR(SalesData[[#This Row],[Order Date]])</f>
        <v>2014</v>
      </c>
      <c r="C588" s="4">
        <f>MONTH(SalesData[[#This Row],[Order Date]])</f>
        <v>6</v>
      </c>
      <c r="D588" s="3" t="s">
        <v>803</v>
      </c>
      <c r="E588" s="3" t="s">
        <v>10</v>
      </c>
      <c r="F588" s="3" t="s">
        <v>39</v>
      </c>
      <c r="G588" s="3" t="s">
        <v>40</v>
      </c>
      <c r="H588" s="3" t="s">
        <v>597</v>
      </c>
      <c r="I588" s="6">
        <v>7.99</v>
      </c>
      <c r="J588" s="4">
        <v>1</v>
      </c>
      <c r="K588" s="6">
        <v>0.6</v>
      </c>
    </row>
    <row r="589" spans="1:11" x14ac:dyDescent="0.3">
      <c r="A589" s="7">
        <v>41799</v>
      </c>
      <c r="B589" s="4">
        <f>YEAR(SalesData[[#This Row],[Order Date]])</f>
        <v>2014</v>
      </c>
      <c r="C589" s="4">
        <f>MONTH(SalesData[[#This Row],[Order Date]])</f>
        <v>6</v>
      </c>
      <c r="D589" s="3" t="s">
        <v>803</v>
      </c>
      <c r="E589" s="3" t="s">
        <v>10</v>
      </c>
      <c r="F589" s="3" t="s">
        <v>39</v>
      </c>
      <c r="G589" s="3" t="s">
        <v>52</v>
      </c>
      <c r="H589" s="3" t="s">
        <v>804</v>
      </c>
      <c r="I589" s="6">
        <v>63.98</v>
      </c>
      <c r="J589" s="4">
        <v>2</v>
      </c>
      <c r="K589" s="6">
        <v>10.4</v>
      </c>
    </row>
    <row r="590" spans="1:11" x14ac:dyDescent="0.3">
      <c r="A590" s="7">
        <v>41799</v>
      </c>
      <c r="B590" s="4">
        <f>YEAR(SalesData[[#This Row],[Order Date]])</f>
        <v>2014</v>
      </c>
      <c r="C590" s="4">
        <f>MONTH(SalesData[[#This Row],[Order Date]])</f>
        <v>6</v>
      </c>
      <c r="D590" s="3" t="s">
        <v>803</v>
      </c>
      <c r="E590" s="3" t="s">
        <v>10</v>
      </c>
      <c r="F590" s="3" t="s">
        <v>11</v>
      </c>
      <c r="G590" s="3" t="s">
        <v>24</v>
      </c>
      <c r="H590" s="3" t="s">
        <v>805</v>
      </c>
      <c r="I590" s="6">
        <v>70.37</v>
      </c>
      <c r="J590" s="4">
        <v>2</v>
      </c>
      <c r="K590" s="6">
        <v>6.16</v>
      </c>
    </row>
    <row r="591" spans="1:11" x14ac:dyDescent="0.3">
      <c r="A591" s="7">
        <v>41799</v>
      </c>
      <c r="B591" s="4">
        <f>YEAR(SalesData[[#This Row],[Order Date]])</f>
        <v>2014</v>
      </c>
      <c r="C591" s="4">
        <f>MONTH(SalesData[[#This Row],[Order Date]])</f>
        <v>6</v>
      </c>
      <c r="D591" s="3" t="s">
        <v>806</v>
      </c>
      <c r="E591" s="3" t="s">
        <v>27</v>
      </c>
      <c r="F591" s="3" t="s">
        <v>11</v>
      </c>
      <c r="G591" s="3" t="s">
        <v>200</v>
      </c>
      <c r="H591" s="3" t="s">
        <v>807</v>
      </c>
      <c r="I591" s="6">
        <v>7.36</v>
      </c>
      <c r="J591" s="4">
        <v>2</v>
      </c>
      <c r="K591" s="6">
        <v>0.15</v>
      </c>
    </row>
    <row r="592" spans="1:11" x14ac:dyDescent="0.3">
      <c r="A592" s="7">
        <v>41799</v>
      </c>
      <c r="B592" s="4">
        <f>YEAR(SalesData[[#This Row],[Order Date]])</f>
        <v>2014</v>
      </c>
      <c r="C592" s="4">
        <f>MONTH(SalesData[[#This Row],[Order Date]])</f>
        <v>6</v>
      </c>
      <c r="D592" s="3" t="s">
        <v>806</v>
      </c>
      <c r="E592" s="3" t="s">
        <v>27</v>
      </c>
      <c r="F592" s="3" t="s">
        <v>11</v>
      </c>
      <c r="G592" s="3" t="s">
        <v>24</v>
      </c>
      <c r="H592" s="3" t="s">
        <v>808</v>
      </c>
      <c r="I592" s="6">
        <v>23.1</v>
      </c>
      <c r="J592" s="4">
        <v>2</v>
      </c>
      <c r="K592" s="6">
        <v>10.63</v>
      </c>
    </row>
    <row r="593" spans="1:11" x14ac:dyDescent="0.3">
      <c r="A593" s="7">
        <v>41799</v>
      </c>
      <c r="B593" s="4">
        <f>YEAR(SalesData[[#This Row],[Order Date]])</f>
        <v>2014</v>
      </c>
      <c r="C593" s="4">
        <f>MONTH(SalesData[[#This Row],[Order Date]])</f>
        <v>6</v>
      </c>
      <c r="D593" s="3" t="s">
        <v>809</v>
      </c>
      <c r="E593" s="3" t="s">
        <v>55</v>
      </c>
      <c r="F593" s="3" t="s">
        <v>34</v>
      </c>
      <c r="G593" s="3" t="s">
        <v>145</v>
      </c>
      <c r="H593" s="3" t="s">
        <v>810</v>
      </c>
      <c r="I593" s="6">
        <v>1441.3</v>
      </c>
      <c r="J593" s="4">
        <v>7</v>
      </c>
      <c r="K593" s="6">
        <v>245.02</v>
      </c>
    </row>
    <row r="594" spans="1:11" x14ac:dyDescent="0.3">
      <c r="A594" s="7">
        <v>41799</v>
      </c>
      <c r="B594" s="4">
        <f>YEAR(SalesData[[#This Row],[Order Date]])</f>
        <v>2014</v>
      </c>
      <c r="C594" s="4">
        <f>MONTH(SalesData[[#This Row],[Order Date]])</f>
        <v>6</v>
      </c>
      <c r="D594" s="3" t="s">
        <v>355</v>
      </c>
      <c r="E594" s="3" t="s">
        <v>126</v>
      </c>
      <c r="F594" s="3" t="s">
        <v>11</v>
      </c>
      <c r="G594" s="3" t="s">
        <v>24</v>
      </c>
      <c r="H594" s="3" t="s">
        <v>811</v>
      </c>
      <c r="I594" s="6">
        <v>18.059999999999999</v>
      </c>
      <c r="J594" s="4">
        <v>7</v>
      </c>
      <c r="K594" s="6">
        <v>4.7</v>
      </c>
    </row>
    <row r="595" spans="1:11" x14ac:dyDescent="0.3">
      <c r="A595" s="7">
        <v>41799</v>
      </c>
      <c r="B595" s="4">
        <f>YEAR(SalesData[[#This Row],[Order Date]])</f>
        <v>2014</v>
      </c>
      <c r="C595" s="4">
        <f>MONTH(SalesData[[#This Row],[Order Date]])</f>
        <v>6</v>
      </c>
      <c r="D595" s="3" t="s">
        <v>355</v>
      </c>
      <c r="E595" s="3" t="s">
        <v>126</v>
      </c>
      <c r="F595" s="3" t="s">
        <v>11</v>
      </c>
      <c r="G595" s="3" t="s">
        <v>12</v>
      </c>
      <c r="H595" s="3" t="s">
        <v>335</v>
      </c>
      <c r="I595" s="6">
        <v>79.14</v>
      </c>
      <c r="J595" s="4">
        <v>3</v>
      </c>
      <c r="K595" s="6">
        <v>36.4</v>
      </c>
    </row>
    <row r="596" spans="1:11" x14ac:dyDescent="0.3">
      <c r="A596" s="7">
        <v>41799</v>
      </c>
      <c r="B596" s="4">
        <f>YEAR(SalesData[[#This Row],[Order Date]])</f>
        <v>2014</v>
      </c>
      <c r="C596" s="4">
        <f>MONTH(SalesData[[#This Row],[Order Date]])</f>
        <v>6</v>
      </c>
      <c r="D596" s="3" t="s">
        <v>355</v>
      </c>
      <c r="E596" s="3" t="s">
        <v>126</v>
      </c>
      <c r="F596" s="3" t="s">
        <v>34</v>
      </c>
      <c r="G596" s="3" t="s">
        <v>47</v>
      </c>
      <c r="H596" s="3" t="s">
        <v>812</v>
      </c>
      <c r="I596" s="6">
        <v>37.4</v>
      </c>
      <c r="J596" s="4">
        <v>2</v>
      </c>
      <c r="K596" s="6">
        <v>14.21</v>
      </c>
    </row>
    <row r="597" spans="1:11" x14ac:dyDescent="0.3">
      <c r="A597" s="7">
        <v>41800</v>
      </c>
      <c r="B597" s="4">
        <f>YEAR(SalesData[[#This Row],[Order Date]])</f>
        <v>2014</v>
      </c>
      <c r="C597" s="4">
        <f>MONTH(SalesData[[#This Row],[Order Date]])</f>
        <v>6</v>
      </c>
      <c r="D597" s="3" t="s">
        <v>813</v>
      </c>
      <c r="E597" s="3" t="s">
        <v>110</v>
      </c>
      <c r="F597" s="3" t="s">
        <v>11</v>
      </c>
      <c r="G597" s="3" t="s">
        <v>16</v>
      </c>
      <c r="H597" s="3" t="s">
        <v>814</v>
      </c>
      <c r="I597" s="6">
        <v>491.55</v>
      </c>
      <c r="J597" s="4">
        <v>5</v>
      </c>
      <c r="K597" s="6">
        <v>240.86</v>
      </c>
    </row>
    <row r="598" spans="1:11" x14ac:dyDescent="0.3">
      <c r="A598" s="7">
        <v>41803</v>
      </c>
      <c r="B598" s="4">
        <f>YEAR(SalesData[[#This Row],[Order Date]])</f>
        <v>2014</v>
      </c>
      <c r="C598" s="4">
        <f>MONTH(SalesData[[#This Row],[Order Date]])</f>
        <v>6</v>
      </c>
      <c r="D598" s="3" t="s">
        <v>285</v>
      </c>
      <c r="E598" s="3" t="s">
        <v>27</v>
      </c>
      <c r="F598" s="3" t="s">
        <v>11</v>
      </c>
      <c r="G598" s="3" t="s">
        <v>24</v>
      </c>
      <c r="H598" s="3" t="s">
        <v>207</v>
      </c>
      <c r="I598" s="6">
        <v>14.52</v>
      </c>
      <c r="J598" s="4">
        <v>3</v>
      </c>
      <c r="K598" s="6">
        <v>4.79</v>
      </c>
    </row>
    <row r="599" spans="1:11" x14ac:dyDescent="0.3">
      <c r="A599" s="7">
        <v>41804</v>
      </c>
      <c r="B599" s="4">
        <f>YEAR(SalesData[[#This Row],[Order Date]])</f>
        <v>2014</v>
      </c>
      <c r="C599" s="4">
        <f>MONTH(SalesData[[#This Row],[Order Date]])</f>
        <v>6</v>
      </c>
      <c r="D599" s="3" t="s">
        <v>815</v>
      </c>
      <c r="E599" s="3" t="s">
        <v>110</v>
      </c>
      <c r="F599" s="3" t="s">
        <v>34</v>
      </c>
      <c r="G599" s="3" t="s">
        <v>74</v>
      </c>
      <c r="H599" s="3" t="s">
        <v>816</v>
      </c>
      <c r="I599" s="6">
        <v>212.94</v>
      </c>
      <c r="J599" s="4">
        <v>3</v>
      </c>
      <c r="K599" s="6">
        <v>57.49</v>
      </c>
    </row>
    <row r="600" spans="1:11" x14ac:dyDescent="0.3">
      <c r="A600" s="7">
        <v>41805</v>
      </c>
      <c r="B600" s="4">
        <f>YEAR(SalesData[[#This Row],[Order Date]])</f>
        <v>2014</v>
      </c>
      <c r="C600" s="4">
        <f>MONTH(SalesData[[#This Row],[Order Date]])</f>
        <v>6</v>
      </c>
      <c r="D600" s="3" t="s">
        <v>817</v>
      </c>
      <c r="E600" s="3" t="s">
        <v>10</v>
      </c>
      <c r="F600" s="3" t="s">
        <v>34</v>
      </c>
      <c r="G600" s="3" t="s">
        <v>145</v>
      </c>
      <c r="H600" s="3" t="s">
        <v>818</v>
      </c>
      <c r="I600" s="6">
        <v>99.92</v>
      </c>
      <c r="J600" s="4">
        <v>2</v>
      </c>
      <c r="K600" s="6">
        <v>-18.559999999999999</v>
      </c>
    </row>
    <row r="601" spans="1:11" x14ac:dyDescent="0.3">
      <c r="A601" s="7">
        <v>41805</v>
      </c>
      <c r="B601" s="4">
        <f>YEAR(SalesData[[#This Row],[Order Date]])</f>
        <v>2014</v>
      </c>
      <c r="C601" s="4">
        <f>MONTH(SalesData[[#This Row],[Order Date]])</f>
        <v>6</v>
      </c>
      <c r="D601" s="3" t="s">
        <v>817</v>
      </c>
      <c r="E601" s="3" t="s">
        <v>10</v>
      </c>
      <c r="F601" s="3" t="s">
        <v>34</v>
      </c>
      <c r="G601" s="3" t="s">
        <v>35</v>
      </c>
      <c r="H601" s="3" t="s">
        <v>294</v>
      </c>
      <c r="I601" s="6">
        <v>797.94</v>
      </c>
      <c r="J601" s="4">
        <v>4</v>
      </c>
      <c r="K601" s="6">
        <v>-57</v>
      </c>
    </row>
    <row r="602" spans="1:11" x14ac:dyDescent="0.3">
      <c r="A602" s="7">
        <v>41805</v>
      </c>
      <c r="B602" s="4">
        <f>YEAR(SalesData[[#This Row],[Order Date]])</f>
        <v>2014</v>
      </c>
      <c r="C602" s="4">
        <f>MONTH(SalesData[[#This Row],[Order Date]])</f>
        <v>6</v>
      </c>
      <c r="D602" s="3" t="s">
        <v>817</v>
      </c>
      <c r="E602" s="3" t="s">
        <v>10</v>
      </c>
      <c r="F602" s="3" t="s">
        <v>11</v>
      </c>
      <c r="G602" s="3" t="s">
        <v>20</v>
      </c>
      <c r="H602" s="3" t="s">
        <v>819</v>
      </c>
      <c r="I602" s="6">
        <v>8.57</v>
      </c>
      <c r="J602" s="4">
        <v>3</v>
      </c>
      <c r="K602" s="6">
        <v>-14.57</v>
      </c>
    </row>
    <row r="603" spans="1:11" x14ac:dyDescent="0.3">
      <c r="A603" s="7">
        <v>41805</v>
      </c>
      <c r="B603" s="4">
        <f>YEAR(SalesData[[#This Row],[Order Date]])</f>
        <v>2014</v>
      </c>
      <c r="C603" s="4">
        <f>MONTH(SalesData[[#This Row],[Order Date]])</f>
        <v>6</v>
      </c>
      <c r="D603" s="3" t="s">
        <v>820</v>
      </c>
      <c r="E603" s="3" t="s">
        <v>10</v>
      </c>
      <c r="F603" s="3" t="s">
        <v>11</v>
      </c>
      <c r="G603" s="3" t="s">
        <v>12</v>
      </c>
      <c r="H603" s="3" t="s">
        <v>821</v>
      </c>
      <c r="I603" s="6">
        <v>36.54</v>
      </c>
      <c r="J603" s="4">
        <v>2</v>
      </c>
      <c r="K603" s="6">
        <v>11.88</v>
      </c>
    </row>
    <row r="604" spans="1:11" x14ac:dyDescent="0.3">
      <c r="A604" s="7">
        <v>41806</v>
      </c>
      <c r="B604" s="4">
        <f>YEAR(SalesData[[#This Row],[Order Date]])</f>
        <v>2014</v>
      </c>
      <c r="C604" s="4">
        <f>MONTH(SalesData[[#This Row],[Order Date]])</f>
        <v>6</v>
      </c>
      <c r="D604" s="3" t="s">
        <v>822</v>
      </c>
      <c r="E604" s="3" t="s">
        <v>129</v>
      </c>
      <c r="F604" s="3" t="s">
        <v>34</v>
      </c>
      <c r="G604" s="3" t="s">
        <v>35</v>
      </c>
      <c r="H604" s="3" t="s">
        <v>194</v>
      </c>
      <c r="I604" s="6">
        <v>647.84</v>
      </c>
      <c r="J604" s="4">
        <v>8</v>
      </c>
      <c r="K604" s="6">
        <v>32.39</v>
      </c>
    </row>
    <row r="605" spans="1:11" x14ac:dyDescent="0.3">
      <c r="A605" s="7">
        <v>41806</v>
      </c>
      <c r="B605" s="4">
        <f>YEAR(SalesData[[#This Row],[Order Date]])</f>
        <v>2014</v>
      </c>
      <c r="C605" s="4">
        <f>MONTH(SalesData[[#This Row],[Order Date]])</f>
        <v>6</v>
      </c>
      <c r="D605" s="3" t="s">
        <v>280</v>
      </c>
      <c r="E605" s="3" t="s">
        <v>149</v>
      </c>
      <c r="F605" s="3" t="s">
        <v>11</v>
      </c>
      <c r="G605" s="3" t="s">
        <v>63</v>
      </c>
      <c r="H605" s="3" t="s">
        <v>64</v>
      </c>
      <c r="I605" s="6">
        <v>41.4</v>
      </c>
      <c r="J605" s="4">
        <v>5</v>
      </c>
      <c r="K605" s="6">
        <v>19.46</v>
      </c>
    </row>
    <row r="606" spans="1:11" x14ac:dyDescent="0.3">
      <c r="A606" s="7">
        <v>41806</v>
      </c>
      <c r="B606" s="4">
        <f>YEAR(SalesData[[#This Row],[Order Date]])</f>
        <v>2014</v>
      </c>
      <c r="C606" s="4">
        <f>MONTH(SalesData[[#This Row],[Order Date]])</f>
        <v>6</v>
      </c>
      <c r="D606" s="3" t="s">
        <v>280</v>
      </c>
      <c r="E606" s="3" t="s">
        <v>149</v>
      </c>
      <c r="F606" s="3" t="s">
        <v>11</v>
      </c>
      <c r="G606" s="3" t="s">
        <v>24</v>
      </c>
      <c r="H606" s="3" t="s">
        <v>823</v>
      </c>
      <c r="I606" s="6">
        <v>35</v>
      </c>
      <c r="J606" s="4">
        <v>4</v>
      </c>
      <c r="K606" s="6">
        <v>10.5</v>
      </c>
    </row>
    <row r="607" spans="1:11" x14ac:dyDescent="0.3">
      <c r="A607" s="7">
        <v>41806</v>
      </c>
      <c r="B607" s="4">
        <f>YEAR(SalesData[[#This Row],[Order Date]])</f>
        <v>2014</v>
      </c>
      <c r="C607" s="4">
        <f>MONTH(SalesData[[#This Row],[Order Date]])</f>
        <v>6</v>
      </c>
      <c r="D607" s="3" t="s">
        <v>280</v>
      </c>
      <c r="E607" s="3" t="s">
        <v>149</v>
      </c>
      <c r="F607" s="3" t="s">
        <v>11</v>
      </c>
      <c r="G607" s="3" t="s">
        <v>20</v>
      </c>
      <c r="H607" s="3" t="s">
        <v>469</v>
      </c>
      <c r="I607" s="6">
        <v>39.549999999999997</v>
      </c>
      <c r="J607" s="4">
        <v>3</v>
      </c>
      <c r="K607" s="6">
        <v>14.34</v>
      </c>
    </row>
    <row r="608" spans="1:11" x14ac:dyDescent="0.3">
      <c r="A608" s="7">
        <v>41807</v>
      </c>
      <c r="B608" s="4">
        <f>YEAR(SalesData[[#This Row],[Order Date]])</f>
        <v>2014</v>
      </c>
      <c r="C608" s="4">
        <f>MONTH(SalesData[[#This Row],[Order Date]])</f>
        <v>6</v>
      </c>
      <c r="D608" s="3" t="s">
        <v>824</v>
      </c>
      <c r="E608" s="3" t="s">
        <v>59</v>
      </c>
      <c r="F608" s="3" t="s">
        <v>39</v>
      </c>
      <c r="G608" s="3" t="s">
        <v>302</v>
      </c>
      <c r="H608" s="3" t="s">
        <v>825</v>
      </c>
      <c r="I608" s="6">
        <v>65.97</v>
      </c>
      <c r="J608" s="4">
        <v>3</v>
      </c>
      <c r="K608" s="6">
        <v>31.01</v>
      </c>
    </row>
    <row r="609" spans="1:11" x14ac:dyDescent="0.3">
      <c r="A609" s="7">
        <v>41807</v>
      </c>
      <c r="B609" s="4">
        <f>YEAR(SalesData[[#This Row],[Order Date]])</f>
        <v>2014</v>
      </c>
      <c r="C609" s="4">
        <f>MONTH(SalesData[[#This Row],[Order Date]])</f>
        <v>6</v>
      </c>
      <c r="D609" s="3" t="s">
        <v>826</v>
      </c>
      <c r="E609" s="3" t="s">
        <v>164</v>
      </c>
      <c r="F609" s="3" t="s">
        <v>34</v>
      </c>
      <c r="G609" s="3" t="s">
        <v>47</v>
      </c>
      <c r="H609" s="3" t="s">
        <v>281</v>
      </c>
      <c r="I609" s="6">
        <v>6.24</v>
      </c>
      <c r="J609" s="4">
        <v>3</v>
      </c>
      <c r="K609" s="6">
        <v>2.62</v>
      </c>
    </row>
    <row r="610" spans="1:11" x14ac:dyDescent="0.3">
      <c r="A610" s="7">
        <v>41807</v>
      </c>
      <c r="B610" s="4">
        <f>YEAR(SalesData[[#This Row],[Order Date]])</f>
        <v>2014</v>
      </c>
      <c r="C610" s="4">
        <f>MONTH(SalesData[[#This Row],[Order Date]])</f>
        <v>6</v>
      </c>
      <c r="D610" s="3" t="s">
        <v>826</v>
      </c>
      <c r="E610" s="3" t="s">
        <v>164</v>
      </c>
      <c r="F610" s="3" t="s">
        <v>11</v>
      </c>
      <c r="G610" s="3" t="s">
        <v>43</v>
      </c>
      <c r="H610" s="3" t="s">
        <v>827</v>
      </c>
      <c r="I610" s="6">
        <v>17.899999999999999</v>
      </c>
      <c r="J610" s="4">
        <v>5</v>
      </c>
      <c r="K610" s="6">
        <v>8.9499999999999993</v>
      </c>
    </row>
    <row r="611" spans="1:11" x14ac:dyDescent="0.3">
      <c r="A611" s="7">
        <v>41807</v>
      </c>
      <c r="B611" s="4">
        <f>YEAR(SalesData[[#This Row],[Order Date]])</f>
        <v>2014</v>
      </c>
      <c r="C611" s="4">
        <f>MONTH(SalesData[[#This Row],[Order Date]])</f>
        <v>6</v>
      </c>
      <c r="D611" s="3" t="s">
        <v>826</v>
      </c>
      <c r="E611" s="3" t="s">
        <v>164</v>
      </c>
      <c r="F611" s="3" t="s">
        <v>11</v>
      </c>
      <c r="G611" s="3" t="s">
        <v>20</v>
      </c>
      <c r="H611" s="3" t="s">
        <v>828</v>
      </c>
      <c r="I611" s="6">
        <v>3266.38</v>
      </c>
      <c r="J611" s="4">
        <v>3</v>
      </c>
      <c r="K611" s="6">
        <v>1061.57</v>
      </c>
    </row>
    <row r="612" spans="1:11" x14ac:dyDescent="0.3">
      <c r="A612" s="7">
        <v>41807</v>
      </c>
      <c r="B612" s="4">
        <f>YEAR(SalesData[[#This Row],[Order Date]])</f>
        <v>2014</v>
      </c>
      <c r="C612" s="4">
        <f>MONTH(SalesData[[#This Row],[Order Date]])</f>
        <v>6</v>
      </c>
      <c r="D612" s="3" t="s">
        <v>829</v>
      </c>
      <c r="E612" s="3" t="s">
        <v>15</v>
      </c>
      <c r="F612" s="3" t="s">
        <v>11</v>
      </c>
      <c r="G612" s="3" t="s">
        <v>12</v>
      </c>
      <c r="H612" s="3" t="s">
        <v>830</v>
      </c>
      <c r="I612" s="6">
        <v>62.02</v>
      </c>
      <c r="J612" s="4">
        <v>2</v>
      </c>
      <c r="K612" s="6">
        <v>22.48</v>
      </c>
    </row>
    <row r="613" spans="1:11" x14ac:dyDescent="0.3">
      <c r="A613" s="7">
        <v>41808</v>
      </c>
      <c r="B613" s="4">
        <f>YEAR(SalesData[[#This Row],[Order Date]])</f>
        <v>2014</v>
      </c>
      <c r="C613" s="4">
        <f>MONTH(SalesData[[#This Row],[Order Date]])</f>
        <v>6</v>
      </c>
      <c r="D613" s="3" t="s">
        <v>831</v>
      </c>
      <c r="E613" s="3" t="s">
        <v>27</v>
      </c>
      <c r="F613" s="3" t="s">
        <v>39</v>
      </c>
      <c r="G613" s="3" t="s">
        <v>40</v>
      </c>
      <c r="H613" s="3" t="s">
        <v>832</v>
      </c>
      <c r="I613" s="6">
        <v>139.80000000000001</v>
      </c>
      <c r="J613" s="4">
        <v>5</v>
      </c>
      <c r="K613" s="6">
        <v>12.23</v>
      </c>
    </row>
    <row r="614" spans="1:11" x14ac:dyDescent="0.3">
      <c r="A614" s="7">
        <v>41810</v>
      </c>
      <c r="B614" s="4">
        <f>YEAR(SalesData[[#This Row],[Order Date]])</f>
        <v>2014</v>
      </c>
      <c r="C614" s="4">
        <f>MONTH(SalesData[[#This Row],[Order Date]])</f>
        <v>6</v>
      </c>
      <c r="D614" s="3" t="s">
        <v>252</v>
      </c>
      <c r="E614" s="3" t="s">
        <v>10</v>
      </c>
      <c r="F614" s="3" t="s">
        <v>39</v>
      </c>
      <c r="G614" s="3" t="s">
        <v>40</v>
      </c>
      <c r="H614" s="3" t="s">
        <v>833</v>
      </c>
      <c r="I614" s="6">
        <v>201.58</v>
      </c>
      <c r="J614" s="4">
        <v>2</v>
      </c>
      <c r="K614" s="6">
        <v>20.16</v>
      </c>
    </row>
    <row r="615" spans="1:11" x14ac:dyDescent="0.3">
      <c r="A615" s="7">
        <v>41810</v>
      </c>
      <c r="B615" s="4">
        <f>YEAR(SalesData[[#This Row],[Order Date]])</f>
        <v>2014</v>
      </c>
      <c r="C615" s="4">
        <f>MONTH(SalesData[[#This Row],[Order Date]])</f>
        <v>6</v>
      </c>
      <c r="D615" s="3" t="s">
        <v>252</v>
      </c>
      <c r="E615" s="3" t="s">
        <v>10</v>
      </c>
      <c r="F615" s="3" t="s">
        <v>11</v>
      </c>
      <c r="G615" s="3" t="s">
        <v>20</v>
      </c>
      <c r="H615" s="3" t="s">
        <v>834</v>
      </c>
      <c r="I615" s="6">
        <v>3.39</v>
      </c>
      <c r="J615" s="4">
        <v>4</v>
      </c>
      <c r="K615" s="6">
        <v>-5.09</v>
      </c>
    </row>
    <row r="616" spans="1:11" x14ac:dyDescent="0.3">
      <c r="A616" s="7">
        <v>41810</v>
      </c>
      <c r="B616" s="4">
        <f>YEAR(SalesData[[#This Row],[Order Date]])</f>
        <v>2014</v>
      </c>
      <c r="C616" s="4">
        <f>MONTH(SalesData[[#This Row],[Order Date]])</f>
        <v>6</v>
      </c>
      <c r="D616" s="3" t="s">
        <v>252</v>
      </c>
      <c r="E616" s="3" t="s">
        <v>10</v>
      </c>
      <c r="F616" s="3" t="s">
        <v>34</v>
      </c>
      <c r="G616" s="3" t="s">
        <v>74</v>
      </c>
      <c r="H616" s="3" t="s">
        <v>835</v>
      </c>
      <c r="I616" s="6">
        <v>193.07</v>
      </c>
      <c r="J616" s="4">
        <v>4</v>
      </c>
      <c r="K616" s="6">
        <v>-19.87</v>
      </c>
    </row>
    <row r="617" spans="1:11" x14ac:dyDescent="0.3">
      <c r="A617" s="7">
        <v>41810</v>
      </c>
      <c r="B617" s="4">
        <f>YEAR(SalesData[[#This Row],[Order Date]])</f>
        <v>2014</v>
      </c>
      <c r="C617" s="4">
        <f>MONTH(SalesData[[#This Row],[Order Date]])</f>
        <v>6</v>
      </c>
      <c r="D617" s="3" t="s">
        <v>252</v>
      </c>
      <c r="E617" s="3" t="s">
        <v>10</v>
      </c>
      <c r="F617" s="3" t="s">
        <v>11</v>
      </c>
      <c r="G617" s="3" t="s">
        <v>12</v>
      </c>
      <c r="H617" s="3" t="s">
        <v>836</v>
      </c>
      <c r="I617" s="6">
        <v>15.55</v>
      </c>
      <c r="J617" s="4">
        <v>3</v>
      </c>
      <c r="K617" s="6">
        <v>5.44</v>
      </c>
    </row>
    <row r="618" spans="1:11" x14ac:dyDescent="0.3">
      <c r="A618" s="7">
        <v>41810</v>
      </c>
      <c r="B618" s="4">
        <f>YEAR(SalesData[[#This Row],[Order Date]])</f>
        <v>2014</v>
      </c>
      <c r="C618" s="4">
        <f>MONTH(SalesData[[#This Row],[Order Date]])</f>
        <v>6</v>
      </c>
      <c r="D618" s="3" t="s">
        <v>252</v>
      </c>
      <c r="E618" s="3" t="s">
        <v>10</v>
      </c>
      <c r="F618" s="3" t="s">
        <v>11</v>
      </c>
      <c r="G618" s="3" t="s">
        <v>12</v>
      </c>
      <c r="H618" s="3" t="s">
        <v>240</v>
      </c>
      <c r="I618" s="6">
        <v>11.65</v>
      </c>
      <c r="J618" s="4">
        <v>2</v>
      </c>
      <c r="K618" s="6">
        <v>4.08</v>
      </c>
    </row>
    <row r="619" spans="1:11" x14ac:dyDescent="0.3">
      <c r="A619" s="7">
        <v>41810</v>
      </c>
      <c r="B619" s="4">
        <f>YEAR(SalesData[[#This Row],[Order Date]])</f>
        <v>2014</v>
      </c>
      <c r="C619" s="4">
        <f>MONTH(SalesData[[#This Row],[Order Date]])</f>
        <v>6</v>
      </c>
      <c r="D619" s="3" t="s">
        <v>252</v>
      </c>
      <c r="E619" s="3" t="s">
        <v>10</v>
      </c>
      <c r="F619" s="3" t="s">
        <v>39</v>
      </c>
      <c r="G619" s="3" t="s">
        <v>302</v>
      </c>
      <c r="H619" s="3" t="s">
        <v>837</v>
      </c>
      <c r="I619" s="6">
        <v>418.8</v>
      </c>
      <c r="J619" s="4">
        <v>2</v>
      </c>
      <c r="K619" s="6">
        <v>-97.72</v>
      </c>
    </row>
    <row r="620" spans="1:11" x14ac:dyDescent="0.3">
      <c r="A620" s="7">
        <v>41810</v>
      </c>
      <c r="B620" s="4">
        <f>YEAR(SalesData[[#This Row],[Order Date]])</f>
        <v>2014</v>
      </c>
      <c r="C620" s="4">
        <f>MONTH(SalesData[[#This Row],[Order Date]])</f>
        <v>6</v>
      </c>
      <c r="D620" s="3" t="s">
        <v>252</v>
      </c>
      <c r="E620" s="3" t="s">
        <v>10</v>
      </c>
      <c r="F620" s="3" t="s">
        <v>11</v>
      </c>
      <c r="G620" s="3" t="s">
        <v>18</v>
      </c>
      <c r="H620" s="3" t="s">
        <v>838</v>
      </c>
      <c r="I620" s="6">
        <v>509.49</v>
      </c>
      <c r="J620" s="4">
        <v>7</v>
      </c>
      <c r="K620" s="6">
        <v>-127.37</v>
      </c>
    </row>
    <row r="621" spans="1:11" x14ac:dyDescent="0.3">
      <c r="A621" s="7">
        <v>41810</v>
      </c>
      <c r="B621" s="4">
        <f>YEAR(SalesData[[#This Row],[Order Date]])</f>
        <v>2014</v>
      </c>
      <c r="C621" s="4">
        <f>MONTH(SalesData[[#This Row],[Order Date]])</f>
        <v>6</v>
      </c>
      <c r="D621" s="3" t="s">
        <v>839</v>
      </c>
      <c r="E621" s="3" t="s">
        <v>840</v>
      </c>
      <c r="F621" s="3" t="s">
        <v>11</v>
      </c>
      <c r="G621" s="3" t="s">
        <v>92</v>
      </c>
      <c r="H621" s="3" t="s">
        <v>746</v>
      </c>
      <c r="I621" s="6">
        <v>471.9</v>
      </c>
      <c r="J621" s="4">
        <v>6</v>
      </c>
      <c r="K621" s="6">
        <v>155.72999999999999</v>
      </c>
    </row>
    <row r="622" spans="1:11" x14ac:dyDescent="0.3">
      <c r="A622" s="7">
        <v>41810</v>
      </c>
      <c r="B622" s="4">
        <f>YEAR(SalesData[[#This Row],[Order Date]])</f>
        <v>2014</v>
      </c>
      <c r="C622" s="4">
        <f>MONTH(SalesData[[#This Row],[Order Date]])</f>
        <v>6</v>
      </c>
      <c r="D622" s="3" t="s">
        <v>839</v>
      </c>
      <c r="E622" s="3" t="s">
        <v>840</v>
      </c>
      <c r="F622" s="3" t="s">
        <v>11</v>
      </c>
      <c r="G622" s="3" t="s">
        <v>24</v>
      </c>
      <c r="H622" s="3" t="s">
        <v>841</v>
      </c>
      <c r="I622" s="6">
        <v>3.52</v>
      </c>
      <c r="J622" s="4">
        <v>2</v>
      </c>
      <c r="K622" s="6">
        <v>1.69</v>
      </c>
    </row>
    <row r="623" spans="1:11" x14ac:dyDescent="0.3">
      <c r="A623" s="7">
        <v>41811</v>
      </c>
      <c r="B623" s="4">
        <f>YEAR(SalesData[[#This Row],[Order Date]])</f>
        <v>2014</v>
      </c>
      <c r="C623" s="4">
        <f>MONTH(SalesData[[#This Row],[Order Date]])</f>
        <v>6</v>
      </c>
      <c r="D623" s="3" t="s">
        <v>667</v>
      </c>
      <c r="E623" s="3" t="s">
        <v>55</v>
      </c>
      <c r="F623" s="3" t="s">
        <v>34</v>
      </c>
      <c r="G623" s="3" t="s">
        <v>47</v>
      </c>
      <c r="H623" s="3" t="s">
        <v>842</v>
      </c>
      <c r="I623" s="6">
        <v>104.01</v>
      </c>
      <c r="J623" s="4">
        <v>1</v>
      </c>
      <c r="K623" s="6">
        <v>14.56</v>
      </c>
    </row>
    <row r="624" spans="1:11" x14ac:dyDescent="0.3">
      <c r="A624" s="7">
        <v>41811</v>
      </c>
      <c r="B624" s="4">
        <f>YEAR(SalesData[[#This Row],[Order Date]])</f>
        <v>2014</v>
      </c>
      <c r="C624" s="4">
        <f>MONTH(SalesData[[#This Row],[Order Date]])</f>
        <v>6</v>
      </c>
      <c r="D624" s="3" t="s">
        <v>667</v>
      </c>
      <c r="E624" s="3" t="s">
        <v>55</v>
      </c>
      <c r="F624" s="3" t="s">
        <v>39</v>
      </c>
      <c r="G624" s="3" t="s">
        <v>40</v>
      </c>
      <c r="H624" s="3" t="s">
        <v>802</v>
      </c>
      <c r="I624" s="6">
        <v>284.82</v>
      </c>
      <c r="J624" s="4">
        <v>1</v>
      </c>
      <c r="K624" s="6">
        <v>74.05</v>
      </c>
    </row>
    <row r="625" spans="1:11" x14ac:dyDescent="0.3">
      <c r="A625" s="7">
        <v>41811</v>
      </c>
      <c r="B625" s="4">
        <f>YEAR(SalesData[[#This Row],[Order Date]])</f>
        <v>2014</v>
      </c>
      <c r="C625" s="4">
        <f>MONTH(SalesData[[#This Row],[Order Date]])</f>
        <v>6</v>
      </c>
      <c r="D625" s="3" t="s">
        <v>667</v>
      </c>
      <c r="E625" s="3" t="s">
        <v>55</v>
      </c>
      <c r="F625" s="3" t="s">
        <v>11</v>
      </c>
      <c r="G625" s="3" t="s">
        <v>18</v>
      </c>
      <c r="H625" s="3" t="s">
        <v>843</v>
      </c>
      <c r="I625" s="6">
        <v>36.840000000000003</v>
      </c>
      <c r="J625" s="4">
        <v>3</v>
      </c>
      <c r="K625" s="6">
        <v>10.32</v>
      </c>
    </row>
    <row r="626" spans="1:11" x14ac:dyDescent="0.3">
      <c r="A626" s="7">
        <v>41811</v>
      </c>
      <c r="B626" s="4">
        <f>YEAR(SalesData[[#This Row],[Order Date]])</f>
        <v>2014</v>
      </c>
      <c r="C626" s="4">
        <f>MONTH(SalesData[[#This Row],[Order Date]])</f>
        <v>6</v>
      </c>
      <c r="D626" s="3" t="s">
        <v>227</v>
      </c>
      <c r="E626" s="3" t="s">
        <v>177</v>
      </c>
      <c r="F626" s="3" t="s">
        <v>39</v>
      </c>
      <c r="G626" s="3" t="s">
        <v>40</v>
      </c>
      <c r="H626" s="3" t="s">
        <v>42</v>
      </c>
      <c r="I626" s="6">
        <v>1322.93</v>
      </c>
      <c r="J626" s="4">
        <v>7</v>
      </c>
      <c r="K626" s="6">
        <v>357.19</v>
      </c>
    </row>
    <row r="627" spans="1:11" x14ac:dyDescent="0.3">
      <c r="A627" s="7">
        <v>41811</v>
      </c>
      <c r="B627" s="4">
        <f>YEAR(SalesData[[#This Row],[Order Date]])</f>
        <v>2014</v>
      </c>
      <c r="C627" s="4">
        <f>MONTH(SalesData[[#This Row],[Order Date]])</f>
        <v>6</v>
      </c>
      <c r="D627" s="3" t="s">
        <v>227</v>
      </c>
      <c r="E627" s="3" t="s">
        <v>177</v>
      </c>
      <c r="F627" s="3" t="s">
        <v>11</v>
      </c>
      <c r="G627" s="3" t="s">
        <v>24</v>
      </c>
      <c r="H627" s="3" t="s">
        <v>844</v>
      </c>
      <c r="I627" s="6">
        <v>3.76</v>
      </c>
      <c r="J627" s="4">
        <v>2</v>
      </c>
      <c r="K627" s="6">
        <v>1.0900000000000001</v>
      </c>
    </row>
    <row r="628" spans="1:11" x14ac:dyDescent="0.3">
      <c r="A628" s="7">
        <v>41811</v>
      </c>
      <c r="B628" s="4">
        <f>YEAR(SalesData[[#This Row],[Order Date]])</f>
        <v>2014</v>
      </c>
      <c r="C628" s="4">
        <f>MONTH(SalesData[[#This Row],[Order Date]])</f>
        <v>6</v>
      </c>
      <c r="D628" s="3" t="s">
        <v>655</v>
      </c>
      <c r="E628" s="3" t="s">
        <v>613</v>
      </c>
      <c r="F628" s="3" t="s">
        <v>11</v>
      </c>
      <c r="G628" s="3" t="s">
        <v>24</v>
      </c>
      <c r="H628" s="3" t="s">
        <v>845</v>
      </c>
      <c r="I628" s="6">
        <v>21.4</v>
      </c>
      <c r="J628" s="4">
        <v>5</v>
      </c>
      <c r="K628" s="6">
        <v>6.21</v>
      </c>
    </row>
    <row r="629" spans="1:11" x14ac:dyDescent="0.3">
      <c r="A629" s="7">
        <v>41811</v>
      </c>
      <c r="B629" s="4">
        <f>YEAR(SalesData[[#This Row],[Order Date]])</f>
        <v>2014</v>
      </c>
      <c r="C629" s="4">
        <f>MONTH(SalesData[[#This Row],[Order Date]])</f>
        <v>6</v>
      </c>
      <c r="D629" s="3" t="s">
        <v>523</v>
      </c>
      <c r="E629" s="3" t="s">
        <v>278</v>
      </c>
      <c r="F629" s="3" t="s">
        <v>11</v>
      </c>
      <c r="G629" s="3" t="s">
        <v>20</v>
      </c>
      <c r="H629" s="3" t="s">
        <v>846</v>
      </c>
      <c r="I629" s="6">
        <v>11.09</v>
      </c>
      <c r="J629" s="4">
        <v>7</v>
      </c>
      <c r="K629" s="6">
        <v>-8.1300000000000008</v>
      </c>
    </row>
    <row r="630" spans="1:11" x14ac:dyDescent="0.3">
      <c r="A630" s="7">
        <v>41811</v>
      </c>
      <c r="B630" s="4">
        <f>YEAR(SalesData[[#This Row],[Order Date]])</f>
        <v>2014</v>
      </c>
      <c r="C630" s="4">
        <f>MONTH(SalesData[[#This Row],[Order Date]])</f>
        <v>6</v>
      </c>
      <c r="D630" s="3" t="s">
        <v>523</v>
      </c>
      <c r="E630" s="3" t="s">
        <v>278</v>
      </c>
      <c r="F630" s="3" t="s">
        <v>11</v>
      </c>
      <c r="G630" s="3" t="s">
        <v>20</v>
      </c>
      <c r="H630" s="3" t="s">
        <v>847</v>
      </c>
      <c r="I630" s="6">
        <v>25.16</v>
      </c>
      <c r="J630" s="4">
        <v>2</v>
      </c>
      <c r="K630" s="6">
        <v>-16.78</v>
      </c>
    </row>
    <row r="631" spans="1:11" x14ac:dyDescent="0.3">
      <c r="A631" s="7">
        <v>41811</v>
      </c>
      <c r="B631" s="4">
        <f>YEAR(SalesData[[#This Row],[Order Date]])</f>
        <v>2014</v>
      </c>
      <c r="C631" s="4">
        <f>MONTH(SalesData[[#This Row],[Order Date]])</f>
        <v>6</v>
      </c>
      <c r="D631" s="3" t="s">
        <v>848</v>
      </c>
      <c r="E631" s="3" t="s">
        <v>23</v>
      </c>
      <c r="F631" s="3" t="s">
        <v>11</v>
      </c>
      <c r="G631" s="3" t="s">
        <v>63</v>
      </c>
      <c r="H631" s="3" t="s">
        <v>64</v>
      </c>
      <c r="I631" s="6">
        <v>24.9</v>
      </c>
      <c r="J631" s="4">
        <v>4</v>
      </c>
      <c r="K631" s="6">
        <v>8.4</v>
      </c>
    </row>
    <row r="632" spans="1:11" x14ac:dyDescent="0.3">
      <c r="A632" s="7">
        <v>41811</v>
      </c>
      <c r="B632" s="4">
        <f>YEAR(SalesData[[#This Row],[Order Date]])</f>
        <v>2014</v>
      </c>
      <c r="C632" s="4">
        <f>MONTH(SalesData[[#This Row],[Order Date]])</f>
        <v>6</v>
      </c>
      <c r="D632" s="3" t="s">
        <v>848</v>
      </c>
      <c r="E632" s="3" t="s">
        <v>23</v>
      </c>
      <c r="F632" s="3" t="s">
        <v>34</v>
      </c>
      <c r="G632" s="3" t="s">
        <v>47</v>
      </c>
      <c r="H632" s="3" t="s">
        <v>849</v>
      </c>
      <c r="I632" s="6">
        <v>3.98</v>
      </c>
      <c r="J632" s="4">
        <v>1</v>
      </c>
      <c r="K632" s="6">
        <v>0.65</v>
      </c>
    </row>
    <row r="633" spans="1:11" x14ac:dyDescent="0.3">
      <c r="A633" s="7">
        <v>41811</v>
      </c>
      <c r="B633" s="4">
        <f>YEAR(SalesData[[#This Row],[Order Date]])</f>
        <v>2014</v>
      </c>
      <c r="C633" s="4">
        <f>MONTH(SalesData[[#This Row],[Order Date]])</f>
        <v>6</v>
      </c>
      <c r="D633" s="3" t="s">
        <v>848</v>
      </c>
      <c r="E633" s="3" t="s">
        <v>23</v>
      </c>
      <c r="F633" s="3" t="s">
        <v>39</v>
      </c>
      <c r="G633" s="3" t="s">
        <v>52</v>
      </c>
      <c r="H633" s="3" t="s">
        <v>84</v>
      </c>
      <c r="I633" s="6">
        <v>95.97</v>
      </c>
      <c r="J633" s="4">
        <v>4</v>
      </c>
      <c r="K633" s="6">
        <v>28.79</v>
      </c>
    </row>
    <row r="634" spans="1:11" x14ac:dyDescent="0.3">
      <c r="A634" s="7">
        <v>41811</v>
      </c>
      <c r="B634" s="4">
        <f>YEAR(SalesData[[#This Row],[Order Date]])</f>
        <v>2014</v>
      </c>
      <c r="C634" s="4">
        <f>MONTH(SalesData[[#This Row],[Order Date]])</f>
        <v>6</v>
      </c>
      <c r="D634" s="3" t="s">
        <v>848</v>
      </c>
      <c r="E634" s="3" t="s">
        <v>23</v>
      </c>
      <c r="F634" s="3" t="s">
        <v>39</v>
      </c>
      <c r="G634" s="3" t="s">
        <v>302</v>
      </c>
      <c r="H634" s="3" t="s">
        <v>850</v>
      </c>
      <c r="I634" s="6">
        <v>206.99</v>
      </c>
      <c r="J634" s="4">
        <v>3</v>
      </c>
      <c r="K634" s="6">
        <v>-172.49</v>
      </c>
    </row>
    <row r="635" spans="1:11" x14ac:dyDescent="0.3">
      <c r="A635" s="7">
        <v>41811</v>
      </c>
      <c r="B635" s="4">
        <f>YEAR(SalesData[[#This Row],[Order Date]])</f>
        <v>2014</v>
      </c>
      <c r="C635" s="4">
        <f>MONTH(SalesData[[#This Row],[Order Date]])</f>
        <v>6</v>
      </c>
      <c r="D635" s="3" t="s">
        <v>848</v>
      </c>
      <c r="E635" s="3" t="s">
        <v>23</v>
      </c>
      <c r="F635" s="3" t="s">
        <v>11</v>
      </c>
      <c r="G635" s="3" t="s">
        <v>92</v>
      </c>
      <c r="H635" s="3" t="s">
        <v>851</v>
      </c>
      <c r="I635" s="6">
        <v>44.42</v>
      </c>
      <c r="J635" s="4">
        <v>2</v>
      </c>
      <c r="K635" s="6">
        <v>3.89</v>
      </c>
    </row>
    <row r="636" spans="1:11" x14ac:dyDescent="0.3">
      <c r="A636" s="7">
        <v>41811</v>
      </c>
      <c r="B636" s="4">
        <f>YEAR(SalesData[[#This Row],[Order Date]])</f>
        <v>2014</v>
      </c>
      <c r="C636" s="4">
        <f>MONTH(SalesData[[#This Row],[Order Date]])</f>
        <v>6</v>
      </c>
      <c r="D636" s="3" t="s">
        <v>848</v>
      </c>
      <c r="E636" s="3" t="s">
        <v>23</v>
      </c>
      <c r="F636" s="3" t="s">
        <v>11</v>
      </c>
      <c r="G636" s="3" t="s">
        <v>20</v>
      </c>
      <c r="H636" s="3" t="s">
        <v>852</v>
      </c>
      <c r="I636" s="6">
        <v>9.01</v>
      </c>
      <c r="J636" s="4">
        <v>2</v>
      </c>
      <c r="K636" s="6">
        <v>-7.2</v>
      </c>
    </row>
    <row r="637" spans="1:11" x14ac:dyDescent="0.3">
      <c r="A637" s="7">
        <v>41811</v>
      </c>
      <c r="B637" s="4">
        <f>YEAR(SalesData[[#This Row],[Order Date]])</f>
        <v>2014</v>
      </c>
      <c r="C637" s="4">
        <f>MONTH(SalesData[[#This Row],[Order Date]])</f>
        <v>6</v>
      </c>
      <c r="D637" s="3" t="s">
        <v>853</v>
      </c>
      <c r="E637" s="3" t="s">
        <v>149</v>
      </c>
      <c r="F637" s="3" t="s">
        <v>11</v>
      </c>
      <c r="G637" s="3" t="s">
        <v>12</v>
      </c>
      <c r="H637" s="3" t="s">
        <v>854</v>
      </c>
      <c r="I637" s="6">
        <v>19.649999999999999</v>
      </c>
      <c r="J637" s="4">
        <v>3</v>
      </c>
      <c r="K637" s="6">
        <v>9.0399999999999991</v>
      </c>
    </row>
    <row r="638" spans="1:11" x14ac:dyDescent="0.3">
      <c r="A638" s="7">
        <v>41811</v>
      </c>
      <c r="B638" s="4">
        <f>YEAR(SalesData[[#This Row],[Order Date]])</f>
        <v>2014</v>
      </c>
      <c r="C638" s="4">
        <f>MONTH(SalesData[[#This Row],[Order Date]])</f>
        <v>6</v>
      </c>
      <c r="D638" s="3" t="s">
        <v>853</v>
      </c>
      <c r="E638" s="3" t="s">
        <v>149</v>
      </c>
      <c r="F638" s="3" t="s">
        <v>39</v>
      </c>
      <c r="G638" s="3" t="s">
        <v>40</v>
      </c>
      <c r="H638" s="3" t="s">
        <v>855</v>
      </c>
      <c r="I638" s="6">
        <v>617.97</v>
      </c>
      <c r="J638" s="4">
        <v>3</v>
      </c>
      <c r="K638" s="6">
        <v>160.66999999999999</v>
      </c>
    </row>
    <row r="639" spans="1:11" x14ac:dyDescent="0.3">
      <c r="A639" s="7">
        <v>41811</v>
      </c>
      <c r="B639" s="4">
        <f>YEAR(SalesData[[#This Row],[Order Date]])</f>
        <v>2014</v>
      </c>
      <c r="C639" s="4">
        <f>MONTH(SalesData[[#This Row],[Order Date]])</f>
        <v>6</v>
      </c>
      <c r="D639" s="3" t="s">
        <v>853</v>
      </c>
      <c r="E639" s="3" t="s">
        <v>149</v>
      </c>
      <c r="F639" s="3" t="s">
        <v>11</v>
      </c>
      <c r="G639" s="3" t="s">
        <v>92</v>
      </c>
      <c r="H639" s="3" t="s">
        <v>206</v>
      </c>
      <c r="I639" s="6">
        <v>59.7</v>
      </c>
      <c r="J639" s="4">
        <v>3</v>
      </c>
      <c r="K639" s="6">
        <v>26.87</v>
      </c>
    </row>
    <row r="640" spans="1:11" x14ac:dyDescent="0.3">
      <c r="A640" s="7">
        <v>41811</v>
      </c>
      <c r="B640" s="4">
        <f>YEAR(SalesData[[#This Row],[Order Date]])</f>
        <v>2014</v>
      </c>
      <c r="C640" s="4">
        <f>MONTH(SalesData[[#This Row],[Order Date]])</f>
        <v>6</v>
      </c>
      <c r="D640" s="3" t="s">
        <v>742</v>
      </c>
      <c r="E640" s="3" t="s">
        <v>149</v>
      </c>
      <c r="F640" s="3" t="s">
        <v>39</v>
      </c>
      <c r="G640" s="3" t="s">
        <v>40</v>
      </c>
      <c r="H640" s="3" t="s">
        <v>856</v>
      </c>
      <c r="I640" s="6">
        <v>1214.8499999999999</v>
      </c>
      <c r="J640" s="4">
        <v>3</v>
      </c>
      <c r="K640" s="6">
        <v>352.31</v>
      </c>
    </row>
    <row r="641" spans="1:11" x14ac:dyDescent="0.3">
      <c r="A641" s="7">
        <v>41812</v>
      </c>
      <c r="B641" s="4">
        <f>YEAR(SalesData[[#This Row],[Order Date]])</f>
        <v>2014</v>
      </c>
      <c r="C641" s="4">
        <f>MONTH(SalesData[[#This Row],[Order Date]])</f>
        <v>6</v>
      </c>
      <c r="D641" s="3" t="s">
        <v>857</v>
      </c>
      <c r="E641" s="3" t="s">
        <v>278</v>
      </c>
      <c r="F641" s="3" t="s">
        <v>39</v>
      </c>
      <c r="G641" s="3" t="s">
        <v>52</v>
      </c>
      <c r="H641" s="3" t="s">
        <v>858</v>
      </c>
      <c r="I641" s="6">
        <v>196.75</v>
      </c>
      <c r="J641" s="4">
        <v>6</v>
      </c>
      <c r="K641" s="6">
        <v>56.57</v>
      </c>
    </row>
    <row r="642" spans="1:11" x14ac:dyDescent="0.3">
      <c r="A642" s="7">
        <v>41812</v>
      </c>
      <c r="B642" s="4">
        <f>YEAR(SalesData[[#This Row],[Order Date]])</f>
        <v>2014</v>
      </c>
      <c r="C642" s="4">
        <f>MONTH(SalesData[[#This Row],[Order Date]])</f>
        <v>6</v>
      </c>
      <c r="D642" s="3" t="s">
        <v>859</v>
      </c>
      <c r="E642" s="3" t="s">
        <v>315</v>
      </c>
      <c r="F642" s="3" t="s">
        <v>11</v>
      </c>
      <c r="G642" s="3" t="s">
        <v>18</v>
      </c>
      <c r="H642" s="3" t="s">
        <v>860</v>
      </c>
      <c r="I642" s="6">
        <v>501.81</v>
      </c>
      <c r="J642" s="4">
        <v>3</v>
      </c>
      <c r="K642" s="6">
        <v>0</v>
      </c>
    </row>
    <row r="643" spans="1:11" x14ac:dyDescent="0.3">
      <c r="A643" s="7">
        <v>41812</v>
      </c>
      <c r="B643" s="4">
        <f>YEAR(SalesData[[#This Row],[Order Date]])</f>
        <v>2014</v>
      </c>
      <c r="C643" s="4">
        <f>MONTH(SalesData[[#This Row],[Order Date]])</f>
        <v>6</v>
      </c>
      <c r="D643" s="3" t="s">
        <v>859</v>
      </c>
      <c r="E643" s="3" t="s">
        <v>315</v>
      </c>
      <c r="F643" s="3" t="s">
        <v>11</v>
      </c>
      <c r="G643" s="3" t="s">
        <v>18</v>
      </c>
      <c r="H643" s="3" t="s">
        <v>236</v>
      </c>
      <c r="I643" s="6">
        <v>161.94</v>
      </c>
      <c r="J643" s="4">
        <v>3</v>
      </c>
      <c r="K643" s="6">
        <v>9.7200000000000006</v>
      </c>
    </row>
    <row r="644" spans="1:11" x14ac:dyDescent="0.3">
      <c r="A644" s="7">
        <v>41812</v>
      </c>
      <c r="B644" s="4">
        <f>YEAR(SalesData[[#This Row],[Order Date]])</f>
        <v>2014</v>
      </c>
      <c r="C644" s="4">
        <f>MONTH(SalesData[[#This Row],[Order Date]])</f>
        <v>6</v>
      </c>
      <c r="D644" s="3" t="s">
        <v>861</v>
      </c>
      <c r="E644" s="3" t="s">
        <v>23</v>
      </c>
      <c r="F644" s="3" t="s">
        <v>34</v>
      </c>
      <c r="G644" s="3" t="s">
        <v>35</v>
      </c>
      <c r="H644" s="3" t="s">
        <v>862</v>
      </c>
      <c r="I644" s="6">
        <v>170.06</v>
      </c>
      <c r="J644" s="4">
        <v>3</v>
      </c>
      <c r="K644" s="6">
        <v>-4.8600000000000003</v>
      </c>
    </row>
    <row r="645" spans="1:11" x14ac:dyDescent="0.3">
      <c r="A645" s="7">
        <v>41812</v>
      </c>
      <c r="B645" s="4">
        <f>YEAR(SalesData[[#This Row],[Order Date]])</f>
        <v>2014</v>
      </c>
      <c r="C645" s="4">
        <f>MONTH(SalesData[[#This Row],[Order Date]])</f>
        <v>6</v>
      </c>
      <c r="D645" s="3" t="s">
        <v>861</v>
      </c>
      <c r="E645" s="3" t="s">
        <v>23</v>
      </c>
      <c r="F645" s="3" t="s">
        <v>39</v>
      </c>
      <c r="G645" s="3" t="s">
        <v>40</v>
      </c>
      <c r="H645" s="3" t="s">
        <v>863</v>
      </c>
      <c r="I645" s="6">
        <v>82.78</v>
      </c>
      <c r="J645" s="4">
        <v>3</v>
      </c>
      <c r="K645" s="6">
        <v>-15.18</v>
      </c>
    </row>
    <row r="646" spans="1:11" x14ac:dyDescent="0.3">
      <c r="A646" s="7">
        <v>41812</v>
      </c>
      <c r="B646" s="4">
        <f>YEAR(SalesData[[#This Row],[Order Date]])</f>
        <v>2014</v>
      </c>
      <c r="C646" s="4">
        <f>MONTH(SalesData[[#This Row],[Order Date]])</f>
        <v>6</v>
      </c>
      <c r="D646" s="3" t="s">
        <v>861</v>
      </c>
      <c r="E646" s="3" t="s">
        <v>23</v>
      </c>
      <c r="F646" s="3" t="s">
        <v>34</v>
      </c>
      <c r="G646" s="3" t="s">
        <v>35</v>
      </c>
      <c r="H646" s="3" t="s">
        <v>864</v>
      </c>
      <c r="I646" s="6">
        <v>853.93</v>
      </c>
      <c r="J646" s="4">
        <v>5</v>
      </c>
      <c r="K646" s="6">
        <v>0</v>
      </c>
    </row>
    <row r="647" spans="1:11" x14ac:dyDescent="0.3">
      <c r="A647" s="7">
        <v>41812</v>
      </c>
      <c r="B647" s="4">
        <f>YEAR(SalesData[[#This Row],[Order Date]])</f>
        <v>2014</v>
      </c>
      <c r="C647" s="4">
        <f>MONTH(SalesData[[#This Row],[Order Date]])</f>
        <v>6</v>
      </c>
      <c r="D647" s="3" t="s">
        <v>853</v>
      </c>
      <c r="E647" s="3" t="s">
        <v>95</v>
      </c>
      <c r="F647" s="3" t="s">
        <v>11</v>
      </c>
      <c r="G647" s="3" t="s">
        <v>20</v>
      </c>
      <c r="H647" s="3" t="s">
        <v>865</v>
      </c>
      <c r="I647" s="6">
        <v>8.23</v>
      </c>
      <c r="J647" s="4">
        <v>3</v>
      </c>
      <c r="K647" s="6">
        <v>-6.03</v>
      </c>
    </row>
    <row r="648" spans="1:11" x14ac:dyDescent="0.3">
      <c r="A648" s="7">
        <v>41813</v>
      </c>
      <c r="B648" s="4">
        <f>YEAR(SalesData[[#This Row],[Order Date]])</f>
        <v>2014</v>
      </c>
      <c r="C648" s="4">
        <f>MONTH(SalesData[[#This Row],[Order Date]])</f>
        <v>6</v>
      </c>
      <c r="D648" s="3" t="s">
        <v>866</v>
      </c>
      <c r="E648" s="3" t="s">
        <v>23</v>
      </c>
      <c r="F648" s="3" t="s">
        <v>39</v>
      </c>
      <c r="G648" s="3" t="s">
        <v>52</v>
      </c>
      <c r="H648" s="3" t="s">
        <v>867</v>
      </c>
      <c r="I648" s="6">
        <v>86.38</v>
      </c>
      <c r="J648" s="4">
        <v>3</v>
      </c>
      <c r="K648" s="6">
        <v>1.08</v>
      </c>
    </row>
    <row r="649" spans="1:11" x14ac:dyDescent="0.3">
      <c r="A649" s="7">
        <v>41813</v>
      </c>
      <c r="B649" s="4">
        <f>YEAR(SalesData[[#This Row],[Order Date]])</f>
        <v>2014</v>
      </c>
      <c r="C649" s="4">
        <f>MONTH(SalesData[[#This Row],[Order Date]])</f>
        <v>6</v>
      </c>
      <c r="D649" s="3" t="s">
        <v>868</v>
      </c>
      <c r="E649" s="3" t="s">
        <v>245</v>
      </c>
      <c r="F649" s="3" t="s">
        <v>11</v>
      </c>
      <c r="G649" s="3" t="s">
        <v>24</v>
      </c>
      <c r="H649" s="3" t="s">
        <v>869</v>
      </c>
      <c r="I649" s="6">
        <v>20.02</v>
      </c>
      <c r="J649" s="4">
        <v>9</v>
      </c>
      <c r="K649" s="6">
        <v>1.75</v>
      </c>
    </row>
    <row r="650" spans="1:11" x14ac:dyDescent="0.3">
      <c r="A650" s="7">
        <v>41813</v>
      </c>
      <c r="B650" s="4">
        <f>YEAR(SalesData[[#This Row],[Order Date]])</f>
        <v>2014</v>
      </c>
      <c r="C650" s="4">
        <f>MONTH(SalesData[[#This Row],[Order Date]])</f>
        <v>6</v>
      </c>
      <c r="D650" s="3" t="s">
        <v>868</v>
      </c>
      <c r="E650" s="3" t="s">
        <v>245</v>
      </c>
      <c r="F650" s="3" t="s">
        <v>11</v>
      </c>
      <c r="G650" s="3" t="s">
        <v>200</v>
      </c>
      <c r="H650" s="3" t="s">
        <v>870</v>
      </c>
      <c r="I650" s="6">
        <v>3.1</v>
      </c>
      <c r="J650" s="4">
        <v>1</v>
      </c>
      <c r="K650" s="6">
        <v>0.35</v>
      </c>
    </row>
    <row r="651" spans="1:11" x14ac:dyDescent="0.3">
      <c r="A651" s="7">
        <v>41814</v>
      </c>
      <c r="B651" s="4">
        <f>YEAR(SalesData[[#This Row],[Order Date]])</f>
        <v>2014</v>
      </c>
      <c r="C651" s="4">
        <f>MONTH(SalesData[[#This Row],[Order Date]])</f>
        <v>6</v>
      </c>
      <c r="D651" s="3" t="s">
        <v>871</v>
      </c>
      <c r="E651" s="3" t="s">
        <v>95</v>
      </c>
      <c r="F651" s="3" t="s">
        <v>34</v>
      </c>
      <c r="G651" s="3" t="s">
        <v>47</v>
      </c>
      <c r="H651" s="3" t="s">
        <v>872</v>
      </c>
      <c r="I651" s="6">
        <v>4.2699999999999996</v>
      </c>
      <c r="J651" s="4">
        <v>2</v>
      </c>
      <c r="K651" s="6">
        <v>0.96</v>
      </c>
    </row>
    <row r="652" spans="1:11" x14ac:dyDescent="0.3">
      <c r="A652" s="7">
        <v>41815</v>
      </c>
      <c r="B652" s="4">
        <f>YEAR(SalesData[[#This Row],[Order Date]])</f>
        <v>2014</v>
      </c>
      <c r="C652" s="4">
        <f>MONTH(SalesData[[#This Row],[Order Date]])</f>
        <v>6</v>
      </c>
      <c r="D652" s="3" t="s">
        <v>873</v>
      </c>
      <c r="E652" s="3" t="s">
        <v>27</v>
      </c>
      <c r="F652" s="3" t="s">
        <v>34</v>
      </c>
      <c r="G652" s="3" t="s">
        <v>145</v>
      </c>
      <c r="H652" s="3" t="s">
        <v>874</v>
      </c>
      <c r="I652" s="6">
        <v>447.84</v>
      </c>
      <c r="J652" s="4">
        <v>5</v>
      </c>
      <c r="K652" s="6">
        <v>11.2</v>
      </c>
    </row>
    <row r="653" spans="1:11" x14ac:dyDescent="0.3">
      <c r="A653" s="7">
        <v>41815</v>
      </c>
      <c r="B653" s="4">
        <f>YEAR(SalesData[[#This Row],[Order Date]])</f>
        <v>2014</v>
      </c>
      <c r="C653" s="4">
        <f>MONTH(SalesData[[#This Row],[Order Date]])</f>
        <v>6</v>
      </c>
      <c r="D653" s="3" t="s">
        <v>875</v>
      </c>
      <c r="E653" s="3" t="s">
        <v>91</v>
      </c>
      <c r="F653" s="3" t="s">
        <v>39</v>
      </c>
      <c r="G653" s="3" t="s">
        <v>40</v>
      </c>
      <c r="H653" s="3" t="s">
        <v>876</v>
      </c>
      <c r="I653" s="6">
        <v>263.95999999999998</v>
      </c>
      <c r="J653" s="4">
        <v>5</v>
      </c>
      <c r="K653" s="6">
        <v>19.8</v>
      </c>
    </row>
    <row r="654" spans="1:11" x14ac:dyDescent="0.3">
      <c r="A654" s="7">
        <v>41815</v>
      </c>
      <c r="B654" s="4">
        <f>YEAR(SalesData[[#This Row],[Order Date]])</f>
        <v>2014</v>
      </c>
      <c r="C654" s="4">
        <f>MONTH(SalesData[[#This Row],[Order Date]])</f>
        <v>6</v>
      </c>
      <c r="D654" s="3" t="s">
        <v>875</v>
      </c>
      <c r="E654" s="3" t="s">
        <v>91</v>
      </c>
      <c r="F654" s="3" t="s">
        <v>11</v>
      </c>
      <c r="G654" s="3" t="s">
        <v>24</v>
      </c>
      <c r="H654" s="3" t="s">
        <v>25</v>
      </c>
      <c r="I654" s="6">
        <v>71.63</v>
      </c>
      <c r="J654" s="4">
        <v>11</v>
      </c>
      <c r="K654" s="6">
        <v>17.91</v>
      </c>
    </row>
    <row r="655" spans="1:11" x14ac:dyDescent="0.3">
      <c r="A655" s="7">
        <v>41815</v>
      </c>
      <c r="B655" s="4">
        <f>YEAR(SalesData[[#This Row],[Order Date]])</f>
        <v>2014</v>
      </c>
      <c r="C655" s="4">
        <f>MONTH(SalesData[[#This Row],[Order Date]])</f>
        <v>6</v>
      </c>
      <c r="D655" s="3" t="s">
        <v>875</v>
      </c>
      <c r="E655" s="3" t="s">
        <v>91</v>
      </c>
      <c r="F655" s="3" t="s">
        <v>11</v>
      </c>
      <c r="G655" s="3" t="s">
        <v>24</v>
      </c>
      <c r="H655" s="3" t="s">
        <v>877</v>
      </c>
      <c r="I655" s="6">
        <v>9.33</v>
      </c>
      <c r="J655" s="4">
        <v>1</v>
      </c>
      <c r="K655" s="6">
        <v>0.82</v>
      </c>
    </row>
    <row r="656" spans="1:11" x14ac:dyDescent="0.3">
      <c r="A656" s="7">
        <v>41817</v>
      </c>
      <c r="B656" s="4">
        <f>YEAR(SalesData[[#This Row],[Order Date]])</f>
        <v>2014</v>
      </c>
      <c r="C656" s="4">
        <f>MONTH(SalesData[[#This Row],[Order Date]])</f>
        <v>6</v>
      </c>
      <c r="D656" s="3" t="s">
        <v>878</v>
      </c>
      <c r="E656" s="3" t="s">
        <v>329</v>
      </c>
      <c r="F656" s="3" t="s">
        <v>11</v>
      </c>
      <c r="G656" s="3" t="s">
        <v>18</v>
      </c>
      <c r="H656" s="3" t="s">
        <v>133</v>
      </c>
      <c r="I656" s="6">
        <v>306.2</v>
      </c>
      <c r="J656" s="4">
        <v>5</v>
      </c>
      <c r="K656" s="6">
        <v>0</v>
      </c>
    </row>
    <row r="657" spans="1:11" x14ac:dyDescent="0.3">
      <c r="A657" s="7">
        <v>41817</v>
      </c>
      <c r="B657" s="4">
        <f>YEAR(SalesData[[#This Row],[Order Date]])</f>
        <v>2014</v>
      </c>
      <c r="C657" s="4">
        <f>MONTH(SalesData[[#This Row],[Order Date]])</f>
        <v>6</v>
      </c>
      <c r="D657" s="3" t="s">
        <v>878</v>
      </c>
      <c r="E657" s="3" t="s">
        <v>329</v>
      </c>
      <c r="F657" s="3" t="s">
        <v>34</v>
      </c>
      <c r="G657" s="3" t="s">
        <v>145</v>
      </c>
      <c r="H657" s="3" t="s">
        <v>473</v>
      </c>
      <c r="I657" s="6">
        <v>85.98</v>
      </c>
      <c r="J657" s="4">
        <v>1</v>
      </c>
      <c r="K657" s="6">
        <v>22.35</v>
      </c>
    </row>
    <row r="658" spans="1:11" x14ac:dyDescent="0.3">
      <c r="A658" s="7">
        <v>41817</v>
      </c>
      <c r="B658" s="4">
        <f>YEAR(SalesData[[#This Row],[Order Date]])</f>
        <v>2014</v>
      </c>
      <c r="C658" s="4">
        <f>MONTH(SalesData[[#This Row],[Order Date]])</f>
        <v>6</v>
      </c>
      <c r="D658" s="3" t="s">
        <v>878</v>
      </c>
      <c r="E658" s="3" t="s">
        <v>329</v>
      </c>
      <c r="F658" s="3" t="s">
        <v>39</v>
      </c>
      <c r="G658" s="3" t="s">
        <v>52</v>
      </c>
      <c r="H658" s="3" t="s">
        <v>636</v>
      </c>
      <c r="I658" s="6">
        <v>223.96</v>
      </c>
      <c r="J658" s="4">
        <v>4</v>
      </c>
      <c r="K658" s="6">
        <v>53.75</v>
      </c>
    </row>
    <row r="659" spans="1:11" x14ac:dyDescent="0.3">
      <c r="A659" s="7">
        <v>41818</v>
      </c>
      <c r="B659" s="4">
        <f>YEAR(SalesData[[#This Row],[Order Date]])</f>
        <v>2014</v>
      </c>
      <c r="C659" s="4">
        <f>MONTH(SalesData[[#This Row],[Order Date]])</f>
        <v>6</v>
      </c>
      <c r="D659" s="3" t="s">
        <v>879</v>
      </c>
      <c r="E659" s="3" t="s">
        <v>23</v>
      </c>
      <c r="F659" s="3" t="s">
        <v>11</v>
      </c>
      <c r="G659" s="3" t="s">
        <v>12</v>
      </c>
      <c r="H659" s="3" t="s">
        <v>880</v>
      </c>
      <c r="I659" s="6">
        <v>41.47</v>
      </c>
      <c r="J659" s="4">
        <v>8</v>
      </c>
      <c r="K659" s="6">
        <v>14.52</v>
      </c>
    </row>
    <row r="660" spans="1:11" x14ac:dyDescent="0.3">
      <c r="A660" s="7">
        <v>41818</v>
      </c>
      <c r="B660" s="4">
        <f>YEAR(SalesData[[#This Row],[Order Date]])</f>
        <v>2014</v>
      </c>
      <c r="C660" s="4">
        <f>MONTH(SalesData[[#This Row],[Order Date]])</f>
        <v>6</v>
      </c>
      <c r="D660" s="3" t="s">
        <v>879</v>
      </c>
      <c r="E660" s="3" t="s">
        <v>23</v>
      </c>
      <c r="F660" s="3" t="s">
        <v>11</v>
      </c>
      <c r="G660" s="3" t="s">
        <v>20</v>
      </c>
      <c r="H660" s="3" t="s">
        <v>881</v>
      </c>
      <c r="I660" s="6">
        <v>3.17</v>
      </c>
      <c r="J660" s="4">
        <v>3</v>
      </c>
      <c r="K660" s="6">
        <v>-2.4300000000000002</v>
      </c>
    </row>
    <row r="661" spans="1:11" x14ac:dyDescent="0.3">
      <c r="A661" s="7">
        <v>41818</v>
      </c>
      <c r="B661" s="4">
        <f>YEAR(SalesData[[#This Row],[Order Date]])</f>
        <v>2014</v>
      </c>
      <c r="C661" s="4">
        <f>MONTH(SalesData[[#This Row],[Order Date]])</f>
        <v>6</v>
      </c>
      <c r="D661" s="3" t="s">
        <v>879</v>
      </c>
      <c r="E661" s="3" t="s">
        <v>23</v>
      </c>
      <c r="F661" s="3" t="s">
        <v>34</v>
      </c>
      <c r="G661" s="3" t="s">
        <v>35</v>
      </c>
      <c r="H661" s="3" t="s">
        <v>594</v>
      </c>
      <c r="I661" s="6">
        <v>1228.47</v>
      </c>
      <c r="J661" s="4">
        <v>5</v>
      </c>
      <c r="K661" s="6">
        <v>0</v>
      </c>
    </row>
    <row r="662" spans="1:11" x14ac:dyDescent="0.3">
      <c r="A662" s="7">
        <v>41818</v>
      </c>
      <c r="B662" s="4">
        <f>YEAR(SalesData[[#This Row],[Order Date]])</f>
        <v>2014</v>
      </c>
      <c r="C662" s="4">
        <f>MONTH(SalesData[[#This Row],[Order Date]])</f>
        <v>6</v>
      </c>
      <c r="D662" s="3" t="s">
        <v>879</v>
      </c>
      <c r="E662" s="3" t="s">
        <v>23</v>
      </c>
      <c r="F662" s="3" t="s">
        <v>11</v>
      </c>
      <c r="G662" s="3" t="s">
        <v>20</v>
      </c>
      <c r="H662" s="3" t="s">
        <v>168</v>
      </c>
      <c r="I662" s="6">
        <v>31.09</v>
      </c>
      <c r="J662" s="4">
        <v>3</v>
      </c>
      <c r="K662" s="6">
        <v>-22.8</v>
      </c>
    </row>
    <row r="663" spans="1:11" x14ac:dyDescent="0.3">
      <c r="A663" s="7">
        <v>41818</v>
      </c>
      <c r="B663" s="4">
        <f>YEAR(SalesData[[#This Row],[Order Date]])</f>
        <v>2014</v>
      </c>
      <c r="C663" s="4">
        <f>MONTH(SalesData[[#This Row],[Order Date]])</f>
        <v>6</v>
      </c>
      <c r="D663" s="3" t="s">
        <v>879</v>
      </c>
      <c r="E663" s="3" t="s">
        <v>23</v>
      </c>
      <c r="F663" s="3" t="s">
        <v>11</v>
      </c>
      <c r="G663" s="3" t="s">
        <v>12</v>
      </c>
      <c r="H663" s="3" t="s">
        <v>882</v>
      </c>
      <c r="I663" s="6">
        <v>335.52</v>
      </c>
      <c r="J663" s="4">
        <v>4</v>
      </c>
      <c r="K663" s="6">
        <v>117.43</v>
      </c>
    </row>
    <row r="664" spans="1:11" x14ac:dyDescent="0.3">
      <c r="A664" s="7">
        <v>41818</v>
      </c>
      <c r="B664" s="4">
        <f>YEAR(SalesData[[#This Row],[Order Date]])</f>
        <v>2014</v>
      </c>
      <c r="C664" s="4">
        <f>MONTH(SalesData[[#This Row],[Order Date]])</f>
        <v>6</v>
      </c>
      <c r="D664" s="3" t="s">
        <v>883</v>
      </c>
      <c r="E664" s="3" t="s">
        <v>110</v>
      </c>
      <c r="F664" s="3" t="s">
        <v>11</v>
      </c>
      <c r="G664" s="3" t="s">
        <v>43</v>
      </c>
      <c r="H664" s="3" t="s">
        <v>160</v>
      </c>
      <c r="I664" s="6">
        <v>6.08</v>
      </c>
      <c r="J664" s="4">
        <v>1</v>
      </c>
      <c r="K664" s="6">
        <v>3.04</v>
      </c>
    </row>
    <row r="665" spans="1:11" x14ac:dyDescent="0.3">
      <c r="A665" s="7">
        <v>41819</v>
      </c>
      <c r="B665" s="4">
        <f>YEAR(SalesData[[#This Row],[Order Date]])</f>
        <v>2014</v>
      </c>
      <c r="C665" s="4">
        <f>MONTH(SalesData[[#This Row],[Order Date]])</f>
        <v>6</v>
      </c>
      <c r="D665" s="3" t="s">
        <v>884</v>
      </c>
      <c r="E665" s="3" t="s">
        <v>78</v>
      </c>
      <c r="F665" s="3" t="s">
        <v>11</v>
      </c>
      <c r="G665" s="3" t="s">
        <v>24</v>
      </c>
      <c r="H665" s="3" t="s">
        <v>885</v>
      </c>
      <c r="I665" s="6">
        <v>32.76</v>
      </c>
      <c r="J665" s="4">
        <v>7</v>
      </c>
      <c r="K665" s="6">
        <v>3.69</v>
      </c>
    </row>
    <row r="666" spans="1:11" x14ac:dyDescent="0.3">
      <c r="A666" s="7">
        <v>41819</v>
      </c>
      <c r="B666" s="4">
        <f>YEAR(SalesData[[#This Row],[Order Date]])</f>
        <v>2014</v>
      </c>
      <c r="C666" s="4">
        <f>MONTH(SalesData[[#This Row],[Order Date]])</f>
        <v>6</v>
      </c>
      <c r="D666" s="3" t="s">
        <v>749</v>
      </c>
      <c r="E666" s="3" t="s">
        <v>149</v>
      </c>
      <c r="F666" s="3" t="s">
        <v>11</v>
      </c>
      <c r="G666" s="3" t="s">
        <v>20</v>
      </c>
      <c r="H666" s="3" t="s">
        <v>886</v>
      </c>
      <c r="I666" s="6">
        <v>13.92</v>
      </c>
      <c r="J666" s="4">
        <v>3</v>
      </c>
      <c r="K666" s="6">
        <v>4.87</v>
      </c>
    </row>
    <row r="667" spans="1:11" x14ac:dyDescent="0.3">
      <c r="A667" s="7">
        <v>41820</v>
      </c>
      <c r="B667" s="4">
        <f>YEAR(SalesData[[#This Row],[Order Date]])</f>
        <v>2014</v>
      </c>
      <c r="C667" s="4">
        <f>MONTH(SalesData[[#This Row],[Order Date]])</f>
        <v>6</v>
      </c>
      <c r="D667" s="3" t="s">
        <v>887</v>
      </c>
      <c r="E667" s="3" t="s">
        <v>149</v>
      </c>
      <c r="F667" s="3" t="s">
        <v>11</v>
      </c>
      <c r="G667" s="3" t="s">
        <v>20</v>
      </c>
      <c r="H667" s="3" t="s">
        <v>888</v>
      </c>
      <c r="I667" s="6">
        <v>334.77</v>
      </c>
      <c r="J667" s="4">
        <v>7</v>
      </c>
      <c r="K667" s="6">
        <v>108.8</v>
      </c>
    </row>
    <row r="668" spans="1:11" x14ac:dyDescent="0.3">
      <c r="A668" s="7">
        <v>41820</v>
      </c>
      <c r="B668" s="4">
        <f>YEAR(SalesData[[#This Row],[Order Date]])</f>
        <v>2014</v>
      </c>
      <c r="C668" s="4">
        <f>MONTH(SalesData[[#This Row],[Order Date]])</f>
        <v>6</v>
      </c>
      <c r="D668" s="3" t="s">
        <v>889</v>
      </c>
      <c r="E668" s="3" t="s">
        <v>15</v>
      </c>
      <c r="F668" s="3" t="s">
        <v>11</v>
      </c>
      <c r="G668" s="3" t="s">
        <v>24</v>
      </c>
      <c r="H668" s="3" t="s">
        <v>890</v>
      </c>
      <c r="I668" s="6">
        <v>5.25</v>
      </c>
      <c r="J668" s="4">
        <v>4</v>
      </c>
      <c r="K668" s="6">
        <v>1.64</v>
      </c>
    </row>
    <row r="669" spans="1:11" x14ac:dyDescent="0.3">
      <c r="A669" s="7">
        <v>41820</v>
      </c>
      <c r="B669" s="4">
        <f>YEAR(SalesData[[#This Row],[Order Date]])</f>
        <v>2014</v>
      </c>
      <c r="C669" s="4">
        <f>MONTH(SalesData[[#This Row],[Order Date]])</f>
        <v>6</v>
      </c>
      <c r="D669" s="3" t="s">
        <v>891</v>
      </c>
      <c r="E669" s="3" t="s">
        <v>27</v>
      </c>
      <c r="F669" s="3" t="s">
        <v>11</v>
      </c>
      <c r="G669" s="3" t="s">
        <v>24</v>
      </c>
      <c r="H669" s="3" t="s">
        <v>258</v>
      </c>
      <c r="I669" s="6">
        <v>32.4</v>
      </c>
      <c r="J669" s="4">
        <v>5</v>
      </c>
      <c r="K669" s="6">
        <v>10.37</v>
      </c>
    </row>
    <row r="670" spans="1:11" x14ac:dyDescent="0.3">
      <c r="A670" s="7">
        <v>41820</v>
      </c>
      <c r="B670" s="4">
        <f>YEAR(SalesData[[#This Row],[Order Date]])</f>
        <v>2014</v>
      </c>
      <c r="C670" s="4">
        <f>MONTH(SalesData[[#This Row],[Order Date]])</f>
        <v>6</v>
      </c>
      <c r="D670" s="3" t="s">
        <v>892</v>
      </c>
      <c r="E670" s="3" t="s">
        <v>10</v>
      </c>
      <c r="F670" s="3" t="s">
        <v>11</v>
      </c>
      <c r="G670" s="3" t="s">
        <v>12</v>
      </c>
      <c r="H670" s="3" t="s">
        <v>28</v>
      </c>
      <c r="I670" s="6">
        <v>25.92</v>
      </c>
      <c r="J670" s="4">
        <v>5</v>
      </c>
      <c r="K670" s="6">
        <v>9.07</v>
      </c>
    </row>
    <row r="671" spans="1:11" x14ac:dyDescent="0.3">
      <c r="A671" s="7">
        <v>41820</v>
      </c>
      <c r="B671" s="4">
        <f>YEAR(SalesData[[#This Row],[Order Date]])</f>
        <v>2014</v>
      </c>
      <c r="C671" s="4">
        <f>MONTH(SalesData[[#This Row],[Order Date]])</f>
        <v>6</v>
      </c>
      <c r="D671" s="3" t="s">
        <v>892</v>
      </c>
      <c r="E671" s="3" t="s">
        <v>10</v>
      </c>
      <c r="F671" s="3" t="s">
        <v>11</v>
      </c>
      <c r="G671" s="3" t="s">
        <v>43</v>
      </c>
      <c r="H671" s="3" t="s">
        <v>160</v>
      </c>
      <c r="I671" s="6">
        <v>21.31</v>
      </c>
      <c r="J671" s="4">
        <v>6</v>
      </c>
      <c r="K671" s="6">
        <v>7.19</v>
      </c>
    </row>
    <row r="672" spans="1:11" x14ac:dyDescent="0.3">
      <c r="A672" s="7">
        <v>41820</v>
      </c>
      <c r="B672" s="4">
        <f>YEAR(SalesData[[#This Row],[Order Date]])</f>
        <v>2014</v>
      </c>
      <c r="C672" s="4">
        <f>MONTH(SalesData[[#This Row],[Order Date]])</f>
        <v>6</v>
      </c>
      <c r="D672" s="3" t="s">
        <v>602</v>
      </c>
      <c r="E672" s="3" t="s">
        <v>149</v>
      </c>
      <c r="F672" s="3" t="s">
        <v>11</v>
      </c>
      <c r="G672" s="3" t="s">
        <v>20</v>
      </c>
      <c r="H672" s="3" t="s">
        <v>893</v>
      </c>
      <c r="I672" s="6">
        <v>2.69</v>
      </c>
      <c r="J672" s="4">
        <v>1</v>
      </c>
      <c r="K672" s="6">
        <v>0.84</v>
      </c>
    </row>
    <row r="673" spans="1:11" x14ac:dyDescent="0.3">
      <c r="A673" s="7">
        <v>41820</v>
      </c>
      <c r="B673" s="4">
        <f>YEAR(SalesData[[#This Row],[Order Date]])</f>
        <v>2014</v>
      </c>
      <c r="C673" s="4">
        <f>MONTH(SalesData[[#This Row],[Order Date]])</f>
        <v>6</v>
      </c>
      <c r="D673" s="3" t="s">
        <v>602</v>
      </c>
      <c r="E673" s="3" t="s">
        <v>149</v>
      </c>
      <c r="F673" s="3" t="s">
        <v>11</v>
      </c>
      <c r="G673" s="3" t="s">
        <v>24</v>
      </c>
      <c r="H673" s="3" t="s">
        <v>894</v>
      </c>
      <c r="I673" s="6">
        <v>6.6</v>
      </c>
      <c r="J673" s="4">
        <v>3</v>
      </c>
      <c r="K673" s="6">
        <v>2.9</v>
      </c>
    </row>
    <row r="674" spans="1:11" x14ac:dyDescent="0.3">
      <c r="A674" s="7">
        <v>41820</v>
      </c>
      <c r="B674" s="4">
        <f>YEAR(SalesData[[#This Row],[Order Date]])</f>
        <v>2014</v>
      </c>
      <c r="C674" s="4">
        <f>MONTH(SalesData[[#This Row],[Order Date]])</f>
        <v>6</v>
      </c>
      <c r="D674" s="3" t="s">
        <v>895</v>
      </c>
      <c r="E674" s="3" t="s">
        <v>245</v>
      </c>
      <c r="F674" s="3" t="s">
        <v>11</v>
      </c>
      <c r="G674" s="3" t="s">
        <v>12</v>
      </c>
      <c r="H674" s="3" t="s">
        <v>896</v>
      </c>
      <c r="I674" s="6">
        <v>310.69</v>
      </c>
      <c r="J674" s="4">
        <v>7</v>
      </c>
      <c r="K674" s="6">
        <v>108.74</v>
      </c>
    </row>
    <row r="675" spans="1:11" x14ac:dyDescent="0.3">
      <c r="A675" s="7">
        <v>41821</v>
      </c>
      <c r="B675" s="4">
        <f>YEAR(SalesData[[#This Row],[Order Date]])</f>
        <v>2014</v>
      </c>
      <c r="C675" s="4">
        <f>MONTH(SalesData[[#This Row],[Order Date]])</f>
        <v>7</v>
      </c>
      <c r="D675" s="3" t="s">
        <v>407</v>
      </c>
      <c r="E675" s="3" t="s">
        <v>164</v>
      </c>
      <c r="F675" s="3" t="s">
        <v>11</v>
      </c>
      <c r="G675" s="3" t="s">
        <v>20</v>
      </c>
      <c r="H675" s="3" t="s">
        <v>897</v>
      </c>
      <c r="I675" s="6">
        <v>19.920000000000002</v>
      </c>
      <c r="J675" s="4">
        <v>5</v>
      </c>
      <c r="K675" s="6">
        <v>6.97</v>
      </c>
    </row>
    <row r="676" spans="1:11" x14ac:dyDescent="0.3">
      <c r="A676" s="7">
        <v>41821</v>
      </c>
      <c r="B676" s="4">
        <f>YEAR(SalesData[[#This Row],[Order Date]])</f>
        <v>2014</v>
      </c>
      <c r="C676" s="4">
        <f>MONTH(SalesData[[#This Row],[Order Date]])</f>
        <v>7</v>
      </c>
      <c r="D676" s="3" t="s">
        <v>743</v>
      </c>
      <c r="E676" s="3" t="s">
        <v>123</v>
      </c>
      <c r="F676" s="3" t="s">
        <v>39</v>
      </c>
      <c r="G676" s="3" t="s">
        <v>40</v>
      </c>
      <c r="H676" s="3" t="s">
        <v>898</v>
      </c>
      <c r="I676" s="6">
        <v>575.91999999999996</v>
      </c>
      <c r="J676" s="4">
        <v>2</v>
      </c>
      <c r="K676" s="6">
        <v>71.989999999999995</v>
      </c>
    </row>
    <row r="677" spans="1:11" x14ac:dyDescent="0.3">
      <c r="A677" s="7">
        <v>41821</v>
      </c>
      <c r="B677" s="4">
        <f>YEAR(SalesData[[#This Row],[Order Date]])</f>
        <v>2014</v>
      </c>
      <c r="C677" s="4">
        <f>MONTH(SalesData[[#This Row],[Order Date]])</f>
        <v>7</v>
      </c>
      <c r="D677" s="3" t="s">
        <v>743</v>
      </c>
      <c r="E677" s="3" t="s">
        <v>123</v>
      </c>
      <c r="F677" s="3" t="s">
        <v>11</v>
      </c>
      <c r="G677" s="3" t="s">
        <v>20</v>
      </c>
      <c r="H677" s="3" t="s">
        <v>899</v>
      </c>
      <c r="I677" s="6">
        <v>5.18</v>
      </c>
      <c r="J677" s="4">
        <v>6</v>
      </c>
      <c r="K677" s="6">
        <v>-3.63</v>
      </c>
    </row>
    <row r="678" spans="1:11" x14ac:dyDescent="0.3">
      <c r="A678" s="7">
        <v>41822</v>
      </c>
      <c r="B678" s="4">
        <f>YEAR(SalesData[[#This Row],[Order Date]])</f>
        <v>2014</v>
      </c>
      <c r="C678" s="4">
        <f>MONTH(SalesData[[#This Row],[Order Date]])</f>
        <v>7</v>
      </c>
      <c r="D678" s="3" t="s">
        <v>900</v>
      </c>
      <c r="E678" s="3" t="s">
        <v>177</v>
      </c>
      <c r="F678" s="3" t="s">
        <v>39</v>
      </c>
      <c r="G678" s="3" t="s">
        <v>40</v>
      </c>
      <c r="H678" s="3" t="s">
        <v>901</v>
      </c>
      <c r="I678" s="6">
        <v>73.98</v>
      </c>
      <c r="J678" s="4">
        <v>2</v>
      </c>
      <c r="K678" s="6">
        <v>19.97</v>
      </c>
    </row>
    <row r="679" spans="1:11" x14ac:dyDescent="0.3">
      <c r="A679" s="7">
        <v>41822</v>
      </c>
      <c r="B679" s="4">
        <f>YEAR(SalesData[[#This Row],[Order Date]])</f>
        <v>2014</v>
      </c>
      <c r="C679" s="4">
        <f>MONTH(SalesData[[#This Row],[Order Date]])</f>
        <v>7</v>
      </c>
      <c r="D679" s="3" t="s">
        <v>900</v>
      </c>
      <c r="E679" s="3" t="s">
        <v>177</v>
      </c>
      <c r="F679" s="3" t="s">
        <v>11</v>
      </c>
      <c r="G679" s="3" t="s">
        <v>24</v>
      </c>
      <c r="H679" s="3" t="s">
        <v>645</v>
      </c>
      <c r="I679" s="6">
        <v>5.58</v>
      </c>
      <c r="J679" s="4">
        <v>1</v>
      </c>
      <c r="K679" s="6">
        <v>2.1800000000000002</v>
      </c>
    </row>
    <row r="680" spans="1:11" x14ac:dyDescent="0.3">
      <c r="A680" s="7">
        <v>41824</v>
      </c>
      <c r="B680" s="4">
        <f>YEAR(SalesData[[#This Row],[Order Date]])</f>
        <v>2014</v>
      </c>
      <c r="C680" s="4">
        <f>MONTH(SalesData[[#This Row],[Order Date]])</f>
        <v>7</v>
      </c>
      <c r="D680" s="3" t="s">
        <v>445</v>
      </c>
      <c r="E680" s="3" t="s">
        <v>278</v>
      </c>
      <c r="F680" s="3" t="s">
        <v>11</v>
      </c>
      <c r="G680" s="3" t="s">
        <v>12</v>
      </c>
      <c r="H680" s="3" t="s">
        <v>482</v>
      </c>
      <c r="I680" s="6">
        <v>177.54</v>
      </c>
      <c r="J680" s="4">
        <v>4</v>
      </c>
      <c r="K680" s="6">
        <v>62.14</v>
      </c>
    </row>
    <row r="681" spans="1:11" x14ac:dyDescent="0.3">
      <c r="A681" s="7">
        <v>41824</v>
      </c>
      <c r="B681" s="4">
        <f>YEAR(SalesData[[#This Row],[Order Date]])</f>
        <v>2014</v>
      </c>
      <c r="C681" s="4">
        <f>MONTH(SalesData[[#This Row],[Order Date]])</f>
        <v>7</v>
      </c>
      <c r="D681" s="3" t="s">
        <v>445</v>
      </c>
      <c r="E681" s="3" t="s">
        <v>278</v>
      </c>
      <c r="F681" s="3" t="s">
        <v>11</v>
      </c>
      <c r="G681" s="3" t="s">
        <v>92</v>
      </c>
      <c r="H681" s="3" t="s">
        <v>93</v>
      </c>
      <c r="I681" s="6">
        <v>32.43</v>
      </c>
      <c r="J681" s="4">
        <v>2</v>
      </c>
      <c r="K681" s="6">
        <v>3.24</v>
      </c>
    </row>
    <row r="682" spans="1:11" x14ac:dyDescent="0.3">
      <c r="A682" s="7">
        <v>41824</v>
      </c>
      <c r="B682" s="4">
        <f>YEAR(SalesData[[#This Row],[Order Date]])</f>
        <v>2014</v>
      </c>
      <c r="C682" s="4">
        <f>MONTH(SalesData[[#This Row],[Order Date]])</f>
        <v>7</v>
      </c>
      <c r="D682" s="3" t="s">
        <v>902</v>
      </c>
      <c r="E682" s="3" t="s">
        <v>55</v>
      </c>
      <c r="F682" s="3" t="s">
        <v>11</v>
      </c>
      <c r="G682" s="3" t="s">
        <v>12</v>
      </c>
      <c r="H682" s="3" t="s">
        <v>903</v>
      </c>
      <c r="I682" s="6">
        <v>21.84</v>
      </c>
      <c r="J682" s="4">
        <v>3</v>
      </c>
      <c r="K682" s="6">
        <v>10.92</v>
      </c>
    </row>
    <row r="683" spans="1:11" x14ac:dyDescent="0.3">
      <c r="A683" s="7">
        <v>41824</v>
      </c>
      <c r="B683" s="4">
        <f>YEAR(SalesData[[#This Row],[Order Date]])</f>
        <v>2014</v>
      </c>
      <c r="C683" s="4">
        <f>MONTH(SalesData[[#This Row],[Order Date]])</f>
        <v>7</v>
      </c>
      <c r="D683" s="3" t="s">
        <v>902</v>
      </c>
      <c r="E683" s="3" t="s">
        <v>55</v>
      </c>
      <c r="F683" s="3" t="s">
        <v>11</v>
      </c>
      <c r="G683" s="3" t="s">
        <v>20</v>
      </c>
      <c r="H683" s="3" t="s">
        <v>436</v>
      </c>
      <c r="I683" s="6">
        <v>15.6</v>
      </c>
      <c r="J683" s="4">
        <v>5</v>
      </c>
      <c r="K683" s="6">
        <v>7.64</v>
      </c>
    </row>
    <row r="684" spans="1:11" x14ac:dyDescent="0.3">
      <c r="A684" s="7">
        <v>41825</v>
      </c>
      <c r="B684" s="4">
        <f>YEAR(SalesData[[#This Row],[Order Date]])</f>
        <v>2014</v>
      </c>
      <c r="C684" s="4">
        <f>MONTH(SalesData[[#This Row],[Order Date]])</f>
        <v>7</v>
      </c>
      <c r="D684" s="3" t="s">
        <v>904</v>
      </c>
      <c r="E684" s="3" t="s">
        <v>329</v>
      </c>
      <c r="F684" s="3" t="s">
        <v>39</v>
      </c>
      <c r="G684" s="3" t="s">
        <v>52</v>
      </c>
      <c r="H684" s="3" t="s">
        <v>905</v>
      </c>
      <c r="I684" s="6">
        <v>479.97</v>
      </c>
      <c r="J684" s="4">
        <v>3</v>
      </c>
      <c r="K684" s="6">
        <v>163.19</v>
      </c>
    </row>
    <row r="685" spans="1:11" x14ac:dyDescent="0.3">
      <c r="A685" s="7">
        <v>41825</v>
      </c>
      <c r="B685" s="4">
        <f>YEAR(SalesData[[#This Row],[Order Date]])</f>
        <v>2014</v>
      </c>
      <c r="C685" s="4">
        <f>MONTH(SalesData[[#This Row],[Order Date]])</f>
        <v>7</v>
      </c>
      <c r="D685" s="3" t="s">
        <v>904</v>
      </c>
      <c r="E685" s="3" t="s">
        <v>329</v>
      </c>
      <c r="F685" s="3" t="s">
        <v>11</v>
      </c>
      <c r="G685" s="3" t="s">
        <v>16</v>
      </c>
      <c r="H685" s="3" t="s">
        <v>906</v>
      </c>
      <c r="I685" s="6">
        <v>14.62</v>
      </c>
      <c r="J685" s="4">
        <v>2</v>
      </c>
      <c r="K685" s="6">
        <v>6.87</v>
      </c>
    </row>
    <row r="686" spans="1:11" x14ac:dyDescent="0.3">
      <c r="A686" s="7">
        <v>41825</v>
      </c>
      <c r="B686" s="4">
        <f>YEAR(SalesData[[#This Row],[Order Date]])</f>
        <v>2014</v>
      </c>
      <c r="C686" s="4">
        <f>MONTH(SalesData[[#This Row],[Order Date]])</f>
        <v>7</v>
      </c>
      <c r="D686" s="3" t="s">
        <v>904</v>
      </c>
      <c r="E686" s="3" t="s">
        <v>329</v>
      </c>
      <c r="F686" s="3" t="s">
        <v>11</v>
      </c>
      <c r="G686" s="3" t="s">
        <v>12</v>
      </c>
      <c r="H686" s="3" t="s">
        <v>880</v>
      </c>
      <c r="I686" s="6">
        <v>19.440000000000001</v>
      </c>
      <c r="J686" s="4">
        <v>3</v>
      </c>
      <c r="K686" s="6">
        <v>9.33</v>
      </c>
    </row>
    <row r="687" spans="1:11" x14ac:dyDescent="0.3">
      <c r="A687" s="7">
        <v>41825</v>
      </c>
      <c r="B687" s="4">
        <f>YEAR(SalesData[[#This Row],[Order Date]])</f>
        <v>2014</v>
      </c>
      <c r="C687" s="4">
        <f>MONTH(SalesData[[#This Row],[Order Date]])</f>
        <v>7</v>
      </c>
      <c r="D687" s="3" t="s">
        <v>907</v>
      </c>
      <c r="E687" s="3" t="s">
        <v>10</v>
      </c>
      <c r="F687" s="3" t="s">
        <v>11</v>
      </c>
      <c r="G687" s="3" t="s">
        <v>18</v>
      </c>
      <c r="H687" s="3" t="s">
        <v>908</v>
      </c>
      <c r="I687" s="6">
        <v>220.78</v>
      </c>
      <c r="J687" s="4">
        <v>3</v>
      </c>
      <c r="K687" s="6">
        <v>-44.16</v>
      </c>
    </row>
    <row r="688" spans="1:11" x14ac:dyDescent="0.3">
      <c r="A688" s="7">
        <v>41825</v>
      </c>
      <c r="B688" s="4">
        <f>YEAR(SalesData[[#This Row],[Order Date]])</f>
        <v>2014</v>
      </c>
      <c r="C688" s="4">
        <f>MONTH(SalesData[[#This Row],[Order Date]])</f>
        <v>7</v>
      </c>
      <c r="D688" s="3" t="s">
        <v>907</v>
      </c>
      <c r="E688" s="3" t="s">
        <v>10</v>
      </c>
      <c r="F688" s="3" t="s">
        <v>11</v>
      </c>
      <c r="G688" s="3" t="s">
        <v>18</v>
      </c>
      <c r="H688" s="3" t="s">
        <v>909</v>
      </c>
      <c r="I688" s="6">
        <v>281.42</v>
      </c>
      <c r="J688" s="4">
        <v>11</v>
      </c>
      <c r="K688" s="6">
        <v>-35.18</v>
      </c>
    </row>
    <row r="689" spans="1:11" x14ac:dyDescent="0.3">
      <c r="A689" s="7">
        <v>41825</v>
      </c>
      <c r="B689" s="4">
        <f>YEAR(SalesData[[#This Row],[Order Date]])</f>
        <v>2014</v>
      </c>
      <c r="C689" s="4">
        <f>MONTH(SalesData[[#This Row],[Order Date]])</f>
        <v>7</v>
      </c>
      <c r="D689" s="3" t="s">
        <v>910</v>
      </c>
      <c r="E689" s="3" t="s">
        <v>27</v>
      </c>
      <c r="F689" s="3" t="s">
        <v>11</v>
      </c>
      <c r="G689" s="3" t="s">
        <v>20</v>
      </c>
      <c r="H689" s="3" t="s">
        <v>911</v>
      </c>
      <c r="I689" s="6">
        <v>180.96</v>
      </c>
      <c r="J689" s="4">
        <v>6</v>
      </c>
      <c r="K689" s="6">
        <v>67.86</v>
      </c>
    </row>
    <row r="690" spans="1:11" x14ac:dyDescent="0.3">
      <c r="A690" s="7">
        <v>41825</v>
      </c>
      <c r="B690" s="4">
        <f>YEAR(SalesData[[#This Row],[Order Date]])</f>
        <v>2014</v>
      </c>
      <c r="C690" s="4">
        <f>MONTH(SalesData[[#This Row],[Order Date]])</f>
        <v>7</v>
      </c>
      <c r="D690" s="3" t="s">
        <v>90</v>
      </c>
      <c r="E690" s="3" t="s">
        <v>120</v>
      </c>
      <c r="F690" s="3" t="s">
        <v>11</v>
      </c>
      <c r="G690" s="3" t="s">
        <v>24</v>
      </c>
      <c r="H690" s="3" t="s">
        <v>798</v>
      </c>
      <c r="I690" s="6">
        <v>4.37</v>
      </c>
      <c r="J690" s="4">
        <v>3</v>
      </c>
      <c r="K690" s="6">
        <v>0.38</v>
      </c>
    </row>
    <row r="691" spans="1:11" x14ac:dyDescent="0.3">
      <c r="A691" s="7">
        <v>41825</v>
      </c>
      <c r="B691" s="4">
        <f>YEAR(SalesData[[#This Row],[Order Date]])</f>
        <v>2014</v>
      </c>
      <c r="C691" s="4">
        <f>MONTH(SalesData[[#This Row],[Order Date]])</f>
        <v>7</v>
      </c>
      <c r="D691" s="3" t="s">
        <v>912</v>
      </c>
      <c r="E691" s="3" t="s">
        <v>123</v>
      </c>
      <c r="F691" s="3" t="s">
        <v>34</v>
      </c>
      <c r="G691" s="3" t="s">
        <v>47</v>
      </c>
      <c r="H691" s="3" t="s">
        <v>913</v>
      </c>
      <c r="I691" s="6">
        <v>19.52</v>
      </c>
      <c r="J691" s="4">
        <v>2</v>
      </c>
      <c r="K691" s="6">
        <v>5.37</v>
      </c>
    </row>
    <row r="692" spans="1:11" x14ac:dyDescent="0.3">
      <c r="A692" s="7">
        <v>41825</v>
      </c>
      <c r="B692" s="4">
        <f>YEAR(SalesData[[#This Row],[Order Date]])</f>
        <v>2014</v>
      </c>
      <c r="C692" s="4">
        <f>MONTH(SalesData[[#This Row],[Order Date]])</f>
        <v>7</v>
      </c>
      <c r="D692" s="3" t="s">
        <v>912</v>
      </c>
      <c r="E692" s="3" t="s">
        <v>123</v>
      </c>
      <c r="F692" s="3" t="s">
        <v>11</v>
      </c>
      <c r="G692" s="3" t="s">
        <v>20</v>
      </c>
      <c r="H692" s="3" t="s">
        <v>914</v>
      </c>
      <c r="I692" s="6">
        <v>9.81</v>
      </c>
      <c r="J692" s="4">
        <v>5</v>
      </c>
      <c r="K692" s="6">
        <v>-6.87</v>
      </c>
    </row>
    <row r="693" spans="1:11" x14ac:dyDescent="0.3">
      <c r="A693" s="7">
        <v>41825</v>
      </c>
      <c r="B693" s="4">
        <f>YEAR(SalesData[[#This Row],[Order Date]])</f>
        <v>2014</v>
      </c>
      <c r="C693" s="4">
        <f>MONTH(SalesData[[#This Row],[Order Date]])</f>
        <v>7</v>
      </c>
      <c r="D693" s="3" t="s">
        <v>912</v>
      </c>
      <c r="E693" s="3" t="s">
        <v>123</v>
      </c>
      <c r="F693" s="3" t="s">
        <v>34</v>
      </c>
      <c r="G693" s="3" t="s">
        <v>47</v>
      </c>
      <c r="H693" s="3" t="s">
        <v>444</v>
      </c>
      <c r="I693" s="6">
        <v>213.22</v>
      </c>
      <c r="J693" s="4">
        <v>3</v>
      </c>
      <c r="K693" s="6">
        <v>15.99</v>
      </c>
    </row>
    <row r="694" spans="1:11" x14ac:dyDescent="0.3">
      <c r="A694" s="7">
        <v>41826</v>
      </c>
      <c r="B694" s="4">
        <f>YEAR(SalesData[[#This Row],[Order Date]])</f>
        <v>2014</v>
      </c>
      <c r="C694" s="4">
        <f>MONTH(SalesData[[#This Row],[Order Date]])</f>
        <v>7</v>
      </c>
      <c r="D694" s="3" t="s">
        <v>915</v>
      </c>
      <c r="E694" s="3" t="s">
        <v>149</v>
      </c>
      <c r="F694" s="3" t="s">
        <v>39</v>
      </c>
      <c r="G694" s="3" t="s">
        <v>603</v>
      </c>
      <c r="H694" s="3" t="s">
        <v>916</v>
      </c>
      <c r="I694" s="6">
        <v>559.99</v>
      </c>
      <c r="J694" s="4">
        <v>1</v>
      </c>
      <c r="K694" s="6">
        <v>175</v>
      </c>
    </row>
    <row r="695" spans="1:11" x14ac:dyDescent="0.3">
      <c r="A695" s="7">
        <v>41826</v>
      </c>
      <c r="B695" s="4">
        <f>YEAR(SalesData[[#This Row],[Order Date]])</f>
        <v>2014</v>
      </c>
      <c r="C695" s="4">
        <f>MONTH(SalesData[[#This Row],[Order Date]])</f>
        <v>7</v>
      </c>
      <c r="D695" s="3" t="s">
        <v>917</v>
      </c>
      <c r="E695" s="3" t="s">
        <v>27</v>
      </c>
      <c r="F695" s="3" t="s">
        <v>34</v>
      </c>
      <c r="G695" s="3" t="s">
        <v>35</v>
      </c>
      <c r="H695" s="3" t="s">
        <v>918</v>
      </c>
      <c r="I695" s="6">
        <v>478.48</v>
      </c>
      <c r="J695" s="4">
        <v>2</v>
      </c>
      <c r="K695" s="6">
        <v>47.85</v>
      </c>
    </row>
    <row r="696" spans="1:11" x14ac:dyDescent="0.3">
      <c r="A696" s="7">
        <v>41827</v>
      </c>
      <c r="B696" s="4">
        <f>YEAR(SalesData[[#This Row],[Order Date]])</f>
        <v>2014</v>
      </c>
      <c r="C696" s="4">
        <f>MONTH(SalesData[[#This Row],[Order Date]])</f>
        <v>7</v>
      </c>
      <c r="D696" s="3" t="s">
        <v>537</v>
      </c>
      <c r="E696" s="3" t="s">
        <v>23</v>
      </c>
      <c r="F696" s="3" t="s">
        <v>34</v>
      </c>
      <c r="G696" s="3" t="s">
        <v>35</v>
      </c>
      <c r="H696" s="3" t="s">
        <v>919</v>
      </c>
      <c r="I696" s="6">
        <v>172.19</v>
      </c>
      <c r="J696" s="4">
        <v>2</v>
      </c>
      <c r="K696" s="6">
        <v>-46.74</v>
      </c>
    </row>
    <row r="697" spans="1:11" x14ac:dyDescent="0.3">
      <c r="A697" s="7">
        <v>41827</v>
      </c>
      <c r="B697" s="4">
        <f>YEAR(SalesData[[#This Row],[Order Date]])</f>
        <v>2014</v>
      </c>
      <c r="C697" s="4">
        <f>MONTH(SalesData[[#This Row],[Order Date]])</f>
        <v>7</v>
      </c>
      <c r="D697" s="3" t="s">
        <v>537</v>
      </c>
      <c r="E697" s="3" t="s">
        <v>23</v>
      </c>
      <c r="F697" s="3" t="s">
        <v>34</v>
      </c>
      <c r="G697" s="3" t="s">
        <v>47</v>
      </c>
      <c r="H697" s="3" t="s">
        <v>920</v>
      </c>
      <c r="I697" s="6">
        <v>69.010000000000005</v>
      </c>
      <c r="J697" s="4">
        <v>2</v>
      </c>
      <c r="K697" s="6">
        <v>12.08</v>
      </c>
    </row>
    <row r="698" spans="1:11" x14ac:dyDescent="0.3">
      <c r="A698" s="7">
        <v>41828</v>
      </c>
      <c r="B698" s="4">
        <f>YEAR(SalesData[[#This Row],[Order Date]])</f>
        <v>2014</v>
      </c>
      <c r="C698" s="4">
        <f>MONTH(SalesData[[#This Row],[Order Date]])</f>
        <v>7</v>
      </c>
      <c r="D698" s="3" t="s">
        <v>921</v>
      </c>
      <c r="E698" s="3" t="s">
        <v>149</v>
      </c>
      <c r="F698" s="3" t="s">
        <v>34</v>
      </c>
      <c r="G698" s="3" t="s">
        <v>35</v>
      </c>
      <c r="H698" s="3" t="s">
        <v>793</v>
      </c>
      <c r="I698" s="6">
        <v>63.88</v>
      </c>
      <c r="J698" s="4">
        <v>1</v>
      </c>
      <c r="K698" s="6">
        <v>10.65</v>
      </c>
    </row>
    <row r="699" spans="1:11" x14ac:dyDescent="0.3">
      <c r="A699" s="7">
        <v>41828</v>
      </c>
      <c r="B699" s="4">
        <f>YEAR(SalesData[[#This Row],[Order Date]])</f>
        <v>2014</v>
      </c>
      <c r="C699" s="4">
        <f>MONTH(SalesData[[#This Row],[Order Date]])</f>
        <v>7</v>
      </c>
      <c r="D699" s="3" t="s">
        <v>922</v>
      </c>
      <c r="E699" s="3" t="s">
        <v>27</v>
      </c>
      <c r="F699" s="3" t="s">
        <v>34</v>
      </c>
      <c r="G699" s="3" t="s">
        <v>145</v>
      </c>
      <c r="H699" s="3" t="s">
        <v>183</v>
      </c>
      <c r="I699" s="6">
        <v>502.49</v>
      </c>
      <c r="J699" s="4">
        <v>3</v>
      </c>
      <c r="K699" s="6">
        <v>-87.94</v>
      </c>
    </row>
    <row r="700" spans="1:11" x14ac:dyDescent="0.3">
      <c r="A700" s="7">
        <v>41828</v>
      </c>
      <c r="B700" s="4">
        <f>YEAR(SalesData[[#This Row],[Order Date]])</f>
        <v>2014</v>
      </c>
      <c r="C700" s="4">
        <f>MONTH(SalesData[[#This Row],[Order Date]])</f>
        <v>7</v>
      </c>
      <c r="D700" s="3" t="s">
        <v>922</v>
      </c>
      <c r="E700" s="3" t="s">
        <v>27</v>
      </c>
      <c r="F700" s="3" t="s">
        <v>11</v>
      </c>
      <c r="G700" s="3" t="s">
        <v>20</v>
      </c>
      <c r="H700" s="3" t="s">
        <v>362</v>
      </c>
      <c r="I700" s="6">
        <v>196.7</v>
      </c>
      <c r="J700" s="4">
        <v>6</v>
      </c>
      <c r="K700" s="6">
        <v>68.849999999999994</v>
      </c>
    </row>
    <row r="701" spans="1:11" x14ac:dyDescent="0.3">
      <c r="A701" s="7">
        <v>41829</v>
      </c>
      <c r="B701" s="4">
        <f>YEAR(SalesData[[#This Row],[Order Date]])</f>
        <v>2014</v>
      </c>
      <c r="C701" s="4">
        <f>MONTH(SalesData[[#This Row],[Order Date]])</f>
        <v>7</v>
      </c>
      <c r="D701" s="3" t="s">
        <v>923</v>
      </c>
      <c r="E701" s="3" t="s">
        <v>10</v>
      </c>
      <c r="F701" s="3" t="s">
        <v>11</v>
      </c>
      <c r="G701" s="3" t="s">
        <v>12</v>
      </c>
      <c r="H701" s="3" t="s">
        <v>134</v>
      </c>
      <c r="I701" s="6">
        <v>10.37</v>
      </c>
      <c r="J701" s="4">
        <v>2</v>
      </c>
      <c r="K701" s="6">
        <v>3.63</v>
      </c>
    </row>
    <row r="702" spans="1:11" x14ac:dyDescent="0.3">
      <c r="A702" s="7">
        <v>41829</v>
      </c>
      <c r="B702" s="4">
        <f>YEAR(SalesData[[#This Row],[Order Date]])</f>
        <v>2014</v>
      </c>
      <c r="C702" s="4">
        <f>MONTH(SalesData[[#This Row],[Order Date]])</f>
        <v>7</v>
      </c>
      <c r="D702" s="3" t="s">
        <v>923</v>
      </c>
      <c r="E702" s="3" t="s">
        <v>10</v>
      </c>
      <c r="F702" s="3" t="s">
        <v>11</v>
      </c>
      <c r="G702" s="3" t="s">
        <v>12</v>
      </c>
      <c r="H702" s="3" t="s">
        <v>924</v>
      </c>
      <c r="I702" s="6">
        <v>14.35</v>
      </c>
      <c r="J702" s="4">
        <v>3</v>
      </c>
      <c r="K702" s="6">
        <v>4.49</v>
      </c>
    </row>
    <row r="703" spans="1:11" x14ac:dyDescent="0.3">
      <c r="A703" s="7">
        <v>41829</v>
      </c>
      <c r="B703" s="4">
        <f>YEAR(SalesData[[#This Row],[Order Date]])</f>
        <v>2014</v>
      </c>
      <c r="C703" s="4">
        <f>MONTH(SalesData[[#This Row],[Order Date]])</f>
        <v>7</v>
      </c>
      <c r="D703" s="3" t="s">
        <v>925</v>
      </c>
      <c r="E703" s="3" t="s">
        <v>27</v>
      </c>
      <c r="F703" s="3" t="s">
        <v>11</v>
      </c>
      <c r="G703" s="3" t="s">
        <v>16</v>
      </c>
      <c r="H703" s="3" t="s">
        <v>926</v>
      </c>
      <c r="I703" s="6">
        <v>2.88</v>
      </c>
      <c r="J703" s="4">
        <v>1</v>
      </c>
      <c r="K703" s="6">
        <v>1.41</v>
      </c>
    </row>
    <row r="704" spans="1:11" x14ac:dyDescent="0.3">
      <c r="A704" s="7">
        <v>41829</v>
      </c>
      <c r="B704" s="4">
        <f>YEAR(SalesData[[#This Row],[Order Date]])</f>
        <v>2014</v>
      </c>
      <c r="C704" s="4">
        <f>MONTH(SalesData[[#This Row],[Order Date]])</f>
        <v>7</v>
      </c>
      <c r="D704" s="3" t="s">
        <v>925</v>
      </c>
      <c r="E704" s="3" t="s">
        <v>27</v>
      </c>
      <c r="F704" s="3" t="s">
        <v>11</v>
      </c>
      <c r="G704" s="3" t="s">
        <v>20</v>
      </c>
      <c r="H704" s="3" t="s">
        <v>184</v>
      </c>
      <c r="I704" s="6">
        <v>41.9</v>
      </c>
      <c r="J704" s="4">
        <v>6</v>
      </c>
      <c r="K704" s="6">
        <v>14.14</v>
      </c>
    </row>
    <row r="705" spans="1:11" x14ac:dyDescent="0.3">
      <c r="A705" s="7">
        <v>41829</v>
      </c>
      <c r="B705" s="4">
        <f>YEAR(SalesData[[#This Row],[Order Date]])</f>
        <v>2014</v>
      </c>
      <c r="C705" s="4">
        <f>MONTH(SalesData[[#This Row],[Order Date]])</f>
        <v>7</v>
      </c>
      <c r="D705" s="3" t="s">
        <v>925</v>
      </c>
      <c r="E705" s="3" t="s">
        <v>27</v>
      </c>
      <c r="F705" s="3" t="s">
        <v>11</v>
      </c>
      <c r="G705" s="3" t="s">
        <v>18</v>
      </c>
      <c r="H705" s="3" t="s">
        <v>927</v>
      </c>
      <c r="I705" s="6">
        <v>23.92</v>
      </c>
      <c r="J705" s="4">
        <v>4</v>
      </c>
      <c r="K705" s="6">
        <v>4.07</v>
      </c>
    </row>
    <row r="706" spans="1:11" x14ac:dyDescent="0.3">
      <c r="A706" s="7">
        <v>41829</v>
      </c>
      <c r="B706" s="4">
        <f>YEAR(SalesData[[#This Row],[Order Date]])</f>
        <v>2014</v>
      </c>
      <c r="C706" s="4">
        <f>MONTH(SalesData[[#This Row],[Order Date]])</f>
        <v>7</v>
      </c>
      <c r="D706" s="3" t="s">
        <v>928</v>
      </c>
      <c r="E706" s="3" t="s">
        <v>27</v>
      </c>
      <c r="F706" s="3" t="s">
        <v>11</v>
      </c>
      <c r="G706" s="3" t="s">
        <v>20</v>
      </c>
      <c r="H706" s="3" t="s">
        <v>929</v>
      </c>
      <c r="I706" s="6">
        <v>14.3</v>
      </c>
      <c r="J706" s="4">
        <v>6</v>
      </c>
      <c r="K706" s="6">
        <v>4.6500000000000004</v>
      </c>
    </row>
    <row r="707" spans="1:11" x14ac:dyDescent="0.3">
      <c r="A707" s="7">
        <v>41829</v>
      </c>
      <c r="B707" s="4">
        <f>YEAR(SalesData[[#This Row],[Order Date]])</f>
        <v>2014</v>
      </c>
      <c r="C707" s="4">
        <f>MONTH(SalesData[[#This Row],[Order Date]])</f>
        <v>7</v>
      </c>
      <c r="D707" s="3" t="s">
        <v>928</v>
      </c>
      <c r="E707" s="3" t="s">
        <v>27</v>
      </c>
      <c r="F707" s="3" t="s">
        <v>34</v>
      </c>
      <c r="G707" s="3" t="s">
        <v>74</v>
      </c>
      <c r="H707" s="3" t="s">
        <v>342</v>
      </c>
      <c r="I707" s="6">
        <v>119.83</v>
      </c>
      <c r="J707" s="4">
        <v>1</v>
      </c>
      <c r="K707" s="6">
        <v>7.05</v>
      </c>
    </row>
    <row r="708" spans="1:11" x14ac:dyDescent="0.3">
      <c r="A708" s="7">
        <v>41829</v>
      </c>
      <c r="B708" s="4">
        <f>YEAR(SalesData[[#This Row],[Order Date]])</f>
        <v>2014</v>
      </c>
      <c r="C708" s="4">
        <f>MONTH(SalesData[[#This Row],[Order Date]])</f>
        <v>7</v>
      </c>
      <c r="D708" s="3" t="s">
        <v>928</v>
      </c>
      <c r="E708" s="3" t="s">
        <v>27</v>
      </c>
      <c r="F708" s="3" t="s">
        <v>11</v>
      </c>
      <c r="G708" s="3" t="s">
        <v>24</v>
      </c>
      <c r="H708" s="3" t="s">
        <v>869</v>
      </c>
      <c r="I708" s="6">
        <v>5.56</v>
      </c>
      <c r="J708" s="4">
        <v>2</v>
      </c>
      <c r="K708" s="6">
        <v>2.2200000000000002</v>
      </c>
    </row>
    <row r="709" spans="1:11" x14ac:dyDescent="0.3">
      <c r="A709" s="7">
        <v>41829</v>
      </c>
      <c r="B709" s="4">
        <f>YEAR(SalesData[[#This Row],[Order Date]])</f>
        <v>2014</v>
      </c>
      <c r="C709" s="4">
        <f>MONTH(SalesData[[#This Row],[Order Date]])</f>
        <v>7</v>
      </c>
      <c r="D709" s="3" t="s">
        <v>928</v>
      </c>
      <c r="E709" s="3" t="s">
        <v>27</v>
      </c>
      <c r="F709" s="3" t="s">
        <v>11</v>
      </c>
      <c r="G709" s="3" t="s">
        <v>12</v>
      </c>
      <c r="H709" s="3" t="s">
        <v>328</v>
      </c>
      <c r="I709" s="6">
        <v>32.4</v>
      </c>
      <c r="J709" s="4">
        <v>5</v>
      </c>
      <c r="K709" s="6">
        <v>15.55</v>
      </c>
    </row>
    <row r="710" spans="1:11" x14ac:dyDescent="0.3">
      <c r="A710" s="7">
        <v>41831</v>
      </c>
      <c r="B710" s="4">
        <f>YEAR(SalesData[[#This Row],[Order Date]])</f>
        <v>2014</v>
      </c>
      <c r="C710" s="4">
        <f>MONTH(SalesData[[#This Row],[Order Date]])</f>
        <v>7</v>
      </c>
      <c r="D710" s="3" t="s">
        <v>593</v>
      </c>
      <c r="E710" s="3" t="s">
        <v>177</v>
      </c>
      <c r="F710" s="3" t="s">
        <v>11</v>
      </c>
      <c r="G710" s="3" t="s">
        <v>12</v>
      </c>
      <c r="H710" s="3" t="s">
        <v>625</v>
      </c>
      <c r="I710" s="6">
        <v>177.2</v>
      </c>
      <c r="J710" s="4">
        <v>5</v>
      </c>
      <c r="K710" s="6">
        <v>83.28</v>
      </c>
    </row>
    <row r="711" spans="1:11" x14ac:dyDescent="0.3">
      <c r="A711" s="7">
        <v>41831</v>
      </c>
      <c r="B711" s="4">
        <f>YEAR(SalesData[[#This Row],[Order Date]])</f>
        <v>2014</v>
      </c>
      <c r="C711" s="4">
        <f>MONTH(SalesData[[#This Row],[Order Date]])</f>
        <v>7</v>
      </c>
      <c r="D711" s="3" t="s">
        <v>593</v>
      </c>
      <c r="E711" s="3" t="s">
        <v>177</v>
      </c>
      <c r="F711" s="3" t="s">
        <v>39</v>
      </c>
      <c r="G711" s="3" t="s">
        <v>40</v>
      </c>
      <c r="H711" s="3" t="s">
        <v>930</v>
      </c>
      <c r="I711" s="6">
        <v>197.97</v>
      </c>
      <c r="J711" s="4">
        <v>3</v>
      </c>
      <c r="K711" s="6">
        <v>57.41</v>
      </c>
    </row>
    <row r="712" spans="1:11" x14ac:dyDescent="0.3">
      <c r="A712" s="7">
        <v>41831</v>
      </c>
      <c r="B712" s="4">
        <f>YEAR(SalesData[[#This Row],[Order Date]])</f>
        <v>2014</v>
      </c>
      <c r="C712" s="4">
        <f>MONTH(SalesData[[#This Row],[Order Date]])</f>
        <v>7</v>
      </c>
      <c r="D712" s="3" t="s">
        <v>593</v>
      </c>
      <c r="E712" s="3" t="s">
        <v>177</v>
      </c>
      <c r="F712" s="3" t="s">
        <v>34</v>
      </c>
      <c r="G712" s="3" t="s">
        <v>35</v>
      </c>
      <c r="H712" s="3" t="s">
        <v>294</v>
      </c>
      <c r="I712" s="6">
        <v>854.94</v>
      </c>
      <c r="J712" s="4">
        <v>3</v>
      </c>
      <c r="K712" s="6">
        <v>213.74</v>
      </c>
    </row>
    <row r="713" spans="1:11" x14ac:dyDescent="0.3">
      <c r="A713" s="7">
        <v>41831</v>
      </c>
      <c r="B713" s="4">
        <f>YEAR(SalesData[[#This Row],[Order Date]])</f>
        <v>2014</v>
      </c>
      <c r="C713" s="4">
        <f>MONTH(SalesData[[#This Row],[Order Date]])</f>
        <v>7</v>
      </c>
      <c r="D713" s="3" t="s">
        <v>593</v>
      </c>
      <c r="E713" s="3" t="s">
        <v>177</v>
      </c>
      <c r="F713" s="3" t="s">
        <v>34</v>
      </c>
      <c r="G713" s="3" t="s">
        <v>47</v>
      </c>
      <c r="H713" s="3" t="s">
        <v>931</v>
      </c>
      <c r="I713" s="6">
        <v>124.11</v>
      </c>
      <c r="J713" s="4">
        <v>9</v>
      </c>
      <c r="K713" s="6">
        <v>52.13</v>
      </c>
    </row>
    <row r="714" spans="1:11" x14ac:dyDescent="0.3">
      <c r="A714" s="7">
        <v>41831</v>
      </c>
      <c r="B714" s="4">
        <f>YEAR(SalesData[[#This Row],[Order Date]])</f>
        <v>2014</v>
      </c>
      <c r="C714" s="4">
        <f>MONTH(SalesData[[#This Row],[Order Date]])</f>
        <v>7</v>
      </c>
      <c r="D714" s="3" t="s">
        <v>593</v>
      </c>
      <c r="E714" s="3" t="s">
        <v>177</v>
      </c>
      <c r="F714" s="3" t="s">
        <v>11</v>
      </c>
      <c r="G714" s="3" t="s">
        <v>16</v>
      </c>
      <c r="H714" s="3" t="s">
        <v>932</v>
      </c>
      <c r="I714" s="6">
        <v>14.4</v>
      </c>
      <c r="J714" s="4">
        <v>5</v>
      </c>
      <c r="K714" s="6">
        <v>7.06</v>
      </c>
    </row>
    <row r="715" spans="1:11" x14ac:dyDescent="0.3">
      <c r="A715" s="7">
        <v>41831</v>
      </c>
      <c r="B715" s="4">
        <f>YEAR(SalesData[[#This Row],[Order Date]])</f>
        <v>2014</v>
      </c>
      <c r="C715" s="4">
        <f>MONTH(SalesData[[#This Row],[Order Date]])</f>
        <v>7</v>
      </c>
      <c r="D715" s="3" t="s">
        <v>204</v>
      </c>
      <c r="E715" s="3" t="s">
        <v>10</v>
      </c>
      <c r="F715" s="3" t="s">
        <v>39</v>
      </c>
      <c r="G715" s="3" t="s">
        <v>40</v>
      </c>
      <c r="H715" s="3" t="s">
        <v>933</v>
      </c>
      <c r="I715" s="6">
        <v>575.97</v>
      </c>
      <c r="J715" s="4">
        <v>4</v>
      </c>
      <c r="K715" s="6">
        <v>43.2</v>
      </c>
    </row>
    <row r="716" spans="1:11" x14ac:dyDescent="0.3">
      <c r="A716" s="7">
        <v>41831</v>
      </c>
      <c r="B716" s="4">
        <f>YEAR(SalesData[[#This Row],[Order Date]])</f>
        <v>2014</v>
      </c>
      <c r="C716" s="4">
        <f>MONTH(SalesData[[#This Row],[Order Date]])</f>
        <v>7</v>
      </c>
      <c r="D716" s="3" t="s">
        <v>204</v>
      </c>
      <c r="E716" s="3" t="s">
        <v>10</v>
      </c>
      <c r="F716" s="3" t="s">
        <v>11</v>
      </c>
      <c r="G716" s="3" t="s">
        <v>12</v>
      </c>
      <c r="H716" s="3" t="s">
        <v>934</v>
      </c>
      <c r="I716" s="6">
        <v>10.37</v>
      </c>
      <c r="J716" s="4">
        <v>2</v>
      </c>
      <c r="K716" s="6">
        <v>3.63</v>
      </c>
    </row>
    <row r="717" spans="1:11" x14ac:dyDescent="0.3">
      <c r="A717" s="7">
        <v>41831</v>
      </c>
      <c r="B717" s="4">
        <f>YEAR(SalesData[[#This Row],[Order Date]])</f>
        <v>2014</v>
      </c>
      <c r="C717" s="4">
        <f>MONTH(SalesData[[#This Row],[Order Date]])</f>
        <v>7</v>
      </c>
      <c r="D717" s="3" t="s">
        <v>935</v>
      </c>
      <c r="E717" s="3" t="s">
        <v>149</v>
      </c>
      <c r="F717" s="3" t="s">
        <v>11</v>
      </c>
      <c r="G717" s="3" t="s">
        <v>12</v>
      </c>
      <c r="H717" s="3" t="s">
        <v>936</v>
      </c>
      <c r="I717" s="6">
        <v>49.12</v>
      </c>
      <c r="J717" s="4">
        <v>4</v>
      </c>
      <c r="K717" s="6">
        <v>23.09</v>
      </c>
    </row>
    <row r="718" spans="1:11" x14ac:dyDescent="0.3">
      <c r="A718" s="7">
        <v>41831</v>
      </c>
      <c r="B718" s="4">
        <f>YEAR(SalesData[[#This Row],[Order Date]])</f>
        <v>2014</v>
      </c>
      <c r="C718" s="4">
        <f>MONTH(SalesData[[#This Row],[Order Date]])</f>
        <v>7</v>
      </c>
      <c r="D718" s="3" t="s">
        <v>935</v>
      </c>
      <c r="E718" s="3" t="s">
        <v>149</v>
      </c>
      <c r="F718" s="3" t="s">
        <v>11</v>
      </c>
      <c r="G718" s="3" t="s">
        <v>20</v>
      </c>
      <c r="H718" s="3" t="s">
        <v>937</v>
      </c>
      <c r="I718" s="6">
        <v>18.28</v>
      </c>
      <c r="J718" s="4">
        <v>5</v>
      </c>
      <c r="K718" s="6">
        <v>6.4</v>
      </c>
    </row>
    <row r="719" spans="1:11" x14ac:dyDescent="0.3">
      <c r="A719" s="7">
        <v>41831</v>
      </c>
      <c r="B719" s="4">
        <f>YEAR(SalesData[[#This Row],[Order Date]])</f>
        <v>2014</v>
      </c>
      <c r="C719" s="4">
        <f>MONTH(SalesData[[#This Row],[Order Date]])</f>
        <v>7</v>
      </c>
      <c r="D719" s="3" t="s">
        <v>938</v>
      </c>
      <c r="E719" s="3" t="s">
        <v>149</v>
      </c>
      <c r="F719" s="3" t="s">
        <v>39</v>
      </c>
      <c r="G719" s="3" t="s">
        <v>40</v>
      </c>
      <c r="H719" s="3" t="s">
        <v>939</v>
      </c>
      <c r="I719" s="6">
        <v>164.85</v>
      </c>
      <c r="J719" s="4">
        <v>3</v>
      </c>
      <c r="K719" s="6">
        <v>47.81</v>
      </c>
    </row>
    <row r="720" spans="1:11" x14ac:dyDescent="0.3">
      <c r="A720" s="7">
        <v>41832</v>
      </c>
      <c r="B720" s="4">
        <f>YEAR(SalesData[[#This Row],[Order Date]])</f>
        <v>2014</v>
      </c>
      <c r="C720" s="4">
        <f>MONTH(SalesData[[#This Row],[Order Date]])</f>
        <v>7</v>
      </c>
      <c r="D720" s="3" t="s">
        <v>940</v>
      </c>
      <c r="E720" s="3" t="s">
        <v>27</v>
      </c>
      <c r="F720" s="3" t="s">
        <v>11</v>
      </c>
      <c r="G720" s="3" t="s">
        <v>20</v>
      </c>
      <c r="H720" s="3" t="s">
        <v>941</v>
      </c>
      <c r="I720" s="6">
        <v>7.71</v>
      </c>
      <c r="J720" s="4">
        <v>2</v>
      </c>
      <c r="K720" s="6">
        <v>2.8</v>
      </c>
    </row>
    <row r="721" spans="1:11" x14ac:dyDescent="0.3">
      <c r="A721" s="7">
        <v>41832</v>
      </c>
      <c r="B721" s="4">
        <f>YEAR(SalesData[[#This Row],[Order Date]])</f>
        <v>2014</v>
      </c>
      <c r="C721" s="4">
        <f>MONTH(SalesData[[#This Row],[Order Date]])</f>
        <v>7</v>
      </c>
      <c r="D721" s="3" t="s">
        <v>940</v>
      </c>
      <c r="E721" s="3" t="s">
        <v>27</v>
      </c>
      <c r="F721" s="3" t="s">
        <v>34</v>
      </c>
      <c r="G721" s="3" t="s">
        <v>145</v>
      </c>
      <c r="H721" s="3" t="s">
        <v>942</v>
      </c>
      <c r="I721" s="6">
        <v>698.35</v>
      </c>
      <c r="J721" s="4">
        <v>3</v>
      </c>
      <c r="K721" s="6">
        <v>-17.46</v>
      </c>
    </row>
    <row r="722" spans="1:11" x14ac:dyDescent="0.3">
      <c r="A722" s="7">
        <v>41832</v>
      </c>
      <c r="B722" s="4">
        <f>YEAR(SalesData[[#This Row],[Order Date]])</f>
        <v>2014</v>
      </c>
      <c r="C722" s="4">
        <f>MONTH(SalesData[[#This Row],[Order Date]])</f>
        <v>7</v>
      </c>
      <c r="D722" s="3" t="s">
        <v>530</v>
      </c>
      <c r="E722" s="3" t="s">
        <v>27</v>
      </c>
      <c r="F722" s="3" t="s">
        <v>11</v>
      </c>
      <c r="G722" s="3" t="s">
        <v>18</v>
      </c>
      <c r="H722" s="3" t="s">
        <v>638</v>
      </c>
      <c r="I722" s="6">
        <v>249.75</v>
      </c>
      <c r="J722" s="4">
        <v>9</v>
      </c>
      <c r="K722" s="6">
        <v>44.96</v>
      </c>
    </row>
    <row r="723" spans="1:11" x14ac:dyDescent="0.3">
      <c r="A723" s="7">
        <v>41832</v>
      </c>
      <c r="B723" s="4">
        <f>YEAR(SalesData[[#This Row],[Order Date]])</f>
        <v>2014</v>
      </c>
      <c r="C723" s="4">
        <f>MONTH(SalesData[[#This Row],[Order Date]])</f>
        <v>7</v>
      </c>
      <c r="D723" s="3" t="s">
        <v>530</v>
      </c>
      <c r="E723" s="3" t="s">
        <v>27</v>
      </c>
      <c r="F723" s="3" t="s">
        <v>39</v>
      </c>
      <c r="G723" s="3" t="s">
        <v>40</v>
      </c>
      <c r="H723" s="3" t="s">
        <v>943</v>
      </c>
      <c r="I723" s="6">
        <v>255.94</v>
      </c>
      <c r="J723" s="4">
        <v>8</v>
      </c>
      <c r="K723" s="6">
        <v>28.79</v>
      </c>
    </row>
    <row r="724" spans="1:11" x14ac:dyDescent="0.3">
      <c r="A724" s="7">
        <v>41832</v>
      </c>
      <c r="B724" s="4">
        <f>YEAR(SalesData[[#This Row],[Order Date]])</f>
        <v>2014</v>
      </c>
      <c r="C724" s="4">
        <f>MONTH(SalesData[[#This Row],[Order Date]])</f>
        <v>7</v>
      </c>
      <c r="D724" s="3" t="s">
        <v>256</v>
      </c>
      <c r="E724" s="3" t="s">
        <v>164</v>
      </c>
      <c r="F724" s="3" t="s">
        <v>34</v>
      </c>
      <c r="G724" s="3" t="s">
        <v>35</v>
      </c>
      <c r="H724" s="3" t="s">
        <v>944</v>
      </c>
      <c r="I724" s="6">
        <v>123.14</v>
      </c>
      <c r="J724" s="4">
        <v>4</v>
      </c>
      <c r="K724" s="6">
        <v>13.85</v>
      </c>
    </row>
    <row r="725" spans="1:11" x14ac:dyDescent="0.3">
      <c r="A725" s="7">
        <v>41832</v>
      </c>
      <c r="B725" s="4">
        <f>YEAR(SalesData[[#This Row],[Order Date]])</f>
        <v>2014</v>
      </c>
      <c r="C725" s="4">
        <f>MONTH(SalesData[[#This Row],[Order Date]])</f>
        <v>7</v>
      </c>
      <c r="D725" s="3" t="s">
        <v>256</v>
      </c>
      <c r="E725" s="3" t="s">
        <v>164</v>
      </c>
      <c r="F725" s="3" t="s">
        <v>11</v>
      </c>
      <c r="G725" s="3" t="s">
        <v>20</v>
      </c>
      <c r="H725" s="3" t="s">
        <v>881</v>
      </c>
      <c r="I725" s="6">
        <v>11.26</v>
      </c>
      <c r="J725" s="4">
        <v>4</v>
      </c>
      <c r="K725" s="6">
        <v>3.8</v>
      </c>
    </row>
    <row r="726" spans="1:11" x14ac:dyDescent="0.3">
      <c r="A726" s="7">
        <v>41832</v>
      </c>
      <c r="B726" s="4">
        <f>YEAR(SalesData[[#This Row],[Order Date]])</f>
        <v>2014</v>
      </c>
      <c r="C726" s="4">
        <f>MONTH(SalesData[[#This Row],[Order Date]])</f>
        <v>7</v>
      </c>
      <c r="D726" s="3" t="s">
        <v>945</v>
      </c>
      <c r="E726" s="3" t="s">
        <v>15</v>
      </c>
      <c r="F726" s="3" t="s">
        <v>11</v>
      </c>
      <c r="G726" s="3" t="s">
        <v>12</v>
      </c>
      <c r="H726" s="3" t="s">
        <v>679</v>
      </c>
      <c r="I726" s="6">
        <v>35.86</v>
      </c>
      <c r="J726" s="4">
        <v>9</v>
      </c>
      <c r="K726" s="6">
        <v>13</v>
      </c>
    </row>
    <row r="727" spans="1:11" x14ac:dyDescent="0.3">
      <c r="A727" s="7">
        <v>41832</v>
      </c>
      <c r="B727" s="4">
        <f>YEAR(SalesData[[#This Row],[Order Date]])</f>
        <v>2014</v>
      </c>
      <c r="C727" s="4">
        <f>MONTH(SalesData[[#This Row],[Order Date]])</f>
        <v>7</v>
      </c>
      <c r="D727" s="3" t="s">
        <v>945</v>
      </c>
      <c r="E727" s="3" t="s">
        <v>15</v>
      </c>
      <c r="F727" s="3" t="s">
        <v>39</v>
      </c>
      <c r="G727" s="3" t="s">
        <v>52</v>
      </c>
      <c r="H727" s="3" t="s">
        <v>946</v>
      </c>
      <c r="I727" s="6">
        <v>23.84</v>
      </c>
      <c r="J727" s="4">
        <v>4</v>
      </c>
      <c r="K727" s="6">
        <v>3.28</v>
      </c>
    </row>
    <row r="728" spans="1:11" x14ac:dyDescent="0.3">
      <c r="A728" s="7">
        <v>41832</v>
      </c>
      <c r="B728" s="4">
        <f>YEAR(SalesData[[#This Row],[Order Date]])</f>
        <v>2014</v>
      </c>
      <c r="C728" s="4">
        <f>MONTH(SalesData[[#This Row],[Order Date]])</f>
        <v>7</v>
      </c>
      <c r="D728" s="3" t="s">
        <v>947</v>
      </c>
      <c r="E728" s="3" t="s">
        <v>10</v>
      </c>
      <c r="F728" s="3" t="s">
        <v>34</v>
      </c>
      <c r="G728" s="3" t="s">
        <v>35</v>
      </c>
      <c r="H728" s="3" t="s">
        <v>948</v>
      </c>
      <c r="I728" s="6">
        <v>512.36</v>
      </c>
      <c r="J728" s="4">
        <v>3</v>
      </c>
      <c r="K728" s="6">
        <v>-14.64</v>
      </c>
    </row>
    <row r="729" spans="1:11" x14ac:dyDescent="0.3">
      <c r="A729" s="7">
        <v>41832</v>
      </c>
      <c r="B729" s="4">
        <f>YEAR(SalesData[[#This Row],[Order Date]])</f>
        <v>2014</v>
      </c>
      <c r="C729" s="4">
        <f>MONTH(SalesData[[#This Row],[Order Date]])</f>
        <v>7</v>
      </c>
      <c r="D729" s="3" t="s">
        <v>947</v>
      </c>
      <c r="E729" s="3" t="s">
        <v>10</v>
      </c>
      <c r="F729" s="3" t="s">
        <v>11</v>
      </c>
      <c r="G729" s="3" t="s">
        <v>43</v>
      </c>
      <c r="H729" s="3" t="s">
        <v>282</v>
      </c>
      <c r="I729" s="6">
        <v>3.49</v>
      </c>
      <c r="J729" s="4">
        <v>2</v>
      </c>
      <c r="K729" s="6">
        <v>0.56999999999999995</v>
      </c>
    </row>
    <row r="730" spans="1:11" x14ac:dyDescent="0.3">
      <c r="A730" s="7">
        <v>41832</v>
      </c>
      <c r="B730" s="4">
        <f>YEAR(SalesData[[#This Row],[Order Date]])</f>
        <v>2014</v>
      </c>
      <c r="C730" s="4">
        <f>MONTH(SalesData[[#This Row],[Order Date]])</f>
        <v>7</v>
      </c>
      <c r="D730" s="3" t="s">
        <v>947</v>
      </c>
      <c r="E730" s="3" t="s">
        <v>10</v>
      </c>
      <c r="F730" s="3" t="s">
        <v>11</v>
      </c>
      <c r="G730" s="3" t="s">
        <v>24</v>
      </c>
      <c r="H730" s="3" t="s">
        <v>949</v>
      </c>
      <c r="I730" s="6">
        <v>22.29</v>
      </c>
      <c r="J730" s="4">
        <v>7</v>
      </c>
      <c r="K730" s="6">
        <v>3.9</v>
      </c>
    </row>
    <row r="731" spans="1:11" x14ac:dyDescent="0.3">
      <c r="A731" s="7">
        <v>41832</v>
      </c>
      <c r="B731" s="4">
        <f>YEAR(SalesData[[#This Row],[Order Date]])</f>
        <v>2014</v>
      </c>
      <c r="C731" s="4">
        <f>MONTH(SalesData[[#This Row],[Order Date]])</f>
        <v>7</v>
      </c>
      <c r="D731" s="3" t="s">
        <v>947</v>
      </c>
      <c r="E731" s="3" t="s">
        <v>10</v>
      </c>
      <c r="F731" s="3" t="s">
        <v>11</v>
      </c>
      <c r="G731" s="3" t="s">
        <v>12</v>
      </c>
      <c r="H731" s="3" t="s">
        <v>127</v>
      </c>
      <c r="I731" s="6">
        <v>16.03</v>
      </c>
      <c r="J731" s="4">
        <v>3</v>
      </c>
      <c r="K731" s="6">
        <v>5.61</v>
      </c>
    </row>
    <row r="732" spans="1:11" x14ac:dyDescent="0.3">
      <c r="A732" s="7">
        <v>41833</v>
      </c>
      <c r="B732" s="4">
        <f>YEAR(SalesData[[#This Row],[Order Date]])</f>
        <v>2014</v>
      </c>
      <c r="C732" s="4">
        <f>MONTH(SalesData[[#This Row],[Order Date]])</f>
        <v>7</v>
      </c>
      <c r="D732" s="3" t="s">
        <v>875</v>
      </c>
      <c r="E732" s="3" t="s">
        <v>27</v>
      </c>
      <c r="F732" s="3" t="s">
        <v>34</v>
      </c>
      <c r="G732" s="3" t="s">
        <v>145</v>
      </c>
      <c r="H732" s="3" t="s">
        <v>950</v>
      </c>
      <c r="I732" s="6">
        <v>351.22</v>
      </c>
      <c r="J732" s="4">
        <v>3</v>
      </c>
      <c r="K732" s="6">
        <v>4.3899999999999997</v>
      </c>
    </row>
    <row r="733" spans="1:11" x14ac:dyDescent="0.3">
      <c r="A733" s="7">
        <v>41834</v>
      </c>
      <c r="B733" s="4">
        <f>YEAR(SalesData[[#This Row],[Order Date]])</f>
        <v>2014</v>
      </c>
      <c r="C733" s="4">
        <f>MONTH(SalesData[[#This Row],[Order Date]])</f>
        <v>7</v>
      </c>
      <c r="D733" s="3" t="s">
        <v>951</v>
      </c>
      <c r="E733" s="3" t="s">
        <v>15</v>
      </c>
      <c r="F733" s="3" t="s">
        <v>11</v>
      </c>
      <c r="G733" s="3" t="s">
        <v>20</v>
      </c>
      <c r="H733" s="3" t="s">
        <v>952</v>
      </c>
      <c r="I733" s="6">
        <v>29.93</v>
      </c>
      <c r="J733" s="4">
        <v>7</v>
      </c>
      <c r="K733" s="6">
        <v>-46.39</v>
      </c>
    </row>
    <row r="734" spans="1:11" x14ac:dyDescent="0.3">
      <c r="A734" s="7">
        <v>41834</v>
      </c>
      <c r="B734" s="4">
        <f>YEAR(SalesData[[#This Row],[Order Date]])</f>
        <v>2014</v>
      </c>
      <c r="C734" s="4">
        <f>MONTH(SalesData[[#This Row],[Order Date]])</f>
        <v>7</v>
      </c>
      <c r="D734" s="3" t="s">
        <v>951</v>
      </c>
      <c r="E734" s="3" t="s">
        <v>15</v>
      </c>
      <c r="F734" s="3" t="s">
        <v>39</v>
      </c>
      <c r="G734" s="3" t="s">
        <v>40</v>
      </c>
      <c r="H734" s="3" t="s">
        <v>735</v>
      </c>
      <c r="I734" s="6">
        <v>38.270000000000003</v>
      </c>
      <c r="J734" s="4">
        <v>4</v>
      </c>
      <c r="K734" s="6">
        <v>3.83</v>
      </c>
    </row>
    <row r="735" spans="1:11" x14ac:dyDescent="0.3">
      <c r="A735" s="7">
        <v>41834</v>
      </c>
      <c r="B735" s="4">
        <f>YEAR(SalesData[[#This Row],[Order Date]])</f>
        <v>2014</v>
      </c>
      <c r="C735" s="4">
        <f>MONTH(SalesData[[#This Row],[Order Date]])</f>
        <v>7</v>
      </c>
      <c r="D735" s="3" t="s">
        <v>953</v>
      </c>
      <c r="E735" s="3" t="s">
        <v>95</v>
      </c>
      <c r="F735" s="3" t="s">
        <v>11</v>
      </c>
      <c r="G735" s="3" t="s">
        <v>18</v>
      </c>
      <c r="H735" s="3" t="s">
        <v>111</v>
      </c>
      <c r="I735" s="6">
        <v>55.92</v>
      </c>
      <c r="J735" s="4">
        <v>5</v>
      </c>
      <c r="K735" s="6">
        <v>6.29</v>
      </c>
    </row>
    <row r="736" spans="1:11" x14ac:dyDescent="0.3">
      <c r="A736" s="7">
        <v>41834</v>
      </c>
      <c r="B736" s="4">
        <f>YEAR(SalesData[[#This Row],[Order Date]])</f>
        <v>2014</v>
      </c>
      <c r="C736" s="4">
        <f>MONTH(SalesData[[#This Row],[Order Date]])</f>
        <v>7</v>
      </c>
      <c r="D736" s="3" t="s">
        <v>195</v>
      </c>
      <c r="E736" s="3" t="s">
        <v>23</v>
      </c>
      <c r="F736" s="3" t="s">
        <v>39</v>
      </c>
      <c r="G736" s="3" t="s">
        <v>40</v>
      </c>
      <c r="H736" s="3" t="s">
        <v>954</v>
      </c>
      <c r="I736" s="6">
        <v>13.49</v>
      </c>
      <c r="J736" s="4">
        <v>1</v>
      </c>
      <c r="K736" s="6">
        <v>-2.25</v>
      </c>
    </row>
    <row r="737" spans="1:11" x14ac:dyDescent="0.3">
      <c r="A737" s="7">
        <v>41834</v>
      </c>
      <c r="B737" s="4">
        <f>YEAR(SalesData[[#This Row],[Order Date]])</f>
        <v>2014</v>
      </c>
      <c r="C737" s="4">
        <f>MONTH(SalesData[[#This Row],[Order Date]])</f>
        <v>7</v>
      </c>
      <c r="D737" s="3" t="s">
        <v>195</v>
      </c>
      <c r="E737" s="3" t="s">
        <v>23</v>
      </c>
      <c r="F737" s="3" t="s">
        <v>39</v>
      </c>
      <c r="G737" s="3" t="s">
        <v>40</v>
      </c>
      <c r="H737" s="3" t="s">
        <v>955</v>
      </c>
      <c r="I737" s="6">
        <v>23.99</v>
      </c>
      <c r="J737" s="4">
        <v>2</v>
      </c>
      <c r="K737" s="6">
        <v>-13.99</v>
      </c>
    </row>
    <row r="738" spans="1:11" x14ac:dyDescent="0.3">
      <c r="A738" s="7">
        <v>41834</v>
      </c>
      <c r="B738" s="4">
        <f>YEAR(SalesData[[#This Row],[Order Date]])</f>
        <v>2014</v>
      </c>
      <c r="C738" s="4">
        <f>MONTH(SalesData[[#This Row],[Order Date]])</f>
        <v>7</v>
      </c>
      <c r="D738" s="3" t="s">
        <v>195</v>
      </c>
      <c r="E738" s="3" t="s">
        <v>23</v>
      </c>
      <c r="F738" s="3" t="s">
        <v>34</v>
      </c>
      <c r="G738" s="3" t="s">
        <v>47</v>
      </c>
      <c r="H738" s="3" t="s">
        <v>956</v>
      </c>
      <c r="I738" s="6">
        <v>31.98</v>
      </c>
      <c r="J738" s="4">
        <v>2</v>
      </c>
      <c r="K738" s="6">
        <v>1.2</v>
      </c>
    </row>
    <row r="739" spans="1:11" x14ac:dyDescent="0.3">
      <c r="A739" s="7">
        <v>41834</v>
      </c>
      <c r="B739" s="4">
        <f>YEAR(SalesData[[#This Row],[Order Date]])</f>
        <v>2014</v>
      </c>
      <c r="C739" s="4">
        <f>MONTH(SalesData[[#This Row],[Order Date]])</f>
        <v>7</v>
      </c>
      <c r="D739" s="3" t="s">
        <v>195</v>
      </c>
      <c r="E739" s="3" t="s">
        <v>23</v>
      </c>
      <c r="F739" s="3" t="s">
        <v>11</v>
      </c>
      <c r="G739" s="3" t="s">
        <v>24</v>
      </c>
      <c r="H739" s="3" t="s">
        <v>279</v>
      </c>
      <c r="I739" s="6">
        <v>41.58</v>
      </c>
      <c r="J739" s="4">
        <v>2</v>
      </c>
      <c r="K739" s="6">
        <v>4.68</v>
      </c>
    </row>
    <row r="740" spans="1:11" x14ac:dyDescent="0.3">
      <c r="A740" s="7">
        <v>41834</v>
      </c>
      <c r="B740" s="4">
        <f>YEAR(SalesData[[#This Row],[Order Date]])</f>
        <v>2014</v>
      </c>
      <c r="C740" s="4">
        <f>MONTH(SalesData[[#This Row],[Order Date]])</f>
        <v>7</v>
      </c>
      <c r="D740" s="3" t="s">
        <v>957</v>
      </c>
      <c r="E740" s="3" t="s">
        <v>59</v>
      </c>
      <c r="F740" s="3" t="s">
        <v>11</v>
      </c>
      <c r="G740" s="3" t="s">
        <v>92</v>
      </c>
      <c r="H740" s="3" t="s">
        <v>958</v>
      </c>
      <c r="I740" s="6">
        <v>39.479999999999997</v>
      </c>
      <c r="J740" s="4">
        <v>1</v>
      </c>
      <c r="K740" s="6">
        <v>11.05</v>
      </c>
    </row>
    <row r="741" spans="1:11" x14ac:dyDescent="0.3">
      <c r="A741" s="7">
        <v>41834</v>
      </c>
      <c r="B741" s="4">
        <f>YEAR(SalesData[[#This Row],[Order Date]])</f>
        <v>2014</v>
      </c>
      <c r="C741" s="4">
        <f>MONTH(SalesData[[#This Row],[Order Date]])</f>
        <v>7</v>
      </c>
      <c r="D741" s="3" t="s">
        <v>959</v>
      </c>
      <c r="E741" s="3" t="s">
        <v>149</v>
      </c>
      <c r="F741" s="3" t="s">
        <v>11</v>
      </c>
      <c r="G741" s="3" t="s">
        <v>24</v>
      </c>
      <c r="H741" s="3" t="s">
        <v>960</v>
      </c>
      <c r="I741" s="6">
        <v>17.940000000000001</v>
      </c>
      <c r="J741" s="4">
        <v>3</v>
      </c>
      <c r="K741" s="6">
        <v>4.49</v>
      </c>
    </row>
    <row r="742" spans="1:11" x14ac:dyDescent="0.3">
      <c r="A742" s="7">
        <v>41835</v>
      </c>
      <c r="B742" s="4">
        <f>YEAR(SalesData[[#This Row],[Order Date]])</f>
        <v>2014</v>
      </c>
      <c r="C742" s="4">
        <f>MONTH(SalesData[[#This Row],[Order Date]])</f>
        <v>7</v>
      </c>
      <c r="D742" s="3" t="s">
        <v>659</v>
      </c>
      <c r="E742" s="3" t="s">
        <v>140</v>
      </c>
      <c r="F742" s="3" t="s">
        <v>39</v>
      </c>
      <c r="G742" s="3" t="s">
        <v>52</v>
      </c>
      <c r="H742" s="3" t="s">
        <v>961</v>
      </c>
      <c r="I742" s="6">
        <v>2.97</v>
      </c>
      <c r="J742" s="4">
        <v>3</v>
      </c>
      <c r="K742" s="6">
        <v>1.31</v>
      </c>
    </row>
    <row r="743" spans="1:11" x14ac:dyDescent="0.3">
      <c r="A743" s="7">
        <v>41835</v>
      </c>
      <c r="B743" s="4">
        <f>YEAR(SalesData[[#This Row],[Order Date]])</f>
        <v>2014</v>
      </c>
      <c r="C743" s="4">
        <f>MONTH(SalesData[[#This Row],[Order Date]])</f>
        <v>7</v>
      </c>
      <c r="D743" s="3" t="s">
        <v>659</v>
      </c>
      <c r="E743" s="3" t="s">
        <v>140</v>
      </c>
      <c r="F743" s="3" t="s">
        <v>11</v>
      </c>
      <c r="G743" s="3" t="s">
        <v>43</v>
      </c>
      <c r="H743" s="3" t="s">
        <v>962</v>
      </c>
      <c r="I743" s="6">
        <v>6.54</v>
      </c>
      <c r="J743" s="4">
        <v>3</v>
      </c>
      <c r="K743" s="6">
        <v>2.68</v>
      </c>
    </row>
    <row r="744" spans="1:11" x14ac:dyDescent="0.3">
      <c r="A744" s="7">
        <v>41838</v>
      </c>
      <c r="B744" s="4">
        <f>YEAR(SalesData[[#This Row],[Order Date]])</f>
        <v>2014</v>
      </c>
      <c r="C744" s="4">
        <f>MONTH(SalesData[[#This Row],[Order Date]])</f>
        <v>7</v>
      </c>
      <c r="D744" s="3" t="s">
        <v>963</v>
      </c>
      <c r="E744" s="3" t="s">
        <v>95</v>
      </c>
      <c r="F744" s="3" t="s">
        <v>34</v>
      </c>
      <c r="G744" s="3" t="s">
        <v>35</v>
      </c>
      <c r="H744" s="3" t="s">
        <v>964</v>
      </c>
      <c r="I744" s="6">
        <v>259.14</v>
      </c>
      <c r="J744" s="4">
        <v>4</v>
      </c>
      <c r="K744" s="6">
        <v>-25.91</v>
      </c>
    </row>
    <row r="745" spans="1:11" x14ac:dyDescent="0.3">
      <c r="A745" s="7">
        <v>41838</v>
      </c>
      <c r="B745" s="4">
        <f>YEAR(SalesData[[#This Row],[Order Date]])</f>
        <v>2014</v>
      </c>
      <c r="C745" s="4">
        <f>MONTH(SalesData[[#This Row],[Order Date]])</f>
        <v>7</v>
      </c>
      <c r="D745" s="3" t="s">
        <v>965</v>
      </c>
      <c r="E745" s="3" t="s">
        <v>149</v>
      </c>
      <c r="F745" s="3" t="s">
        <v>11</v>
      </c>
      <c r="G745" s="3" t="s">
        <v>20</v>
      </c>
      <c r="H745" s="3" t="s">
        <v>966</v>
      </c>
      <c r="I745" s="6">
        <v>13.9</v>
      </c>
      <c r="J745" s="4">
        <v>2</v>
      </c>
      <c r="K745" s="6">
        <v>4.5199999999999996</v>
      </c>
    </row>
    <row r="746" spans="1:11" x14ac:dyDescent="0.3">
      <c r="A746" s="7">
        <v>41839</v>
      </c>
      <c r="B746" s="4">
        <f>YEAR(SalesData[[#This Row],[Order Date]])</f>
        <v>2014</v>
      </c>
      <c r="C746" s="4">
        <f>MONTH(SalesData[[#This Row],[Order Date]])</f>
        <v>7</v>
      </c>
      <c r="D746" s="3" t="s">
        <v>967</v>
      </c>
      <c r="E746" s="3" t="s">
        <v>613</v>
      </c>
      <c r="F746" s="3" t="s">
        <v>39</v>
      </c>
      <c r="G746" s="3" t="s">
        <v>40</v>
      </c>
      <c r="H746" s="3" t="s">
        <v>933</v>
      </c>
      <c r="I746" s="6">
        <v>359.98</v>
      </c>
      <c r="J746" s="4">
        <v>2</v>
      </c>
      <c r="K746" s="6">
        <v>93.59</v>
      </c>
    </row>
    <row r="747" spans="1:11" x14ac:dyDescent="0.3">
      <c r="A747" s="7">
        <v>41839</v>
      </c>
      <c r="B747" s="4">
        <f>YEAR(SalesData[[#This Row],[Order Date]])</f>
        <v>2014</v>
      </c>
      <c r="C747" s="4">
        <f>MONTH(SalesData[[#This Row],[Order Date]])</f>
        <v>7</v>
      </c>
      <c r="D747" s="3" t="s">
        <v>967</v>
      </c>
      <c r="E747" s="3" t="s">
        <v>613</v>
      </c>
      <c r="F747" s="3" t="s">
        <v>34</v>
      </c>
      <c r="G747" s="3" t="s">
        <v>145</v>
      </c>
      <c r="H747" s="3" t="s">
        <v>968</v>
      </c>
      <c r="I747" s="6">
        <v>70.56</v>
      </c>
      <c r="J747" s="4">
        <v>1</v>
      </c>
      <c r="K747" s="6">
        <v>-4.03</v>
      </c>
    </row>
    <row r="748" spans="1:11" x14ac:dyDescent="0.3">
      <c r="A748" s="7">
        <v>41839</v>
      </c>
      <c r="B748" s="4">
        <f>YEAR(SalesData[[#This Row],[Order Date]])</f>
        <v>2014</v>
      </c>
      <c r="C748" s="4">
        <f>MONTH(SalesData[[#This Row],[Order Date]])</f>
        <v>7</v>
      </c>
      <c r="D748" s="3" t="s">
        <v>967</v>
      </c>
      <c r="E748" s="3" t="s">
        <v>613</v>
      </c>
      <c r="F748" s="3" t="s">
        <v>11</v>
      </c>
      <c r="G748" s="3" t="s">
        <v>20</v>
      </c>
      <c r="H748" s="3" t="s">
        <v>969</v>
      </c>
      <c r="I748" s="6">
        <v>20.88</v>
      </c>
      <c r="J748" s="4">
        <v>2</v>
      </c>
      <c r="K748" s="6">
        <v>9.6</v>
      </c>
    </row>
    <row r="749" spans="1:11" x14ac:dyDescent="0.3">
      <c r="A749" s="7">
        <v>41839</v>
      </c>
      <c r="B749" s="4">
        <f>YEAR(SalesData[[#This Row],[Order Date]])</f>
        <v>2014</v>
      </c>
      <c r="C749" s="4">
        <f>MONTH(SalesData[[#This Row],[Order Date]])</f>
        <v>7</v>
      </c>
      <c r="D749" s="3" t="s">
        <v>967</v>
      </c>
      <c r="E749" s="3" t="s">
        <v>613</v>
      </c>
      <c r="F749" s="3" t="s">
        <v>11</v>
      </c>
      <c r="G749" s="3" t="s">
        <v>20</v>
      </c>
      <c r="H749" s="3" t="s">
        <v>970</v>
      </c>
      <c r="I749" s="6">
        <v>3.81</v>
      </c>
      <c r="J749" s="4">
        <v>1</v>
      </c>
      <c r="K749" s="6">
        <v>1.83</v>
      </c>
    </row>
    <row r="750" spans="1:11" x14ac:dyDescent="0.3">
      <c r="A750" s="7">
        <v>41839</v>
      </c>
      <c r="B750" s="4">
        <f>YEAR(SalesData[[#This Row],[Order Date]])</f>
        <v>2014</v>
      </c>
      <c r="C750" s="4">
        <f>MONTH(SalesData[[#This Row],[Order Date]])</f>
        <v>7</v>
      </c>
      <c r="D750" s="3" t="s">
        <v>971</v>
      </c>
      <c r="E750" s="3" t="s">
        <v>515</v>
      </c>
      <c r="F750" s="3" t="s">
        <v>11</v>
      </c>
      <c r="G750" s="3" t="s">
        <v>20</v>
      </c>
      <c r="H750" s="3" t="s">
        <v>972</v>
      </c>
      <c r="I750" s="6">
        <v>6.1</v>
      </c>
      <c r="J750" s="4">
        <v>2</v>
      </c>
      <c r="K750" s="6">
        <v>2.21</v>
      </c>
    </row>
    <row r="751" spans="1:11" x14ac:dyDescent="0.3">
      <c r="A751" s="7">
        <v>41840</v>
      </c>
      <c r="B751" s="4">
        <f>YEAR(SalesData[[#This Row],[Order Date]])</f>
        <v>2014</v>
      </c>
      <c r="C751" s="4">
        <f>MONTH(SalesData[[#This Row],[Order Date]])</f>
        <v>7</v>
      </c>
      <c r="D751" s="3" t="s">
        <v>973</v>
      </c>
      <c r="E751" s="3" t="s">
        <v>10</v>
      </c>
      <c r="F751" s="3" t="s">
        <v>11</v>
      </c>
      <c r="G751" s="3" t="s">
        <v>18</v>
      </c>
      <c r="H751" s="3" t="s">
        <v>974</v>
      </c>
      <c r="I751" s="6">
        <v>342.86</v>
      </c>
      <c r="J751" s="4">
        <v>3</v>
      </c>
      <c r="K751" s="6">
        <v>38.57</v>
      </c>
    </row>
    <row r="752" spans="1:11" x14ac:dyDescent="0.3">
      <c r="A752" s="7">
        <v>41840</v>
      </c>
      <c r="B752" s="4">
        <f>YEAR(SalesData[[#This Row],[Order Date]])</f>
        <v>2014</v>
      </c>
      <c r="C752" s="4">
        <f>MONTH(SalesData[[#This Row],[Order Date]])</f>
        <v>7</v>
      </c>
      <c r="D752" s="3" t="s">
        <v>973</v>
      </c>
      <c r="E752" s="3" t="s">
        <v>10</v>
      </c>
      <c r="F752" s="3" t="s">
        <v>34</v>
      </c>
      <c r="G752" s="3" t="s">
        <v>47</v>
      </c>
      <c r="H752" s="3" t="s">
        <v>975</v>
      </c>
      <c r="I752" s="6">
        <v>16.739999999999998</v>
      </c>
      <c r="J752" s="4">
        <v>5</v>
      </c>
      <c r="K752" s="6">
        <v>-14.23</v>
      </c>
    </row>
    <row r="753" spans="1:11" x14ac:dyDescent="0.3">
      <c r="A753" s="7">
        <v>41840</v>
      </c>
      <c r="B753" s="4">
        <f>YEAR(SalesData[[#This Row],[Order Date]])</f>
        <v>2014</v>
      </c>
      <c r="C753" s="4">
        <f>MONTH(SalesData[[#This Row],[Order Date]])</f>
        <v>7</v>
      </c>
      <c r="D753" s="3" t="s">
        <v>973</v>
      </c>
      <c r="E753" s="3" t="s">
        <v>10</v>
      </c>
      <c r="F753" s="3" t="s">
        <v>34</v>
      </c>
      <c r="G753" s="3" t="s">
        <v>35</v>
      </c>
      <c r="H753" s="3" t="s">
        <v>976</v>
      </c>
      <c r="I753" s="6">
        <v>981.37</v>
      </c>
      <c r="J753" s="4">
        <v>2</v>
      </c>
      <c r="K753" s="6">
        <v>-140.19999999999999</v>
      </c>
    </row>
    <row r="754" spans="1:11" x14ac:dyDescent="0.3">
      <c r="A754" s="7">
        <v>41840</v>
      </c>
      <c r="B754" s="4">
        <f>YEAR(SalesData[[#This Row],[Order Date]])</f>
        <v>2014</v>
      </c>
      <c r="C754" s="4">
        <f>MONTH(SalesData[[#This Row],[Order Date]])</f>
        <v>7</v>
      </c>
      <c r="D754" s="3" t="s">
        <v>977</v>
      </c>
      <c r="E754" s="3" t="s">
        <v>78</v>
      </c>
      <c r="F754" s="3" t="s">
        <v>11</v>
      </c>
      <c r="G754" s="3" t="s">
        <v>18</v>
      </c>
      <c r="H754" s="3" t="s">
        <v>192</v>
      </c>
      <c r="I754" s="6">
        <v>25.98</v>
      </c>
      <c r="J754" s="4">
        <v>1</v>
      </c>
      <c r="K754" s="6">
        <v>-5.2</v>
      </c>
    </row>
    <row r="755" spans="1:11" x14ac:dyDescent="0.3">
      <c r="A755" s="7">
        <v>41840</v>
      </c>
      <c r="B755" s="4">
        <f>YEAR(SalesData[[#This Row],[Order Date]])</f>
        <v>2014</v>
      </c>
      <c r="C755" s="4">
        <f>MONTH(SalesData[[#This Row],[Order Date]])</f>
        <v>7</v>
      </c>
      <c r="D755" s="3" t="s">
        <v>977</v>
      </c>
      <c r="E755" s="3" t="s">
        <v>78</v>
      </c>
      <c r="F755" s="3" t="s">
        <v>11</v>
      </c>
      <c r="G755" s="3" t="s">
        <v>20</v>
      </c>
      <c r="H755" s="3" t="s">
        <v>701</v>
      </c>
      <c r="I755" s="6">
        <v>27.36</v>
      </c>
      <c r="J755" s="4">
        <v>3</v>
      </c>
      <c r="K755" s="6">
        <v>-21.89</v>
      </c>
    </row>
    <row r="756" spans="1:11" x14ac:dyDescent="0.3">
      <c r="A756" s="7">
        <v>41840</v>
      </c>
      <c r="B756" s="4">
        <f>YEAR(SalesData[[#This Row],[Order Date]])</f>
        <v>2014</v>
      </c>
      <c r="C756" s="4">
        <f>MONTH(SalesData[[#This Row],[Order Date]])</f>
        <v>7</v>
      </c>
      <c r="D756" s="3" t="s">
        <v>978</v>
      </c>
      <c r="E756" s="3" t="s">
        <v>27</v>
      </c>
      <c r="F756" s="3" t="s">
        <v>11</v>
      </c>
      <c r="G756" s="3" t="s">
        <v>12</v>
      </c>
      <c r="H756" s="3" t="s">
        <v>979</v>
      </c>
      <c r="I756" s="6">
        <v>104.85</v>
      </c>
      <c r="J756" s="4">
        <v>1</v>
      </c>
      <c r="K756" s="6">
        <v>50.33</v>
      </c>
    </row>
    <row r="757" spans="1:11" x14ac:dyDescent="0.3">
      <c r="A757" s="7">
        <v>41840</v>
      </c>
      <c r="B757" s="4">
        <f>YEAR(SalesData[[#This Row],[Order Date]])</f>
        <v>2014</v>
      </c>
      <c r="C757" s="4">
        <f>MONTH(SalesData[[#This Row],[Order Date]])</f>
        <v>7</v>
      </c>
      <c r="D757" s="3" t="s">
        <v>978</v>
      </c>
      <c r="E757" s="3" t="s">
        <v>27</v>
      </c>
      <c r="F757" s="3" t="s">
        <v>11</v>
      </c>
      <c r="G757" s="3" t="s">
        <v>20</v>
      </c>
      <c r="H757" s="3" t="s">
        <v>980</v>
      </c>
      <c r="I757" s="6">
        <v>8.6999999999999993</v>
      </c>
      <c r="J757" s="4">
        <v>2</v>
      </c>
      <c r="K757" s="6">
        <v>3.16</v>
      </c>
    </row>
    <row r="758" spans="1:11" x14ac:dyDescent="0.3">
      <c r="A758" s="7">
        <v>41840</v>
      </c>
      <c r="B758" s="4">
        <f>YEAR(SalesData[[#This Row],[Order Date]])</f>
        <v>2014</v>
      </c>
      <c r="C758" s="4">
        <f>MONTH(SalesData[[#This Row],[Order Date]])</f>
        <v>7</v>
      </c>
      <c r="D758" s="3" t="s">
        <v>978</v>
      </c>
      <c r="E758" s="3" t="s">
        <v>27</v>
      </c>
      <c r="F758" s="3" t="s">
        <v>11</v>
      </c>
      <c r="G758" s="3" t="s">
        <v>12</v>
      </c>
      <c r="H758" s="3" t="s">
        <v>981</v>
      </c>
      <c r="I758" s="6">
        <v>19.920000000000002</v>
      </c>
      <c r="J758" s="4">
        <v>4</v>
      </c>
      <c r="K758" s="6">
        <v>9.76</v>
      </c>
    </row>
    <row r="759" spans="1:11" x14ac:dyDescent="0.3">
      <c r="A759" s="7">
        <v>41840</v>
      </c>
      <c r="B759" s="4">
        <f>YEAR(SalesData[[#This Row],[Order Date]])</f>
        <v>2014</v>
      </c>
      <c r="C759" s="4">
        <f>MONTH(SalesData[[#This Row],[Order Date]])</f>
        <v>7</v>
      </c>
      <c r="D759" s="3" t="s">
        <v>978</v>
      </c>
      <c r="E759" s="3" t="s">
        <v>27</v>
      </c>
      <c r="F759" s="3" t="s">
        <v>34</v>
      </c>
      <c r="G759" s="3" t="s">
        <v>47</v>
      </c>
      <c r="H759" s="3" t="s">
        <v>982</v>
      </c>
      <c r="I759" s="6">
        <v>43.02</v>
      </c>
      <c r="J759" s="4">
        <v>3</v>
      </c>
      <c r="K759" s="6">
        <v>15.49</v>
      </c>
    </row>
    <row r="760" spans="1:11" x14ac:dyDescent="0.3">
      <c r="A760" s="7">
        <v>41840</v>
      </c>
      <c r="B760" s="4">
        <f>YEAR(SalesData[[#This Row],[Order Date]])</f>
        <v>2014</v>
      </c>
      <c r="C760" s="4">
        <f>MONTH(SalesData[[#This Row],[Order Date]])</f>
        <v>7</v>
      </c>
      <c r="D760" s="3" t="s">
        <v>983</v>
      </c>
      <c r="E760" s="3" t="s">
        <v>27</v>
      </c>
      <c r="F760" s="3" t="s">
        <v>11</v>
      </c>
      <c r="G760" s="3" t="s">
        <v>20</v>
      </c>
      <c r="H760" s="3" t="s">
        <v>984</v>
      </c>
      <c r="I760" s="6">
        <v>89.71</v>
      </c>
      <c r="J760" s="4">
        <v>6</v>
      </c>
      <c r="K760" s="6">
        <v>30.28</v>
      </c>
    </row>
    <row r="761" spans="1:11" x14ac:dyDescent="0.3">
      <c r="A761" s="7">
        <v>41840</v>
      </c>
      <c r="B761" s="4">
        <f>YEAR(SalesData[[#This Row],[Order Date]])</f>
        <v>2014</v>
      </c>
      <c r="C761" s="4">
        <f>MONTH(SalesData[[#This Row],[Order Date]])</f>
        <v>7</v>
      </c>
      <c r="D761" s="3" t="s">
        <v>983</v>
      </c>
      <c r="E761" s="3" t="s">
        <v>27</v>
      </c>
      <c r="F761" s="3" t="s">
        <v>11</v>
      </c>
      <c r="G761" s="3" t="s">
        <v>12</v>
      </c>
      <c r="H761" s="3" t="s">
        <v>985</v>
      </c>
      <c r="I761" s="6">
        <v>22.83</v>
      </c>
      <c r="J761" s="4">
        <v>3</v>
      </c>
      <c r="K761" s="6">
        <v>10.73</v>
      </c>
    </row>
    <row r="762" spans="1:11" x14ac:dyDescent="0.3">
      <c r="A762" s="7">
        <v>41840</v>
      </c>
      <c r="B762" s="4">
        <f>YEAR(SalesData[[#This Row],[Order Date]])</f>
        <v>2014</v>
      </c>
      <c r="C762" s="4">
        <f>MONTH(SalesData[[#This Row],[Order Date]])</f>
        <v>7</v>
      </c>
      <c r="D762" s="3" t="s">
        <v>387</v>
      </c>
      <c r="E762" s="3" t="s">
        <v>27</v>
      </c>
      <c r="F762" s="3" t="s">
        <v>39</v>
      </c>
      <c r="G762" s="3" t="s">
        <v>52</v>
      </c>
      <c r="H762" s="3" t="s">
        <v>986</v>
      </c>
      <c r="I762" s="6">
        <v>41.94</v>
      </c>
      <c r="J762" s="4">
        <v>2</v>
      </c>
      <c r="K762" s="6">
        <v>15.1</v>
      </c>
    </row>
    <row r="763" spans="1:11" x14ac:dyDescent="0.3">
      <c r="A763" s="7">
        <v>41840</v>
      </c>
      <c r="B763" s="4">
        <f>YEAR(SalesData[[#This Row],[Order Date]])</f>
        <v>2014</v>
      </c>
      <c r="C763" s="4">
        <f>MONTH(SalesData[[#This Row],[Order Date]])</f>
        <v>7</v>
      </c>
      <c r="D763" s="3" t="s">
        <v>387</v>
      </c>
      <c r="E763" s="3" t="s">
        <v>27</v>
      </c>
      <c r="F763" s="3" t="s">
        <v>11</v>
      </c>
      <c r="G763" s="3" t="s">
        <v>12</v>
      </c>
      <c r="H763" s="3" t="s">
        <v>987</v>
      </c>
      <c r="I763" s="6">
        <v>11.96</v>
      </c>
      <c r="J763" s="4">
        <v>2</v>
      </c>
      <c r="K763" s="6">
        <v>5.86</v>
      </c>
    </row>
    <row r="764" spans="1:11" x14ac:dyDescent="0.3">
      <c r="A764" s="7">
        <v>41840</v>
      </c>
      <c r="B764" s="4">
        <f>YEAR(SalesData[[#This Row],[Order Date]])</f>
        <v>2014</v>
      </c>
      <c r="C764" s="4">
        <f>MONTH(SalesData[[#This Row],[Order Date]])</f>
        <v>7</v>
      </c>
      <c r="D764" s="3" t="s">
        <v>387</v>
      </c>
      <c r="E764" s="3" t="s">
        <v>27</v>
      </c>
      <c r="F764" s="3" t="s">
        <v>11</v>
      </c>
      <c r="G764" s="3" t="s">
        <v>24</v>
      </c>
      <c r="H764" s="3" t="s">
        <v>988</v>
      </c>
      <c r="I764" s="6">
        <v>13.12</v>
      </c>
      <c r="J764" s="4">
        <v>4</v>
      </c>
      <c r="K764" s="6">
        <v>3.8</v>
      </c>
    </row>
    <row r="765" spans="1:11" x14ac:dyDescent="0.3">
      <c r="A765" s="7">
        <v>41840</v>
      </c>
      <c r="B765" s="4">
        <f>YEAR(SalesData[[#This Row],[Order Date]])</f>
        <v>2014</v>
      </c>
      <c r="C765" s="4">
        <f>MONTH(SalesData[[#This Row],[Order Date]])</f>
        <v>7</v>
      </c>
      <c r="D765" s="3" t="s">
        <v>387</v>
      </c>
      <c r="E765" s="3" t="s">
        <v>27</v>
      </c>
      <c r="F765" s="3" t="s">
        <v>11</v>
      </c>
      <c r="G765" s="3" t="s">
        <v>18</v>
      </c>
      <c r="H765" s="3" t="s">
        <v>308</v>
      </c>
      <c r="I765" s="6">
        <v>535.41</v>
      </c>
      <c r="J765" s="4">
        <v>3</v>
      </c>
      <c r="K765" s="6">
        <v>160.62</v>
      </c>
    </row>
    <row r="766" spans="1:11" x14ac:dyDescent="0.3">
      <c r="A766" s="7">
        <v>41841</v>
      </c>
      <c r="B766" s="4">
        <f>YEAR(SalesData[[#This Row],[Order Date]])</f>
        <v>2014</v>
      </c>
      <c r="C766" s="4">
        <f>MONTH(SalesData[[#This Row],[Order Date]])</f>
        <v>7</v>
      </c>
      <c r="D766" s="3" t="s">
        <v>989</v>
      </c>
      <c r="E766" s="3" t="s">
        <v>27</v>
      </c>
      <c r="F766" s="3" t="s">
        <v>11</v>
      </c>
      <c r="G766" s="3" t="s">
        <v>24</v>
      </c>
      <c r="H766" s="3" t="s">
        <v>990</v>
      </c>
      <c r="I766" s="6">
        <v>99.2</v>
      </c>
      <c r="J766" s="4">
        <v>5</v>
      </c>
      <c r="K766" s="6">
        <v>25.79</v>
      </c>
    </row>
    <row r="767" spans="1:11" x14ac:dyDescent="0.3">
      <c r="A767" s="7">
        <v>41841</v>
      </c>
      <c r="B767" s="4">
        <f>YEAR(SalesData[[#This Row],[Order Date]])</f>
        <v>2014</v>
      </c>
      <c r="C767" s="4">
        <f>MONTH(SalesData[[#This Row],[Order Date]])</f>
        <v>7</v>
      </c>
      <c r="D767" s="3" t="s">
        <v>989</v>
      </c>
      <c r="E767" s="3" t="s">
        <v>27</v>
      </c>
      <c r="F767" s="3" t="s">
        <v>34</v>
      </c>
      <c r="G767" s="3" t="s">
        <v>35</v>
      </c>
      <c r="H767" s="3" t="s">
        <v>991</v>
      </c>
      <c r="I767" s="6">
        <v>801.57</v>
      </c>
      <c r="J767" s="4">
        <v>2</v>
      </c>
      <c r="K767" s="6">
        <v>50.1</v>
      </c>
    </row>
    <row r="768" spans="1:11" x14ac:dyDescent="0.3">
      <c r="A768" s="7">
        <v>41841</v>
      </c>
      <c r="B768" s="4">
        <f>YEAR(SalesData[[#This Row],[Order Date]])</f>
        <v>2014</v>
      </c>
      <c r="C768" s="4">
        <f>MONTH(SalesData[[#This Row],[Order Date]])</f>
        <v>7</v>
      </c>
      <c r="D768" s="3" t="s">
        <v>989</v>
      </c>
      <c r="E768" s="3" t="s">
        <v>27</v>
      </c>
      <c r="F768" s="3" t="s">
        <v>34</v>
      </c>
      <c r="G768" s="3" t="s">
        <v>145</v>
      </c>
      <c r="H768" s="3" t="s">
        <v>322</v>
      </c>
      <c r="I768" s="6">
        <v>272.85000000000002</v>
      </c>
      <c r="J768" s="4">
        <v>1</v>
      </c>
      <c r="K768" s="6">
        <v>27.28</v>
      </c>
    </row>
    <row r="769" spans="1:11" x14ac:dyDescent="0.3">
      <c r="A769" s="7">
        <v>41841</v>
      </c>
      <c r="B769" s="4">
        <f>YEAR(SalesData[[#This Row],[Order Date]])</f>
        <v>2014</v>
      </c>
      <c r="C769" s="4">
        <f>MONTH(SalesData[[#This Row],[Order Date]])</f>
        <v>7</v>
      </c>
      <c r="D769" s="3" t="s">
        <v>992</v>
      </c>
      <c r="E769" s="3" t="s">
        <v>10</v>
      </c>
      <c r="F769" s="3" t="s">
        <v>11</v>
      </c>
      <c r="G769" s="3" t="s">
        <v>92</v>
      </c>
      <c r="H769" s="3" t="s">
        <v>686</v>
      </c>
      <c r="I769" s="6">
        <v>4.99</v>
      </c>
      <c r="J769" s="4">
        <v>3</v>
      </c>
      <c r="K769" s="6">
        <v>-12.98</v>
      </c>
    </row>
    <row r="770" spans="1:11" x14ac:dyDescent="0.3">
      <c r="A770" s="7">
        <v>41841</v>
      </c>
      <c r="B770" s="4">
        <f>YEAR(SalesData[[#This Row],[Order Date]])</f>
        <v>2014</v>
      </c>
      <c r="C770" s="4">
        <f>MONTH(SalesData[[#This Row],[Order Date]])</f>
        <v>7</v>
      </c>
      <c r="D770" s="3" t="s">
        <v>992</v>
      </c>
      <c r="E770" s="3" t="s">
        <v>10</v>
      </c>
      <c r="F770" s="3" t="s">
        <v>11</v>
      </c>
      <c r="G770" s="3" t="s">
        <v>63</v>
      </c>
      <c r="H770" s="3" t="s">
        <v>993</v>
      </c>
      <c r="I770" s="6">
        <v>87.92</v>
      </c>
      <c r="J770" s="4">
        <v>5</v>
      </c>
      <c r="K770" s="6">
        <v>29.67</v>
      </c>
    </row>
    <row r="771" spans="1:11" x14ac:dyDescent="0.3">
      <c r="A771" s="7">
        <v>41841</v>
      </c>
      <c r="B771" s="4">
        <f>YEAR(SalesData[[#This Row],[Order Date]])</f>
        <v>2014</v>
      </c>
      <c r="C771" s="4">
        <f>MONTH(SalesData[[#This Row],[Order Date]])</f>
        <v>7</v>
      </c>
      <c r="D771" s="3" t="s">
        <v>992</v>
      </c>
      <c r="E771" s="3" t="s">
        <v>10</v>
      </c>
      <c r="F771" s="3" t="s">
        <v>34</v>
      </c>
      <c r="G771" s="3" t="s">
        <v>35</v>
      </c>
      <c r="H771" s="3" t="s">
        <v>994</v>
      </c>
      <c r="I771" s="6">
        <v>657.93</v>
      </c>
      <c r="J771" s="4">
        <v>5</v>
      </c>
      <c r="K771" s="6">
        <v>-93.99</v>
      </c>
    </row>
    <row r="772" spans="1:11" x14ac:dyDescent="0.3">
      <c r="A772" s="7">
        <v>41841</v>
      </c>
      <c r="B772" s="4">
        <f>YEAR(SalesData[[#This Row],[Order Date]])</f>
        <v>2014</v>
      </c>
      <c r="C772" s="4">
        <f>MONTH(SalesData[[#This Row],[Order Date]])</f>
        <v>7</v>
      </c>
      <c r="D772" s="3" t="s">
        <v>992</v>
      </c>
      <c r="E772" s="3" t="s">
        <v>10</v>
      </c>
      <c r="F772" s="3" t="s">
        <v>11</v>
      </c>
      <c r="G772" s="3" t="s">
        <v>20</v>
      </c>
      <c r="H772" s="3" t="s">
        <v>995</v>
      </c>
      <c r="I772" s="6">
        <v>1.04</v>
      </c>
      <c r="J772" s="4">
        <v>1</v>
      </c>
      <c r="K772" s="6">
        <v>-1.83</v>
      </c>
    </row>
    <row r="773" spans="1:11" x14ac:dyDescent="0.3">
      <c r="A773" s="7">
        <v>41841</v>
      </c>
      <c r="B773" s="4">
        <f>YEAR(SalesData[[#This Row],[Order Date]])</f>
        <v>2014</v>
      </c>
      <c r="C773" s="4">
        <f>MONTH(SalesData[[#This Row],[Order Date]])</f>
        <v>7</v>
      </c>
      <c r="D773" s="3" t="s">
        <v>635</v>
      </c>
      <c r="E773" s="3" t="s">
        <v>996</v>
      </c>
      <c r="F773" s="3" t="s">
        <v>39</v>
      </c>
      <c r="G773" s="3" t="s">
        <v>40</v>
      </c>
      <c r="H773" s="3" t="s">
        <v>391</v>
      </c>
      <c r="I773" s="6">
        <v>35.979999999999997</v>
      </c>
      <c r="J773" s="4">
        <v>2</v>
      </c>
      <c r="K773" s="6">
        <v>10.07</v>
      </c>
    </row>
    <row r="774" spans="1:11" x14ac:dyDescent="0.3">
      <c r="A774" s="7">
        <v>41842</v>
      </c>
      <c r="B774" s="4">
        <f>YEAR(SalesData[[#This Row],[Order Date]])</f>
        <v>2014</v>
      </c>
      <c r="C774" s="4">
        <f>MONTH(SalesData[[#This Row],[Order Date]])</f>
        <v>7</v>
      </c>
      <c r="D774" s="3" t="s">
        <v>997</v>
      </c>
      <c r="E774" s="3" t="s">
        <v>149</v>
      </c>
      <c r="F774" s="3" t="s">
        <v>11</v>
      </c>
      <c r="G774" s="3" t="s">
        <v>24</v>
      </c>
      <c r="H774" s="3" t="s">
        <v>998</v>
      </c>
      <c r="I774" s="6">
        <v>5.96</v>
      </c>
      <c r="J774" s="4">
        <v>2</v>
      </c>
      <c r="K774" s="6">
        <v>1.67</v>
      </c>
    </row>
    <row r="775" spans="1:11" x14ac:dyDescent="0.3">
      <c r="A775" s="7">
        <v>41842</v>
      </c>
      <c r="B775" s="4">
        <f>YEAR(SalesData[[#This Row],[Order Date]])</f>
        <v>2014</v>
      </c>
      <c r="C775" s="4">
        <f>MONTH(SalesData[[#This Row],[Order Date]])</f>
        <v>7</v>
      </c>
      <c r="D775" s="3" t="s">
        <v>997</v>
      </c>
      <c r="E775" s="3" t="s">
        <v>149</v>
      </c>
      <c r="F775" s="3" t="s">
        <v>39</v>
      </c>
      <c r="G775" s="3" t="s">
        <v>52</v>
      </c>
      <c r="H775" s="3" t="s">
        <v>999</v>
      </c>
      <c r="I775" s="6">
        <v>159.97999999999999</v>
      </c>
      <c r="J775" s="4">
        <v>2</v>
      </c>
      <c r="K775" s="6">
        <v>57.59</v>
      </c>
    </row>
    <row r="776" spans="1:11" x14ac:dyDescent="0.3">
      <c r="A776" s="7">
        <v>41842</v>
      </c>
      <c r="B776" s="4">
        <f>YEAR(SalesData[[#This Row],[Order Date]])</f>
        <v>2014</v>
      </c>
      <c r="C776" s="4">
        <f>MONTH(SalesData[[#This Row],[Order Date]])</f>
        <v>7</v>
      </c>
      <c r="D776" s="3" t="s">
        <v>667</v>
      </c>
      <c r="E776" s="3" t="s">
        <v>27</v>
      </c>
      <c r="F776" s="3" t="s">
        <v>11</v>
      </c>
      <c r="G776" s="3" t="s">
        <v>24</v>
      </c>
      <c r="H776" s="3" t="s">
        <v>1000</v>
      </c>
      <c r="I776" s="6">
        <v>11.52</v>
      </c>
      <c r="J776" s="4">
        <v>4</v>
      </c>
      <c r="K776" s="6">
        <v>3.23</v>
      </c>
    </row>
    <row r="777" spans="1:11" x14ac:dyDescent="0.3">
      <c r="A777" s="7">
        <v>41842</v>
      </c>
      <c r="B777" s="4">
        <f>YEAR(SalesData[[#This Row],[Order Date]])</f>
        <v>2014</v>
      </c>
      <c r="C777" s="4">
        <f>MONTH(SalesData[[#This Row],[Order Date]])</f>
        <v>7</v>
      </c>
      <c r="D777" s="3" t="s">
        <v>667</v>
      </c>
      <c r="E777" s="3" t="s">
        <v>27</v>
      </c>
      <c r="F777" s="3" t="s">
        <v>34</v>
      </c>
      <c r="G777" s="3" t="s">
        <v>35</v>
      </c>
      <c r="H777" s="3" t="s">
        <v>918</v>
      </c>
      <c r="I777" s="6">
        <v>717.72</v>
      </c>
      <c r="J777" s="4">
        <v>3</v>
      </c>
      <c r="K777" s="6">
        <v>71.77</v>
      </c>
    </row>
    <row r="778" spans="1:11" x14ac:dyDescent="0.3">
      <c r="A778" s="7">
        <v>41842</v>
      </c>
      <c r="B778" s="4">
        <f>YEAR(SalesData[[#This Row],[Order Date]])</f>
        <v>2014</v>
      </c>
      <c r="C778" s="4">
        <f>MONTH(SalesData[[#This Row],[Order Date]])</f>
        <v>7</v>
      </c>
      <c r="D778" s="3" t="s">
        <v>667</v>
      </c>
      <c r="E778" s="3" t="s">
        <v>27</v>
      </c>
      <c r="F778" s="3" t="s">
        <v>11</v>
      </c>
      <c r="G778" s="3" t="s">
        <v>18</v>
      </c>
      <c r="H778" s="3" t="s">
        <v>1001</v>
      </c>
      <c r="I778" s="6">
        <v>236.5</v>
      </c>
      <c r="J778" s="4">
        <v>10</v>
      </c>
      <c r="K778" s="6">
        <v>68.59</v>
      </c>
    </row>
    <row r="779" spans="1:11" x14ac:dyDescent="0.3">
      <c r="A779" s="7">
        <v>41842</v>
      </c>
      <c r="B779" s="4">
        <f>YEAR(SalesData[[#This Row],[Order Date]])</f>
        <v>2014</v>
      </c>
      <c r="C779" s="4">
        <f>MONTH(SalesData[[#This Row],[Order Date]])</f>
        <v>7</v>
      </c>
      <c r="D779" s="3" t="s">
        <v>667</v>
      </c>
      <c r="E779" s="3" t="s">
        <v>27</v>
      </c>
      <c r="F779" s="3" t="s">
        <v>34</v>
      </c>
      <c r="G779" s="3" t="s">
        <v>145</v>
      </c>
      <c r="H779" s="3" t="s">
        <v>1002</v>
      </c>
      <c r="I779" s="6">
        <v>170.35</v>
      </c>
      <c r="J779" s="4">
        <v>3</v>
      </c>
      <c r="K779" s="6">
        <v>19.16</v>
      </c>
    </row>
    <row r="780" spans="1:11" x14ac:dyDescent="0.3">
      <c r="A780" s="7">
        <v>41842</v>
      </c>
      <c r="B780" s="4">
        <f>YEAR(SalesData[[#This Row],[Order Date]])</f>
        <v>2014</v>
      </c>
      <c r="C780" s="4">
        <f>MONTH(SalesData[[#This Row],[Order Date]])</f>
        <v>7</v>
      </c>
      <c r="D780" s="3" t="s">
        <v>1003</v>
      </c>
      <c r="E780" s="3" t="s">
        <v>27</v>
      </c>
      <c r="F780" s="3" t="s">
        <v>11</v>
      </c>
      <c r="G780" s="3" t="s">
        <v>24</v>
      </c>
      <c r="H780" s="3" t="s">
        <v>459</v>
      </c>
      <c r="I780" s="6">
        <v>19.68</v>
      </c>
      <c r="J780" s="4">
        <v>6</v>
      </c>
      <c r="K780" s="6">
        <v>6.49</v>
      </c>
    </row>
    <row r="781" spans="1:11" x14ac:dyDescent="0.3">
      <c r="A781" s="7">
        <v>41842</v>
      </c>
      <c r="B781" s="4">
        <f>YEAR(SalesData[[#This Row],[Order Date]])</f>
        <v>2014</v>
      </c>
      <c r="C781" s="4">
        <f>MONTH(SalesData[[#This Row],[Order Date]])</f>
        <v>7</v>
      </c>
      <c r="D781" s="3" t="s">
        <v>1004</v>
      </c>
      <c r="E781" s="3" t="s">
        <v>10</v>
      </c>
      <c r="F781" s="3" t="s">
        <v>11</v>
      </c>
      <c r="G781" s="3" t="s">
        <v>18</v>
      </c>
      <c r="H781" s="3" t="s">
        <v>115</v>
      </c>
      <c r="I781" s="6">
        <v>26.63</v>
      </c>
      <c r="J781" s="4">
        <v>1</v>
      </c>
      <c r="K781" s="6">
        <v>1.33</v>
      </c>
    </row>
    <row r="782" spans="1:11" x14ac:dyDescent="0.3">
      <c r="A782" s="7">
        <v>41843</v>
      </c>
      <c r="B782" s="4">
        <f>YEAR(SalesData[[#This Row],[Order Date]])</f>
        <v>2014</v>
      </c>
      <c r="C782" s="4">
        <f>MONTH(SalesData[[#This Row],[Order Date]])</f>
        <v>7</v>
      </c>
      <c r="D782" s="3" t="s">
        <v>1005</v>
      </c>
      <c r="E782" s="3" t="s">
        <v>95</v>
      </c>
      <c r="F782" s="3" t="s">
        <v>11</v>
      </c>
      <c r="G782" s="3" t="s">
        <v>20</v>
      </c>
      <c r="H782" s="3" t="s">
        <v>980</v>
      </c>
      <c r="I782" s="6">
        <v>8.16</v>
      </c>
      <c r="J782" s="4">
        <v>5</v>
      </c>
      <c r="K782" s="6">
        <v>-5.71</v>
      </c>
    </row>
    <row r="783" spans="1:11" x14ac:dyDescent="0.3">
      <c r="A783" s="7">
        <v>41843</v>
      </c>
      <c r="B783" s="4">
        <f>YEAR(SalesData[[#This Row],[Order Date]])</f>
        <v>2014</v>
      </c>
      <c r="C783" s="4">
        <f>MONTH(SalesData[[#This Row],[Order Date]])</f>
        <v>7</v>
      </c>
      <c r="D783" s="3" t="s">
        <v>1005</v>
      </c>
      <c r="E783" s="3" t="s">
        <v>95</v>
      </c>
      <c r="F783" s="3" t="s">
        <v>39</v>
      </c>
      <c r="G783" s="3" t="s">
        <v>52</v>
      </c>
      <c r="H783" s="3" t="s">
        <v>905</v>
      </c>
      <c r="I783" s="6">
        <v>1023.94</v>
      </c>
      <c r="J783" s="4">
        <v>8</v>
      </c>
      <c r="K783" s="6">
        <v>179.19</v>
      </c>
    </row>
    <row r="784" spans="1:11" x14ac:dyDescent="0.3">
      <c r="A784" s="7">
        <v>41843</v>
      </c>
      <c r="B784" s="4">
        <f>YEAR(SalesData[[#This Row],[Order Date]])</f>
        <v>2014</v>
      </c>
      <c r="C784" s="4">
        <f>MONTH(SalesData[[#This Row],[Order Date]])</f>
        <v>7</v>
      </c>
      <c r="D784" s="3" t="s">
        <v>1005</v>
      </c>
      <c r="E784" s="3" t="s">
        <v>95</v>
      </c>
      <c r="F784" s="3" t="s">
        <v>11</v>
      </c>
      <c r="G784" s="3" t="s">
        <v>24</v>
      </c>
      <c r="H784" s="3" t="s">
        <v>1006</v>
      </c>
      <c r="I784" s="6">
        <v>9.24</v>
      </c>
      <c r="J784" s="4">
        <v>1</v>
      </c>
      <c r="K784" s="6">
        <v>0.92</v>
      </c>
    </row>
    <row r="785" spans="1:11" x14ac:dyDescent="0.3">
      <c r="A785" s="7">
        <v>41843</v>
      </c>
      <c r="B785" s="4">
        <f>YEAR(SalesData[[#This Row],[Order Date]])</f>
        <v>2014</v>
      </c>
      <c r="C785" s="4">
        <f>MONTH(SalesData[[#This Row],[Order Date]])</f>
        <v>7</v>
      </c>
      <c r="D785" s="3" t="s">
        <v>1005</v>
      </c>
      <c r="E785" s="3" t="s">
        <v>95</v>
      </c>
      <c r="F785" s="3" t="s">
        <v>39</v>
      </c>
      <c r="G785" s="3" t="s">
        <v>52</v>
      </c>
      <c r="H785" s="3" t="s">
        <v>1007</v>
      </c>
      <c r="I785" s="6">
        <v>479.04</v>
      </c>
      <c r="J785" s="4">
        <v>10</v>
      </c>
      <c r="K785" s="6">
        <v>-29.94</v>
      </c>
    </row>
    <row r="786" spans="1:11" x14ac:dyDescent="0.3">
      <c r="A786" s="7">
        <v>41843</v>
      </c>
      <c r="B786" s="4">
        <f>YEAR(SalesData[[#This Row],[Order Date]])</f>
        <v>2014</v>
      </c>
      <c r="C786" s="4">
        <f>MONTH(SalesData[[#This Row],[Order Date]])</f>
        <v>7</v>
      </c>
      <c r="D786" s="3" t="s">
        <v>664</v>
      </c>
      <c r="E786" s="3" t="s">
        <v>149</v>
      </c>
      <c r="F786" s="3" t="s">
        <v>39</v>
      </c>
      <c r="G786" s="3" t="s">
        <v>52</v>
      </c>
      <c r="H786" s="3" t="s">
        <v>1008</v>
      </c>
      <c r="I786" s="6">
        <v>99.98</v>
      </c>
      <c r="J786" s="4">
        <v>2</v>
      </c>
      <c r="K786" s="6">
        <v>8</v>
      </c>
    </row>
    <row r="787" spans="1:11" x14ac:dyDescent="0.3">
      <c r="A787" s="7">
        <v>41843</v>
      </c>
      <c r="B787" s="4">
        <f>YEAR(SalesData[[#This Row],[Order Date]])</f>
        <v>2014</v>
      </c>
      <c r="C787" s="4">
        <f>MONTH(SalesData[[#This Row],[Order Date]])</f>
        <v>7</v>
      </c>
      <c r="D787" s="3" t="s">
        <v>1009</v>
      </c>
      <c r="E787" s="3" t="s">
        <v>27</v>
      </c>
      <c r="F787" s="3" t="s">
        <v>39</v>
      </c>
      <c r="G787" s="3" t="s">
        <v>40</v>
      </c>
      <c r="H787" s="3" t="s">
        <v>720</v>
      </c>
      <c r="I787" s="6">
        <v>604.75</v>
      </c>
      <c r="J787" s="4">
        <v>6</v>
      </c>
      <c r="K787" s="6">
        <v>60.48</v>
      </c>
    </row>
    <row r="788" spans="1:11" x14ac:dyDescent="0.3">
      <c r="A788" s="7">
        <v>41843</v>
      </c>
      <c r="B788" s="4">
        <f>YEAR(SalesData[[#This Row],[Order Date]])</f>
        <v>2014</v>
      </c>
      <c r="C788" s="4">
        <f>MONTH(SalesData[[#This Row],[Order Date]])</f>
        <v>7</v>
      </c>
      <c r="D788" s="3" t="s">
        <v>1009</v>
      </c>
      <c r="E788" s="3" t="s">
        <v>27</v>
      </c>
      <c r="F788" s="3" t="s">
        <v>11</v>
      </c>
      <c r="G788" s="3" t="s">
        <v>200</v>
      </c>
      <c r="H788" s="3" t="s">
        <v>1010</v>
      </c>
      <c r="I788" s="6">
        <v>40.700000000000003</v>
      </c>
      <c r="J788" s="4">
        <v>5</v>
      </c>
      <c r="K788" s="6">
        <v>11.8</v>
      </c>
    </row>
    <row r="789" spans="1:11" x14ac:dyDescent="0.3">
      <c r="A789" s="7">
        <v>41843</v>
      </c>
      <c r="B789" s="4">
        <f>YEAR(SalesData[[#This Row],[Order Date]])</f>
        <v>2014</v>
      </c>
      <c r="C789" s="4">
        <f>MONTH(SalesData[[#This Row],[Order Date]])</f>
        <v>7</v>
      </c>
      <c r="D789" s="3" t="s">
        <v>1009</v>
      </c>
      <c r="E789" s="3" t="s">
        <v>27</v>
      </c>
      <c r="F789" s="3" t="s">
        <v>39</v>
      </c>
      <c r="G789" s="3" t="s">
        <v>40</v>
      </c>
      <c r="H789" s="3" t="s">
        <v>568</v>
      </c>
      <c r="I789" s="6">
        <v>302.38</v>
      </c>
      <c r="J789" s="4">
        <v>3</v>
      </c>
      <c r="K789" s="6">
        <v>37.799999999999997</v>
      </c>
    </row>
    <row r="790" spans="1:11" x14ac:dyDescent="0.3">
      <c r="A790" s="7">
        <v>41843</v>
      </c>
      <c r="B790" s="4">
        <f>YEAR(SalesData[[#This Row],[Order Date]])</f>
        <v>2014</v>
      </c>
      <c r="C790" s="4">
        <f>MONTH(SalesData[[#This Row],[Order Date]])</f>
        <v>7</v>
      </c>
      <c r="D790" s="3" t="s">
        <v>1009</v>
      </c>
      <c r="E790" s="3" t="s">
        <v>27</v>
      </c>
      <c r="F790" s="3" t="s">
        <v>39</v>
      </c>
      <c r="G790" s="3" t="s">
        <v>52</v>
      </c>
      <c r="H790" s="3" t="s">
        <v>1011</v>
      </c>
      <c r="I790" s="6">
        <v>45</v>
      </c>
      <c r="J790" s="4">
        <v>3</v>
      </c>
      <c r="K790" s="6">
        <v>4.95</v>
      </c>
    </row>
    <row r="791" spans="1:11" x14ac:dyDescent="0.3">
      <c r="A791" s="7">
        <v>41845</v>
      </c>
      <c r="B791" s="4">
        <f>YEAR(SalesData[[#This Row],[Order Date]])</f>
        <v>2014</v>
      </c>
      <c r="C791" s="4">
        <f>MONTH(SalesData[[#This Row],[Order Date]])</f>
        <v>7</v>
      </c>
      <c r="D791" s="3" t="s">
        <v>1012</v>
      </c>
      <c r="E791" s="3" t="s">
        <v>27</v>
      </c>
      <c r="F791" s="3" t="s">
        <v>11</v>
      </c>
      <c r="G791" s="3" t="s">
        <v>18</v>
      </c>
      <c r="H791" s="3" t="s">
        <v>1013</v>
      </c>
      <c r="I791" s="6">
        <v>53.72</v>
      </c>
      <c r="J791" s="4">
        <v>4</v>
      </c>
      <c r="K791" s="6">
        <v>15.04</v>
      </c>
    </row>
    <row r="792" spans="1:11" x14ac:dyDescent="0.3">
      <c r="A792" s="7">
        <v>41845</v>
      </c>
      <c r="B792" s="4">
        <f>YEAR(SalesData[[#This Row],[Order Date]])</f>
        <v>2014</v>
      </c>
      <c r="C792" s="4">
        <f>MONTH(SalesData[[#This Row],[Order Date]])</f>
        <v>7</v>
      </c>
      <c r="D792" s="3" t="s">
        <v>1012</v>
      </c>
      <c r="E792" s="3" t="s">
        <v>27</v>
      </c>
      <c r="F792" s="3" t="s">
        <v>11</v>
      </c>
      <c r="G792" s="3" t="s">
        <v>200</v>
      </c>
      <c r="H792" s="3" t="s">
        <v>1014</v>
      </c>
      <c r="I792" s="6">
        <v>8187.65</v>
      </c>
      <c r="J792" s="4">
        <v>5</v>
      </c>
      <c r="K792" s="6">
        <v>327.51</v>
      </c>
    </row>
    <row r="793" spans="1:11" x14ac:dyDescent="0.3">
      <c r="A793" s="7">
        <v>41845</v>
      </c>
      <c r="B793" s="4">
        <f>YEAR(SalesData[[#This Row],[Order Date]])</f>
        <v>2014</v>
      </c>
      <c r="C793" s="4">
        <f>MONTH(SalesData[[#This Row],[Order Date]])</f>
        <v>7</v>
      </c>
      <c r="D793" s="3" t="s">
        <v>1012</v>
      </c>
      <c r="E793" s="3" t="s">
        <v>27</v>
      </c>
      <c r="F793" s="3" t="s">
        <v>34</v>
      </c>
      <c r="G793" s="3" t="s">
        <v>47</v>
      </c>
      <c r="H793" s="3" t="s">
        <v>1015</v>
      </c>
      <c r="I793" s="6">
        <v>77.92</v>
      </c>
      <c r="J793" s="4">
        <v>8</v>
      </c>
      <c r="K793" s="6">
        <v>34.28</v>
      </c>
    </row>
    <row r="794" spans="1:11" x14ac:dyDescent="0.3">
      <c r="A794" s="7">
        <v>41845</v>
      </c>
      <c r="B794" s="4">
        <f>YEAR(SalesData[[#This Row],[Order Date]])</f>
        <v>2014</v>
      </c>
      <c r="C794" s="4">
        <f>MONTH(SalesData[[#This Row],[Order Date]])</f>
        <v>7</v>
      </c>
      <c r="D794" s="3" t="s">
        <v>230</v>
      </c>
      <c r="E794" s="3" t="s">
        <v>27</v>
      </c>
      <c r="F794" s="3" t="s">
        <v>11</v>
      </c>
      <c r="G794" s="3" t="s">
        <v>12</v>
      </c>
      <c r="H794" s="3" t="s">
        <v>327</v>
      </c>
      <c r="I794" s="6">
        <v>6.48</v>
      </c>
      <c r="J794" s="4">
        <v>1</v>
      </c>
      <c r="K794" s="6">
        <v>3.18</v>
      </c>
    </row>
    <row r="795" spans="1:11" x14ac:dyDescent="0.3">
      <c r="A795" s="7">
        <v>41845</v>
      </c>
      <c r="B795" s="4">
        <f>YEAR(SalesData[[#This Row],[Order Date]])</f>
        <v>2014</v>
      </c>
      <c r="C795" s="4">
        <f>MONTH(SalesData[[#This Row],[Order Date]])</f>
        <v>7</v>
      </c>
      <c r="D795" s="3" t="s">
        <v>230</v>
      </c>
      <c r="E795" s="3" t="s">
        <v>27</v>
      </c>
      <c r="F795" s="3" t="s">
        <v>11</v>
      </c>
      <c r="G795" s="3" t="s">
        <v>200</v>
      </c>
      <c r="H795" s="3" t="s">
        <v>870</v>
      </c>
      <c r="I795" s="6">
        <v>15.52</v>
      </c>
      <c r="J795" s="4">
        <v>4</v>
      </c>
      <c r="K795" s="6">
        <v>4.5</v>
      </c>
    </row>
    <row r="796" spans="1:11" x14ac:dyDescent="0.3">
      <c r="A796" s="7">
        <v>41846</v>
      </c>
      <c r="B796" s="4">
        <f>YEAR(SalesData[[#This Row],[Order Date]])</f>
        <v>2014</v>
      </c>
      <c r="C796" s="4">
        <f>MONTH(SalesData[[#This Row],[Order Date]])</f>
        <v>7</v>
      </c>
      <c r="D796" s="3" t="s">
        <v>1016</v>
      </c>
      <c r="E796" s="3" t="s">
        <v>15</v>
      </c>
      <c r="F796" s="3" t="s">
        <v>11</v>
      </c>
      <c r="G796" s="3" t="s">
        <v>18</v>
      </c>
      <c r="H796" s="3" t="s">
        <v>1017</v>
      </c>
      <c r="I796" s="6">
        <v>123.55</v>
      </c>
      <c r="J796" s="4">
        <v>3</v>
      </c>
      <c r="K796" s="6">
        <v>-29.34</v>
      </c>
    </row>
    <row r="797" spans="1:11" x14ac:dyDescent="0.3">
      <c r="A797" s="7">
        <v>41846</v>
      </c>
      <c r="B797" s="4">
        <f>YEAR(SalesData[[#This Row],[Order Date]])</f>
        <v>2014</v>
      </c>
      <c r="C797" s="4">
        <f>MONTH(SalesData[[#This Row],[Order Date]])</f>
        <v>7</v>
      </c>
      <c r="D797" s="3" t="s">
        <v>405</v>
      </c>
      <c r="E797" s="3" t="s">
        <v>126</v>
      </c>
      <c r="F797" s="3" t="s">
        <v>39</v>
      </c>
      <c r="G797" s="3" t="s">
        <v>40</v>
      </c>
      <c r="H797" s="3" t="s">
        <v>1018</v>
      </c>
      <c r="I797" s="6">
        <v>911.98</v>
      </c>
      <c r="J797" s="4">
        <v>2</v>
      </c>
      <c r="K797" s="6">
        <v>114</v>
      </c>
    </row>
    <row r="798" spans="1:11" x14ac:dyDescent="0.3">
      <c r="A798" s="7">
        <v>41846</v>
      </c>
      <c r="B798" s="4">
        <f>YEAR(SalesData[[#This Row],[Order Date]])</f>
        <v>2014</v>
      </c>
      <c r="C798" s="4">
        <f>MONTH(SalesData[[#This Row],[Order Date]])</f>
        <v>7</v>
      </c>
      <c r="D798" s="3" t="s">
        <v>405</v>
      </c>
      <c r="E798" s="3" t="s">
        <v>126</v>
      </c>
      <c r="F798" s="3" t="s">
        <v>34</v>
      </c>
      <c r="G798" s="3" t="s">
        <v>35</v>
      </c>
      <c r="H798" s="3" t="s">
        <v>1019</v>
      </c>
      <c r="I798" s="6">
        <v>674.35</v>
      </c>
      <c r="J798" s="4">
        <v>3</v>
      </c>
      <c r="K798" s="6">
        <v>-109.58</v>
      </c>
    </row>
    <row r="799" spans="1:11" x14ac:dyDescent="0.3">
      <c r="A799" s="7">
        <v>41846</v>
      </c>
      <c r="B799" s="4">
        <f>YEAR(SalesData[[#This Row],[Order Date]])</f>
        <v>2014</v>
      </c>
      <c r="C799" s="4">
        <f>MONTH(SalesData[[#This Row],[Order Date]])</f>
        <v>7</v>
      </c>
      <c r="D799" s="3" t="s">
        <v>405</v>
      </c>
      <c r="E799" s="3" t="s">
        <v>126</v>
      </c>
      <c r="F799" s="3" t="s">
        <v>34</v>
      </c>
      <c r="G799" s="3" t="s">
        <v>47</v>
      </c>
      <c r="H799" s="3" t="s">
        <v>1020</v>
      </c>
      <c r="I799" s="6">
        <v>134.01</v>
      </c>
      <c r="J799" s="4">
        <v>9</v>
      </c>
      <c r="K799" s="6">
        <v>36.18</v>
      </c>
    </row>
    <row r="800" spans="1:11" x14ac:dyDescent="0.3">
      <c r="A800" s="7">
        <v>41846</v>
      </c>
      <c r="B800" s="4">
        <f>YEAR(SalesData[[#This Row],[Order Date]])</f>
        <v>2014</v>
      </c>
      <c r="C800" s="4">
        <f>MONTH(SalesData[[#This Row],[Order Date]])</f>
        <v>7</v>
      </c>
      <c r="D800" s="3" t="s">
        <v>405</v>
      </c>
      <c r="E800" s="3" t="s">
        <v>126</v>
      </c>
      <c r="F800" s="3" t="s">
        <v>39</v>
      </c>
      <c r="G800" s="3" t="s">
        <v>52</v>
      </c>
      <c r="H800" s="3" t="s">
        <v>1021</v>
      </c>
      <c r="I800" s="6">
        <v>170.97</v>
      </c>
      <c r="J800" s="4">
        <v>3</v>
      </c>
      <c r="K800" s="6">
        <v>70.099999999999994</v>
      </c>
    </row>
    <row r="801" spans="1:11" x14ac:dyDescent="0.3">
      <c r="A801" s="7">
        <v>41846</v>
      </c>
      <c r="B801" s="4">
        <f>YEAR(SalesData[[#This Row],[Order Date]])</f>
        <v>2014</v>
      </c>
      <c r="C801" s="4">
        <f>MONTH(SalesData[[#This Row],[Order Date]])</f>
        <v>7</v>
      </c>
      <c r="D801" s="3" t="s">
        <v>29</v>
      </c>
      <c r="E801" s="3" t="s">
        <v>296</v>
      </c>
      <c r="F801" s="3" t="s">
        <v>39</v>
      </c>
      <c r="G801" s="3" t="s">
        <v>52</v>
      </c>
      <c r="H801" s="3" t="s">
        <v>1022</v>
      </c>
      <c r="I801" s="6">
        <v>111.93</v>
      </c>
      <c r="J801" s="4">
        <v>7</v>
      </c>
      <c r="K801" s="6">
        <v>34.700000000000003</v>
      </c>
    </row>
    <row r="802" spans="1:11" x14ac:dyDescent="0.3">
      <c r="A802" s="7">
        <v>41846</v>
      </c>
      <c r="B802" s="4">
        <f>YEAR(SalesData[[#This Row],[Order Date]])</f>
        <v>2014</v>
      </c>
      <c r="C802" s="4">
        <f>MONTH(SalesData[[#This Row],[Order Date]])</f>
        <v>7</v>
      </c>
      <c r="D802" s="3" t="s">
        <v>1023</v>
      </c>
      <c r="E802" s="3" t="s">
        <v>30</v>
      </c>
      <c r="F802" s="3" t="s">
        <v>34</v>
      </c>
      <c r="G802" s="3" t="s">
        <v>35</v>
      </c>
      <c r="H802" s="3" t="s">
        <v>1024</v>
      </c>
      <c r="I802" s="6">
        <v>67.88</v>
      </c>
      <c r="J802" s="4">
        <v>2</v>
      </c>
      <c r="K802" s="6">
        <v>18.329999999999998</v>
      </c>
    </row>
    <row r="803" spans="1:11" x14ac:dyDescent="0.3">
      <c r="A803" s="7">
        <v>41846</v>
      </c>
      <c r="B803" s="4">
        <f>YEAR(SalesData[[#This Row],[Order Date]])</f>
        <v>2014</v>
      </c>
      <c r="C803" s="4">
        <f>MONTH(SalesData[[#This Row],[Order Date]])</f>
        <v>7</v>
      </c>
      <c r="D803" s="3" t="s">
        <v>1023</v>
      </c>
      <c r="E803" s="3" t="s">
        <v>30</v>
      </c>
      <c r="F803" s="3" t="s">
        <v>11</v>
      </c>
      <c r="G803" s="3" t="s">
        <v>16</v>
      </c>
      <c r="H803" s="3" t="s">
        <v>1025</v>
      </c>
      <c r="I803" s="6">
        <v>162.88999999999999</v>
      </c>
      <c r="J803" s="4">
        <v>13</v>
      </c>
      <c r="K803" s="6">
        <v>76.56</v>
      </c>
    </row>
    <row r="804" spans="1:11" x14ac:dyDescent="0.3">
      <c r="A804" s="7">
        <v>41846</v>
      </c>
      <c r="B804" s="4">
        <f>YEAR(SalesData[[#This Row],[Order Date]])</f>
        <v>2014</v>
      </c>
      <c r="C804" s="4">
        <f>MONTH(SalesData[[#This Row],[Order Date]])</f>
        <v>7</v>
      </c>
      <c r="D804" s="3" t="s">
        <v>1023</v>
      </c>
      <c r="E804" s="3" t="s">
        <v>30</v>
      </c>
      <c r="F804" s="3" t="s">
        <v>34</v>
      </c>
      <c r="G804" s="3" t="s">
        <v>47</v>
      </c>
      <c r="H804" s="3" t="s">
        <v>1026</v>
      </c>
      <c r="I804" s="6">
        <v>25.71</v>
      </c>
      <c r="J804" s="4">
        <v>3</v>
      </c>
      <c r="K804" s="6">
        <v>9.26</v>
      </c>
    </row>
    <row r="805" spans="1:11" x14ac:dyDescent="0.3">
      <c r="A805" s="7">
        <v>41846</v>
      </c>
      <c r="B805" s="4">
        <f>YEAR(SalesData[[#This Row],[Order Date]])</f>
        <v>2014</v>
      </c>
      <c r="C805" s="4">
        <f>MONTH(SalesData[[#This Row],[Order Date]])</f>
        <v>7</v>
      </c>
      <c r="D805" s="3" t="s">
        <v>1027</v>
      </c>
      <c r="E805" s="3" t="s">
        <v>10</v>
      </c>
      <c r="F805" s="3" t="s">
        <v>11</v>
      </c>
      <c r="G805" s="3" t="s">
        <v>20</v>
      </c>
      <c r="H805" s="3" t="s">
        <v>828</v>
      </c>
      <c r="I805" s="6">
        <v>2177.58</v>
      </c>
      <c r="J805" s="4">
        <v>8</v>
      </c>
      <c r="K805" s="6">
        <v>-3701.89</v>
      </c>
    </row>
    <row r="806" spans="1:11" x14ac:dyDescent="0.3">
      <c r="A806" s="7">
        <v>41846</v>
      </c>
      <c r="B806" s="4">
        <f>YEAR(SalesData[[#This Row],[Order Date]])</f>
        <v>2014</v>
      </c>
      <c r="C806" s="4">
        <f>MONTH(SalesData[[#This Row],[Order Date]])</f>
        <v>7</v>
      </c>
      <c r="D806" s="3" t="s">
        <v>1027</v>
      </c>
      <c r="E806" s="3" t="s">
        <v>10</v>
      </c>
      <c r="F806" s="3" t="s">
        <v>34</v>
      </c>
      <c r="G806" s="3" t="s">
        <v>47</v>
      </c>
      <c r="H806" s="3" t="s">
        <v>1028</v>
      </c>
      <c r="I806" s="6">
        <v>17.5</v>
      </c>
      <c r="J806" s="4">
        <v>3</v>
      </c>
      <c r="K806" s="6">
        <v>-10.06</v>
      </c>
    </row>
    <row r="807" spans="1:11" x14ac:dyDescent="0.3">
      <c r="A807" s="7">
        <v>41846</v>
      </c>
      <c r="B807" s="4">
        <f>YEAR(SalesData[[#This Row],[Order Date]])</f>
        <v>2014</v>
      </c>
      <c r="C807" s="4">
        <f>MONTH(SalesData[[#This Row],[Order Date]])</f>
        <v>7</v>
      </c>
      <c r="D807" s="3" t="s">
        <v>1027</v>
      </c>
      <c r="E807" s="3" t="s">
        <v>10</v>
      </c>
      <c r="F807" s="3" t="s">
        <v>11</v>
      </c>
      <c r="G807" s="3" t="s">
        <v>20</v>
      </c>
      <c r="H807" s="3" t="s">
        <v>1029</v>
      </c>
      <c r="I807" s="6">
        <v>16.78</v>
      </c>
      <c r="J807" s="4">
        <v>4</v>
      </c>
      <c r="K807" s="6">
        <v>-26.85</v>
      </c>
    </row>
    <row r="808" spans="1:11" x14ac:dyDescent="0.3">
      <c r="A808" s="7">
        <v>41846</v>
      </c>
      <c r="B808" s="4">
        <f>YEAR(SalesData[[#This Row],[Order Date]])</f>
        <v>2014</v>
      </c>
      <c r="C808" s="4">
        <f>MONTH(SalesData[[#This Row],[Order Date]])</f>
        <v>7</v>
      </c>
      <c r="D808" s="3" t="s">
        <v>1027</v>
      </c>
      <c r="E808" s="3" t="s">
        <v>10</v>
      </c>
      <c r="F808" s="3" t="s">
        <v>39</v>
      </c>
      <c r="G808" s="3" t="s">
        <v>52</v>
      </c>
      <c r="H808" s="3" t="s">
        <v>1007</v>
      </c>
      <c r="I808" s="6">
        <v>431.14</v>
      </c>
      <c r="J808" s="4">
        <v>9</v>
      </c>
      <c r="K808" s="6">
        <v>-26.95</v>
      </c>
    </row>
    <row r="809" spans="1:11" x14ac:dyDescent="0.3">
      <c r="A809" s="7">
        <v>41846</v>
      </c>
      <c r="B809" s="4">
        <f>YEAR(SalesData[[#This Row],[Order Date]])</f>
        <v>2014</v>
      </c>
      <c r="C809" s="4">
        <f>MONTH(SalesData[[#This Row],[Order Date]])</f>
        <v>7</v>
      </c>
      <c r="D809" s="3" t="s">
        <v>1027</v>
      </c>
      <c r="E809" s="3" t="s">
        <v>10</v>
      </c>
      <c r="F809" s="3" t="s">
        <v>11</v>
      </c>
      <c r="G809" s="3" t="s">
        <v>20</v>
      </c>
      <c r="H809" s="3" t="s">
        <v>1030</v>
      </c>
      <c r="I809" s="6">
        <v>8.8800000000000008</v>
      </c>
      <c r="J809" s="4">
        <v>5</v>
      </c>
      <c r="K809" s="6">
        <v>-13.32</v>
      </c>
    </row>
    <row r="810" spans="1:11" x14ac:dyDescent="0.3">
      <c r="A810" s="7">
        <v>41846</v>
      </c>
      <c r="B810" s="4">
        <f>YEAR(SalesData[[#This Row],[Order Date]])</f>
        <v>2014</v>
      </c>
      <c r="C810" s="4">
        <f>MONTH(SalesData[[#This Row],[Order Date]])</f>
        <v>7</v>
      </c>
      <c r="D810" s="3" t="s">
        <v>1027</v>
      </c>
      <c r="E810" s="3" t="s">
        <v>10</v>
      </c>
      <c r="F810" s="3" t="s">
        <v>11</v>
      </c>
      <c r="G810" s="3" t="s">
        <v>92</v>
      </c>
      <c r="H810" s="3" t="s">
        <v>1031</v>
      </c>
      <c r="I810" s="6">
        <v>4.84</v>
      </c>
      <c r="J810" s="4">
        <v>2</v>
      </c>
      <c r="K810" s="6">
        <v>-12.09</v>
      </c>
    </row>
    <row r="811" spans="1:11" x14ac:dyDescent="0.3">
      <c r="A811" s="7">
        <v>41847</v>
      </c>
      <c r="B811" s="4">
        <f>YEAR(SalesData[[#This Row],[Order Date]])</f>
        <v>2014</v>
      </c>
      <c r="C811" s="4">
        <f>MONTH(SalesData[[#This Row],[Order Date]])</f>
        <v>7</v>
      </c>
      <c r="D811" s="3" t="s">
        <v>237</v>
      </c>
      <c r="E811" s="3" t="s">
        <v>27</v>
      </c>
      <c r="F811" s="3" t="s">
        <v>39</v>
      </c>
      <c r="G811" s="3" t="s">
        <v>52</v>
      </c>
      <c r="H811" s="3" t="s">
        <v>1032</v>
      </c>
      <c r="I811" s="6">
        <v>238</v>
      </c>
      <c r="J811" s="4">
        <v>2</v>
      </c>
      <c r="K811" s="6">
        <v>38.08</v>
      </c>
    </row>
    <row r="812" spans="1:11" x14ac:dyDescent="0.3">
      <c r="A812" s="7">
        <v>41847</v>
      </c>
      <c r="B812" s="4">
        <f>YEAR(SalesData[[#This Row],[Order Date]])</f>
        <v>2014</v>
      </c>
      <c r="C812" s="4">
        <f>MONTH(SalesData[[#This Row],[Order Date]])</f>
        <v>7</v>
      </c>
      <c r="D812" s="3" t="s">
        <v>1033</v>
      </c>
      <c r="E812" s="3" t="s">
        <v>149</v>
      </c>
      <c r="F812" s="3" t="s">
        <v>11</v>
      </c>
      <c r="G812" s="3" t="s">
        <v>12</v>
      </c>
      <c r="H812" s="3" t="s">
        <v>1034</v>
      </c>
      <c r="I812" s="6">
        <v>65.78</v>
      </c>
      <c r="J812" s="4">
        <v>11</v>
      </c>
      <c r="K812" s="6">
        <v>32.229999999999997</v>
      </c>
    </row>
    <row r="813" spans="1:11" x14ac:dyDescent="0.3">
      <c r="A813" s="7">
        <v>41847</v>
      </c>
      <c r="B813" s="4">
        <f>YEAR(SalesData[[#This Row],[Order Date]])</f>
        <v>2014</v>
      </c>
      <c r="C813" s="4">
        <f>MONTH(SalesData[[#This Row],[Order Date]])</f>
        <v>7</v>
      </c>
      <c r="D813" s="3" t="s">
        <v>1035</v>
      </c>
      <c r="E813" s="3" t="s">
        <v>27</v>
      </c>
      <c r="F813" s="3" t="s">
        <v>11</v>
      </c>
      <c r="G813" s="3" t="s">
        <v>18</v>
      </c>
      <c r="H813" s="3" t="s">
        <v>557</v>
      </c>
      <c r="I813" s="6">
        <v>276.27999999999997</v>
      </c>
      <c r="J813" s="4">
        <v>2</v>
      </c>
      <c r="K813" s="6">
        <v>0</v>
      </c>
    </row>
    <row r="814" spans="1:11" x14ac:dyDescent="0.3">
      <c r="A814" s="7">
        <v>41848</v>
      </c>
      <c r="B814" s="4">
        <f>YEAR(SalesData[[#This Row],[Order Date]])</f>
        <v>2014</v>
      </c>
      <c r="C814" s="4">
        <f>MONTH(SalesData[[#This Row],[Order Date]])</f>
        <v>7</v>
      </c>
      <c r="D814" s="3" t="s">
        <v>280</v>
      </c>
      <c r="E814" s="3" t="s">
        <v>123</v>
      </c>
      <c r="F814" s="3" t="s">
        <v>11</v>
      </c>
      <c r="G814" s="3" t="s">
        <v>43</v>
      </c>
      <c r="H814" s="3" t="s">
        <v>1036</v>
      </c>
      <c r="I814" s="6">
        <v>14.32</v>
      </c>
      <c r="J814" s="4">
        <v>5</v>
      </c>
      <c r="K814" s="6">
        <v>5.19</v>
      </c>
    </row>
    <row r="815" spans="1:11" x14ac:dyDescent="0.3">
      <c r="A815" s="7">
        <v>41848</v>
      </c>
      <c r="B815" s="4">
        <f>YEAR(SalesData[[#This Row],[Order Date]])</f>
        <v>2014</v>
      </c>
      <c r="C815" s="4">
        <f>MONTH(SalesData[[#This Row],[Order Date]])</f>
        <v>7</v>
      </c>
      <c r="D815" s="3" t="s">
        <v>280</v>
      </c>
      <c r="E815" s="3" t="s">
        <v>123</v>
      </c>
      <c r="F815" s="3" t="s">
        <v>34</v>
      </c>
      <c r="G815" s="3" t="s">
        <v>47</v>
      </c>
      <c r="H815" s="3" t="s">
        <v>1037</v>
      </c>
      <c r="I815" s="6">
        <v>129.88999999999999</v>
      </c>
      <c r="J815" s="4">
        <v>6</v>
      </c>
      <c r="K815" s="6">
        <v>12.99</v>
      </c>
    </row>
    <row r="816" spans="1:11" x14ac:dyDescent="0.3">
      <c r="A816" s="7">
        <v>41848</v>
      </c>
      <c r="B816" s="4">
        <f>YEAR(SalesData[[#This Row],[Order Date]])</f>
        <v>2014</v>
      </c>
      <c r="C816" s="4">
        <f>MONTH(SalesData[[#This Row],[Order Date]])</f>
        <v>7</v>
      </c>
      <c r="D816" s="3" t="s">
        <v>280</v>
      </c>
      <c r="E816" s="3" t="s">
        <v>123</v>
      </c>
      <c r="F816" s="3" t="s">
        <v>11</v>
      </c>
      <c r="G816" s="3" t="s">
        <v>63</v>
      </c>
      <c r="H816" s="3" t="s">
        <v>785</v>
      </c>
      <c r="I816" s="6">
        <v>48.94</v>
      </c>
      <c r="J816" s="4">
        <v>7</v>
      </c>
      <c r="K816" s="6">
        <v>16.52</v>
      </c>
    </row>
    <row r="817" spans="1:11" x14ac:dyDescent="0.3">
      <c r="A817" s="7">
        <v>41850</v>
      </c>
      <c r="B817" s="4">
        <f>YEAR(SalesData[[#This Row],[Order Date]])</f>
        <v>2014</v>
      </c>
      <c r="C817" s="4">
        <f>MONTH(SalesData[[#This Row],[Order Date]])</f>
        <v>7</v>
      </c>
      <c r="D817" s="3" t="s">
        <v>1038</v>
      </c>
      <c r="E817" s="3" t="s">
        <v>164</v>
      </c>
      <c r="F817" s="3" t="s">
        <v>34</v>
      </c>
      <c r="G817" s="3" t="s">
        <v>74</v>
      </c>
      <c r="H817" s="3" t="s">
        <v>1039</v>
      </c>
      <c r="I817" s="6">
        <v>1367.84</v>
      </c>
      <c r="J817" s="4">
        <v>8</v>
      </c>
      <c r="K817" s="6">
        <v>259.89</v>
      </c>
    </row>
    <row r="818" spans="1:11" x14ac:dyDescent="0.3">
      <c r="A818" s="7">
        <v>41852</v>
      </c>
      <c r="B818" s="4">
        <f>YEAR(SalesData[[#This Row],[Order Date]])</f>
        <v>2014</v>
      </c>
      <c r="C818" s="4">
        <f>MONTH(SalesData[[#This Row],[Order Date]])</f>
        <v>8</v>
      </c>
      <c r="D818" s="3" t="s">
        <v>959</v>
      </c>
      <c r="E818" s="3" t="s">
        <v>245</v>
      </c>
      <c r="F818" s="3" t="s">
        <v>11</v>
      </c>
      <c r="G818" s="3" t="s">
        <v>16</v>
      </c>
      <c r="H818" s="3" t="s">
        <v>1040</v>
      </c>
      <c r="I818" s="6">
        <v>17.54</v>
      </c>
      <c r="J818" s="4">
        <v>3</v>
      </c>
      <c r="K818" s="6">
        <v>5.92</v>
      </c>
    </row>
    <row r="819" spans="1:11" x14ac:dyDescent="0.3">
      <c r="A819" s="7">
        <v>41852</v>
      </c>
      <c r="B819" s="4">
        <f>YEAR(SalesData[[#This Row],[Order Date]])</f>
        <v>2014</v>
      </c>
      <c r="C819" s="4">
        <f>MONTH(SalesData[[#This Row],[Order Date]])</f>
        <v>8</v>
      </c>
      <c r="D819" s="3" t="s">
        <v>959</v>
      </c>
      <c r="E819" s="3" t="s">
        <v>245</v>
      </c>
      <c r="F819" s="3" t="s">
        <v>34</v>
      </c>
      <c r="G819" s="3" t="s">
        <v>47</v>
      </c>
      <c r="H819" s="3" t="s">
        <v>931</v>
      </c>
      <c r="I819" s="6">
        <v>44.13</v>
      </c>
      <c r="J819" s="4">
        <v>4</v>
      </c>
      <c r="K819" s="6">
        <v>12.14</v>
      </c>
    </row>
    <row r="820" spans="1:11" x14ac:dyDescent="0.3">
      <c r="A820" s="7">
        <v>41852</v>
      </c>
      <c r="B820" s="4">
        <f>YEAR(SalesData[[#This Row],[Order Date]])</f>
        <v>2014</v>
      </c>
      <c r="C820" s="4">
        <f>MONTH(SalesData[[#This Row],[Order Date]])</f>
        <v>8</v>
      </c>
      <c r="D820" s="3" t="s">
        <v>959</v>
      </c>
      <c r="E820" s="3" t="s">
        <v>245</v>
      </c>
      <c r="F820" s="3" t="s">
        <v>11</v>
      </c>
      <c r="G820" s="3" t="s">
        <v>92</v>
      </c>
      <c r="H820" s="3" t="s">
        <v>746</v>
      </c>
      <c r="I820" s="6">
        <v>62.92</v>
      </c>
      <c r="J820" s="4">
        <v>1</v>
      </c>
      <c r="K820" s="6">
        <v>10.220000000000001</v>
      </c>
    </row>
    <row r="821" spans="1:11" x14ac:dyDescent="0.3">
      <c r="A821" s="7">
        <v>41852</v>
      </c>
      <c r="B821" s="4">
        <f>YEAR(SalesData[[#This Row],[Order Date]])</f>
        <v>2014</v>
      </c>
      <c r="C821" s="4">
        <f>MONTH(SalesData[[#This Row],[Order Date]])</f>
        <v>8</v>
      </c>
      <c r="D821" s="3" t="s">
        <v>959</v>
      </c>
      <c r="E821" s="3" t="s">
        <v>245</v>
      </c>
      <c r="F821" s="3" t="s">
        <v>11</v>
      </c>
      <c r="G821" s="3" t="s">
        <v>12</v>
      </c>
      <c r="H821" s="3" t="s">
        <v>1041</v>
      </c>
      <c r="I821" s="6">
        <v>78.3</v>
      </c>
      <c r="J821" s="4">
        <v>2</v>
      </c>
      <c r="K821" s="6">
        <v>29.36</v>
      </c>
    </row>
    <row r="822" spans="1:11" x14ac:dyDescent="0.3">
      <c r="A822" s="7">
        <v>41852</v>
      </c>
      <c r="B822" s="4">
        <f>YEAR(SalesData[[#This Row],[Order Date]])</f>
        <v>2014</v>
      </c>
      <c r="C822" s="4">
        <f>MONTH(SalesData[[#This Row],[Order Date]])</f>
        <v>8</v>
      </c>
      <c r="D822" s="3" t="s">
        <v>1042</v>
      </c>
      <c r="E822" s="3" t="s">
        <v>27</v>
      </c>
      <c r="F822" s="3" t="s">
        <v>11</v>
      </c>
      <c r="G822" s="3" t="s">
        <v>20</v>
      </c>
      <c r="H822" s="3" t="s">
        <v>1043</v>
      </c>
      <c r="I822" s="6">
        <v>19.75</v>
      </c>
      <c r="J822" s="4">
        <v>3</v>
      </c>
      <c r="K822" s="6">
        <v>6.91</v>
      </c>
    </row>
    <row r="823" spans="1:11" x14ac:dyDescent="0.3">
      <c r="A823" s="7">
        <v>41852</v>
      </c>
      <c r="B823" s="4">
        <f>YEAR(SalesData[[#This Row],[Order Date]])</f>
        <v>2014</v>
      </c>
      <c r="C823" s="4">
        <f>MONTH(SalesData[[#This Row],[Order Date]])</f>
        <v>8</v>
      </c>
      <c r="D823" s="3" t="s">
        <v>1044</v>
      </c>
      <c r="E823" s="3" t="s">
        <v>23</v>
      </c>
      <c r="F823" s="3" t="s">
        <v>11</v>
      </c>
      <c r="G823" s="3" t="s">
        <v>43</v>
      </c>
      <c r="H823" s="3" t="s">
        <v>1045</v>
      </c>
      <c r="I823" s="6">
        <v>5.68</v>
      </c>
      <c r="J823" s="4">
        <v>2</v>
      </c>
      <c r="K823" s="6">
        <v>1.92</v>
      </c>
    </row>
    <row r="824" spans="1:11" x14ac:dyDescent="0.3">
      <c r="A824" s="7">
        <v>41853</v>
      </c>
      <c r="B824" s="4">
        <f>YEAR(SalesData[[#This Row],[Order Date]])</f>
        <v>2014</v>
      </c>
      <c r="C824" s="4">
        <f>MONTH(SalesData[[#This Row],[Order Date]])</f>
        <v>8</v>
      </c>
      <c r="D824" s="3" t="s">
        <v>1046</v>
      </c>
      <c r="E824" s="3" t="s">
        <v>186</v>
      </c>
      <c r="F824" s="3" t="s">
        <v>11</v>
      </c>
      <c r="G824" s="3" t="s">
        <v>20</v>
      </c>
      <c r="H824" s="3" t="s">
        <v>141</v>
      </c>
      <c r="I824" s="6">
        <v>26.7</v>
      </c>
      <c r="J824" s="4">
        <v>5</v>
      </c>
      <c r="K824" s="6">
        <v>12.55</v>
      </c>
    </row>
    <row r="825" spans="1:11" x14ac:dyDescent="0.3">
      <c r="A825" s="7">
        <v>41853</v>
      </c>
      <c r="B825" s="4">
        <f>YEAR(SalesData[[#This Row],[Order Date]])</f>
        <v>2014</v>
      </c>
      <c r="C825" s="4">
        <f>MONTH(SalesData[[#This Row],[Order Date]])</f>
        <v>8</v>
      </c>
      <c r="D825" s="3" t="s">
        <v>1046</v>
      </c>
      <c r="E825" s="3" t="s">
        <v>186</v>
      </c>
      <c r="F825" s="3" t="s">
        <v>39</v>
      </c>
      <c r="G825" s="3" t="s">
        <v>52</v>
      </c>
      <c r="H825" s="3" t="s">
        <v>1047</v>
      </c>
      <c r="I825" s="6">
        <v>21.2</v>
      </c>
      <c r="J825" s="4">
        <v>2</v>
      </c>
      <c r="K825" s="6">
        <v>9.1199999999999992</v>
      </c>
    </row>
    <row r="826" spans="1:11" x14ac:dyDescent="0.3">
      <c r="A826" s="7">
        <v>41853</v>
      </c>
      <c r="B826" s="4">
        <f>YEAR(SalesData[[#This Row],[Order Date]])</f>
        <v>2014</v>
      </c>
      <c r="C826" s="4">
        <f>MONTH(SalesData[[#This Row],[Order Date]])</f>
        <v>8</v>
      </c>
      <c r="D826" s="3" t="s">
        <v>1046</v>
      </c>
      <c r="E826" s="3" t="s">
        <v>186</v>
      </c>
      <c r="F826" s="3" t="s">
        <v>11</v>
      </c>
      <c r="G826" s="3" t="s">
        <v>18</v>
      </c>
      <c r="H826" s="3" t="s">
        <v>1048</v>
      </c>
      <c r="I826" s="6">
        <v>838.38</v>
      </c>
      <c r="J826" s="4">
        <v>2</v>
      </c>
      <c r="K826" s="6">
        <v>226.36</v>
      </c>
    </row>
    <row r="827" spans="1:11" x14ac:dyDescent="0.3">
      <c r="A827" s="7">
        <v>41854</v>
      </c>
      <c r="B827" s="4">
        <f>YEAR(SalesData[[#This Row],[Order Date]])</f>
        <v>2014</v>
      </c>
      <c r="C827" s="4">
        <f>MONTH(SalesData[[#This Row],[Order Date]])</f>
        <v>8</v>
      </c>
      <c r="D827" s="3" t="s">
        <v>675</v>
      </c>
      <c r="E827" s="3" t="s">
        <v>278</v>
      </c>
      <c r="F827" s="3" t="s">
        <v>34</v>
      </c>
      <c r="G827" s="3" t="s">
        <v>145</v>
      </c>
      <c r="H827" s="3" t="s">
        <v>1049</v>
      </c>
      <c r="I827" s="6">
        <v>218.75</v>
      </c>
      <c r="J827" s="4">
        <v>2</v>
      </c>
      <c r="K827" s="6">
        <v>-161.88</v>
      </c>
    </row>
    <row r="828" spans="1:11" x14ac:dyDescent="0.3">
      <c r="A828" s="7">
        <v>41854</v>
      </c>
      <c r="B828" s="4">
        <f>YEAR(SalesData[[#This Row],[Order Date]])</f>
        <v>2014</v>
      </c>
      <c r="C828" s="4">
        <f>MONTH(SalesData[[#This Row],[Order Date]])</f>
        <v>8</v>
      </c>
      <c r="D828" s="3" t="s">
        <v>675</v>
      </c>
      <c r="E828" s="3" t="s">
        <v>278</v>
      </c>
      <c r="F828" s="3" t="s">
        <v>11</v>
      </c>
      <c r="G828" s="3" t="s">
        <v>92</v>
      </c>
      <c r="H828" s="3" t="s">
        <v>1050</v>
      </c>
      <c r="I828" s="6">
        <v>2.6</v>
      </c>
      <c r="J828" s="4">
        <v>1</v>
      </c>
      <c r="K828" s="6">
        <v>0.28999999999999998</v>
      </c>
    </row>
    <row r="829" spans="1:11" x14ac:dyDescent="0.3">
      <c r="A829" s="7">
        <v>41854</v>
      </c>
      <c r="B829" s="4">
        <f>YEAR(SalesData[[#This Row],[Order Date]])</f>
        <v>2014</v>
      </c>
      <c r="C829" s="4">
        <f>MONTH(SalesData[[#This Row],[Order Date]])</f>
        <v>8</v>
      </c>
      <c r="D829" s="3" t="s">
        <v>1051</v>
      </c>
      <c r="E829" s="3" t="s">
        <v>149</v>
      </c>
      <c r="F829" s="3" t="s">
        <v>11</v>
      </c>
      <c r="G829" s="3" t="s">
        <v>12</v>
      </c>
      <c r="H829" s="3" t="s">
        <v>1052</v>
      </c>
      <c r="I829" s="6">
        <v>39.96</v>
      </c>
      <c r="J829" s="4">
        <v>2</v>
      </c>
      <c r="K829" s="6">
        <v>18.78</v>
      </c>
    </row>
    <row r="830" spans="1:11" x14ac:dyDescent="0.3">
      <c r="A830" s="7">
        <v>41854</v>
      </c>
      <c r="B830" s="4">
        <f>YEAR(SalesData[[#This Row],[Order Date]])</f>
        <v>2014</v>
      </c>
      <c r="C830" s="4">
        <f>MONTH(SalesData[[#This Row],[Order Date]])</f>
        <v>8</v>
      </c>
      <c r="D830" s="3" t="s">
        <v>1051</v>
      </c>
      <c r="E830" s="3" t="s">
        <v>149</v>
      </c>
      <c r="F830" s="3" t="s">
        <v>11</v>
      </c>
      <c r="G830" s="3" t="s">
        <v>200</v>
      </c>
      <c r="H830" s="3" t="s">
        <v>1053</v>
      </c>
      <c r="I830" s="6">
        <v>102.3</v>
      </c>
      <c r="J830" s="4">
        <v>10</v>
      </c>
      <c r="K830" s="6">
        <v>26.6</v>
      </c>
    </row>
    <row r="831" spans="1:11" x14ac:dyDescent="0.3">
      <c r="A831" s="7">
        <v>41854</v>
      </c>
      <c r="B831" s="4">
        <f>YEAR(SalesData[[#This Row],[Order Date]])</f>
        <v>2014</v>
      </c>
      <c r="C831" s="4">
        <f>MONTH(SalesData[[#This Row],[Order Date]])</f>
        <v>8</v>
      </c>
      <c r="D831" s="3" t="s">
        <v>1051</v>
      </c>
      <c r="E831" s="3" t="s">
        <v>149</v>
      </c>
      <c r="F831" s="3" t="s">
        <v>11</v>
      </c>
      <c r="G831" s="3" t="s">
        <v>18</v>
      </c>
      <c r="H831" s="3" t="s">
        <v>299</v>
      </c>
      <c r="I831" s="6">
        <v>21.36</v>
      </c>
      <c r="J831" s="4">
        <v>2</v>
      </c>
      <c r="K831" s="6">
        <v>5.77</v>
      </c>
    </row>
    <row r="832" spans="1:11" x14ac:dyDescent="0.3">
      <c r="A832" s="7">
        <v>41854</v>
      </c>
      <c r="B832" s="4">
        <f>YEAR(SalesData[[#This Row],[Order Date]])</f>
        <v>2014</v>
      </c>
      <c r="C832" s="4">
        <f>MONTH(SalesData[[#This Row],[Order Date]])</f>
        <v>8</v>
      </c>
      <c r="D832" s="3" t="s">
        <v>925</v>
      </c>
      <c r="E832" s="3" t="s">
        <v>95</v>
      </c>
      <c r="F832" s="3" t="s">
        <v>11</v>
      </c>
      <c r="G832" s="3" t="s">
        <v>12</v>
      </c>
      <c r="H832" s="3" t="s">
        <v>1054</v>
      </c>
      <c r="I832" s="6">
        <v>93.02</v>
      </c>
      <c r="J832" s="4">
        <v>3</v>
      </c>
      <c r="K832" s="6">
        <v>33.72</v>
      </c>
    </row>
    <row r="833" spans="1:11" x14ac:dyDescent="0.3">
      <c r="A833" s="7">
        <v>41855</v>
      </c>
      <c r="B833" s="4">
        <f>YEAR(SalesData[[#This Row],[Order Date]])</f>
        <v>2014</v>
      </c>
      <c r="C833" s="4">
        <f>MONTH(SalesData[[#This Row],[Order Date]])</f>
        <v>8</v>
      </c>
      <c r="D833" s="3" t="s">
        <v>1055</v>
      </c>
      <c r="E833" s="3" t="s">
        <v>296</v>
      </c>
      <c r="F833" s="3" t="s">
        <v>11</v>
      </c>
      <c r="G833" s="3" t="s">
        <v>92</v>
      </c>
      <c r="H833" s="3" t="s">
        <v>1056</v>
      </c>
      <c r="I833" s="6">
        <v>1089.75</v>
      </c>
      <c r="J833" s="4">
        <v>3</v>
      </c>
      <c r="K833" s="6">
        <v>305.13</v>
      </c>
    </row>
    <row r="834" spans="1:11" x14ac:dyDescent="0.3">
      <c r="A834" s="7">
        <v>41855</v>
      </c>
      <c r="B834" s="4">
        <f>YEAR(SalesData[[#This Row],[Order Date]])</f>
        <v>2014</v>
      </c>
      <c r="C834" s="4">
        <f>MONTH(SalesData[[#This Row],[Order Date]])</f>
        <v>8</v>
      </c>
      <c r="D834" s="3" t="s">
        <v>1055</v>
      </c>
      <c r="E834" s="3" t="s">
        <v>296</v>
      </c>
      <c r="F834" s="3" t="s">
        <v>11</v>
      </c>
      <c r="G834" s="3" t="s">
        <v>12</v>
      </c>
      <c r="H834" s="3" t="s">
        <v>1057</v>
      </c>
      <c r="I834" s="6">
        <v>447.84</v>
      </c>
      <c r="J834" s="4">
        <v>8</v>
      </c>
      <c r="K834" s="6">
        <v>219.44</v>
      </c>
    </row>
    <row r="835" spans="1:11" x14ac:dyDescent="0.3">
      <c r="A835" s="7">
        <v>41855</v>
      </c>
      <c r="B835" s="4">
        <f>YEAR(SalesData[[#This Row],[Order Date]])</f>
        <v>2014</v>
      </c>
      <c r="C835" s="4">
        <f>MONTH(SalesData[[#This Row],[Order Date]])</f>
        <v>8</v>
      </c>
      <c r="D835" s="3" t="s">
        <v>1055</v>
      </c>
      <c r="E835" s="3" t="s">
        <v>296</v>
      </c>
      <c r="F835" s="3" t="s">
        <v>11</v>
      </c>
      <c r="G835" s="3" t="s">
        <v>24</v>
      </c>
      <c r="H835" s="3" t="s">
        <v>1058</v>
      </c>
      <c r="I835" s="6">
        <v>16.399999999999999</v>
      </c>
      <c r="J835" s="4">
        <v>5</v>
      </c>
      <c r="K835" s="6">
        <v>4.26</v>
      </c>
    </row>
    <row r="836" spans="1:11" x14ac:dyDescent="0.3">
      <c r="A836" s="7">
        <v>41855</v>
      </c>
      <c r="B836" s="4">
        <f>YEAR(SalesData[[#This Row],[Order Date]])</f>
        <v>2014</v>
      </c>
      <c r="C836" s="4">
        <f>MONTH(SalesData[[#This Row],[Order Date]])</f>
        <v>8</v>
      </c>
      <c r="D836" s="3" t="s">
        <v>1055</v>
      </c>
      <c r="E836" s="3" t="s">
        <v>296</v>
      </c>
      <c r="F836" s="3" t="s">
        <v>39</v>
      </c>
      <c r="G836" s="3" t="s">
        <v>40</v>
      </c>
      <c r="H836" s="3" t="s">
        <v>1059</v>
      </c>
      <c r="I836" s="6">
        <v>399.96</v>
      </c>
      <c r="J836" s="4">
        <v>5</v>
      </c>
      <c r="K836" s="6">
        <v>35</v>
      </c>
    </row>
    <row r="837" spans="1:11" x14ac:dyDescent="0.3">
      <c r="A837" s="7">
        <v>41855</v>
      </c>
      <c r="B837" s="4">
        <f>YEAR(SalesData[[#This Row],[Order Date]])</f>
        <v>2014</v>
      </c>
      <c r="C837" s="4">
        <f>MONTH(SalesData[[#This Row],[Order Date]])</f>
        <v>8</v>
      </c>
      <c r="D837" s="3" t="s">
        <v>1055</v>
      </c>
      <c r="E837" s="3" t="s">
        <v>296</v>
      </c>
      <c r="F837" s="3" t="s">
        <v>11</v>
      </c>
      <c r="G837" s="3" t="s">
        <v>18</v>
      </c>
      <c r="H837" s="3" t="s">
        <v>1060</v>
      </c>
      <c r="I837" s="6">
        <v>158.9</v>
      </c>
      <c r="J837" s="4">
        <v>5</v>
      </c>
      <c r="K837" s="6">
        <v>7.95</v>
      </c>
    </row>
    <row r="838" spans="1:11" x14ac:dyDescent="0.3">
      <c r="A838" s="7">
        <v>41855</v>
      </c>
      <c r="B838" s="4">
        <f>YEAR(SalesData[[#This Row],[Order Date]])</f>
        <v>2014</v>
      </c>
      <c r="C838" s="4">
        <f>MONTH(SalesData[[#This Row],[Order Date]])</f>
        <v>8</v>
      </c>
      <c r="D838" s="3" t="s">
        <v>1055</v>
      </c>
      <c r="E838" s="3" t="s">
        <v>296</v>
      </c>
      <c r="F838" s="3" t="s">
        <v>11</v>
      </c>
      <c r="G838" s="3" t="s">
        <v>20</v>
      </c>
      <c r="H838" s="3" t="s">
        <v>469</v>
      </c>
      <c r="I838" s="6">
        <v>13.18</v>
      </c>
      <c r="J838" s="4">
        <v>1</v>
      </c>
      <c r="K838" s="6">
        <v>4.78</v>
      </c>
    </row>
    <row r="839" spans="1:11" x14ac:dyDescent="0.3">
      <c r="A839" s="7">
        <v>41855</v>
      </c>
      <c r="B839" s="4">
        <f>YEAR(SalesData[[#This Row],[Order Date]])</f>
        <v>2014</v>
      </c>
      <c r="C839" s="4">
        <f>MONTH(SalesData[[#This Row],[Order Date]])</f>
        <v>8</v>
      </c>
      <c r="D839" s="3" t="s">
        <v>197</v>
      </c>
      <c r="E839" s="3" t="s">
        <v>1061</v>
      </c>
      <c r="F839" s="3" t="s">
        <v>11</v>
      </c>
      <c r="G839" s="3" t="s">
        <v>92</v>
      </c>
      <c r="H839" s="3" t="s">
        <v>1062</v>
      </c>
      <c r="I839" s="6">
        <v>101.96</v>
      </c>
      <c r="J839" s="4">
        <v>2</v>
      </c>
      <c r="K839" s="6">
        <v>27.53</v>
      </c>
    </row>
    <row r="840" spans="1:11" x14ac:dyDescent="0.3">
      <c r="A840" s="7">
        <v>41855</v>
      </c>
      <c r="B840" s="4">
        <f>YEAR(SalesData[[#This Row],[Order Date]])</f>
        <v>2014</v>
      </c>
      <c r="C840" s="4">
        <f>MONTH(SalesData[[#This Row],[Order Date]])</f>
        <v>8</v>
      </c>
      <c r="D840" s="3" t="s">
        <v>197</v>
      </c>
      <c r="E840" s="3" t="s">
        <v>1061</v>
      </c>
      <c r="F840" s="3" t="s">
        <v>11</v>
      </c>
      <c r="G840" s="3" t="s">
        <v>12</v>
      </c>
      <c r="H840" s="3" t="s">
        <v>647</v>
      </c>
      <c r="I840" s="6">
        <v>259.74</v>
      </c>
      <c r="J840" s="4">
        <v>13</v>
      </c>
      <c r="K840" s="6">
        <v>124.68</v>
      </c>
    </row>
    <row r="841" spans="1:11" x14ac:dyDescent="0.3">
      <c r="A841" s="7">
        <v>41855</v>
      </c>
      <c r="B841" s="4">
        <f>YEAR(SalesData[[#This Row],[Order Date]])</f>
        <v>2014</v>
      </c>
      <c r="C841" s="4">
        <f>MONTH(SalesData[[#This Row],[Order Date]])</f>
        <v>8</v>
      </c>
      <c r="D841" s="3" t="s">
        <v>197</v>
      </c>
      <c r="E841" s="3" t="s">
        <v>1061</v>
      </c>
      <c r="F841" s="3" t="s">
        <v>39</v>
      </c>
      <c r="G841" s="3" t="s">
        <v>52</v>
      </c>
      <c r="H841" s="3" t="s">
        <v>1063</v>
      </c>
      <c r="I841" s="6">
        <v>255.42</v>
      </c>
      <c r="J841" s="4">
        <v>9</v>
      </c>
      <c r="K841" s="6">
        <v>104.72</v>
      </c>
    </row>
    <row r="842" spans="1:11" x14ac:dyDescent="0.3">
      <c r="A842" s="7">
        <v>41856</v>
      </c>
      <c r="B842" s="4">
        <f>YEAR(SalesData[[#This Row],[Order Date]])</f>
        <v>2014</v>
      </c>
      <c r="C842" s="4">
        <f>MONTH(SalesData[[#This Row],[Order Date]])</f>
        <v>8</v>
      </c>
      <c r="D842" s="3" t="s">
        <v>1064</v>
      </c>
      <c r="E842" s="3" t="s">
        <v>27</v>
      </c>
      <c r="F842" s="3" t="s">
        <v>11</v>
      </c>
      <c r="G842" s="3" t="s">
        <v>12</v>
      </c>
      <c r="H842" s="3" t="s">
        <v>1065</v>
      </c>
      <c r="I842" s="6">
        <v>20.94</v>
      </c>
      <c r="J842" s="4">
        <v>3</v>
      </c>
      <c r="K842" s="6">
        <v>9.84</v>
      </c>
    </row>
    <row r="843" spans="1:11" x14ac:dyDescent="0.3">
      <c r="A843" s="7">
        <v>41856</v>
      </c>
      <c r="B843" s="4">
        <f>YEAR(SalesData[[#This Row],[Order Date]])</f>
        <v>2014</v>
      </c>
      <c r="C843" s="4">
        <f>MONTH(SalesData[[#This Row],[Order Date]])</f>
        <v>8</v>
      </c>
      <c r="D843" s="3" t="s">
        <v>1064</v>
      </c>
      <c r="E843" s="3" t="s">
        <v>27</v>
      </c>
      <c r="F843" s="3" t="s">
        <v>11</v>
      </c>
      <c r="G843" s="3" t="s">
        <v>12</v>
      </c>
      <c r="H843" s="3" t="s">
        <v>896</v>
      </c>
      <c r="I843" s="6">
        <v>110.96</v>
      </c>
      <c r="J843" s="4">
        <v>2</v>
      </c>
      <c r="K843" s="6">
        <v>53.26</v>
      </c>
    </row>
    <row r="844" spans="1:11" x14ac:dyDescent="0.3">
      <c r="A844" s="7">
        <v>41856</v>
      </c>
      <c r="B844" s="4">
        <f>YEAR(SalesData[[#This Row],[Order Date]])</f>
        <v>2014</v>
      </c>
      <c r="C844" s="4">
        <f>MONTH(SalesData[[#This Row],[Order Date]])</f>
        <v>8</v>
      </c>
      <c r="D844" s="3" t="s">
        <v>1064</v>
      </c>
      <c r="E844" s="3" t="s">
        <v>27</v>
      </c>
      <c r="F844" s="3" t="s">
        <v>34</v>
      </c>
      <c r="G844" s="3" t="s">
        <v>35</v>
      </c>
      <c r="H844" s="3" t="s">
        <v>1066</v>
      </c>
      <c r="I844" s="6">
        <v>340.14</v>
      </c>
      <c r="J844" s="4">
        <v>7</v>
      </c>
      <c r="K844" s="6">
        <v>21.26</v>
      </c>
    </row>
    <row r="845" spans="1:11" x14ac:dyDescent="0.3">
      <c r="A845" s="7">
        <v>41856</v>
      </c>
      <c r="B845" s="4">
        <f>YEAR(SalesData[[#This Row],[Order Date]])</f>
        <v>2014</v>
      </c>
      <c r="C845" s="4">
        <f>MONTH(SalesData[[#This Row],[Order Date]])</f>
        <v>8</v>
      </c>
      <c r="D845" s="3" t="s">
        <v>1067</v>
      </c>
      <c r="E845" s="3" t="s">
        <v>27</v>
      </c>
      <c r="F845" s="3" t="s">
        <v>39</v>
      </c>
      <c r="G845" s="3" t="s">
        <v>52</v>
      </c>
      <c r="H845" s="3" t="s">
        <v>1068</v>
      </c>
      <c r="I845" s="6">
        <v>16.36</v>
      </c>
      <c r="J845" s="4">
        <v>1</v>
      </c>
      <c r="K845" s="6">
        <v>1.64</v>
      </c>
    </row>
    <row r="846" spans="1:11" x14ac:dyDescent="0.3">
      <c r="A846" s="7">
        <v>41856</v>
      </c>
      <c r="B846" s="4">
        <f>YEAR(SalesData[[#This Row],[Order Date]])</f>
        <v>2014</v>
      </c>
      <c r="C846" s="4">
        <f>MONTH(SalesData[[#This Row],[Order Date]])</f>
        <v>8</v>
      </c>
      <c r="D846" s="3" t="s">
        <v>1067</v>
      </c>
      <c r="E846" s="3" t="s">
        <v>27</v>
      </c>
      <c r="F846" s="3" t="s">
        <v>11</v>
      </c>
      <c r="G846" s="3" t="s">
        <v>18</v>
      </c>
      <c r="H846" s="3" t="s">
        <v>211</v>
      </c>
      <c r="I846" s="6">
        <v>15.78</v>
      </c>
      <c r="J846" s="4">
        <v>2</v>
      </c>
      <c r="K846" s="6">
        <v>0.63</v>
      </c>
    </row>
    <row r="847" spans="1:11" x14ac:dyDescent="0.3">
      <c r="A847" s="7">
        <v>41856</v>
      </c>
      <c r="B847" s="4">
        <f>YEAR(SalesData[[#This Row],[Order Date]])</f>
        <v>2014</v>
      </c>
      <c r="C847" s="4">
        <f>MONTH(SalesData[[#This Row],[Order Date]])</f>
        <v>8</v>
      </c>
      <c r="D847" s="3" t="s">
        <v>1067</v>
      </c>
      <c r="E847" s="3" t="s">
        <v>27</v>
      </c>
      <c r="F847" s="3" t="s">
        <v>11</v>
      </c>
      <c r="G847" s="3" t="s">
        <v>24</v>
      </c>
      <c r="H847" s="3" t="s">
        <v>1069</v>
      </c>
      <c r="I847" s="6">
        <v>45.98</v>
      </c>
      <c r="J847" s="4">
        <v>2</v>
      </c>
      <c r="K847" s="6">
        <v>12.87</v>
      </c>
    </row>
    <row r="848" spans="1:11" x14ac:dyDescent="0.3">
      <c r="A848" s="7">
        <v>41856</v>
      </c>
      <c r="B848" s="4">
        <f>YEAR(SalesData[[#This Row],[Order Date]])</f>
        <v>2014</v>
      </c>
      <c r="C848" s="4">
        <f>MONTH(SalesData[[#This Row],[Order Date]])</f>
        <v>8</v>
      </c>
      <c r="D848" s="3" t="s">
        <v>1070</v>
      </c>
      <c r="E848" s="3" t="s">
        <v>613</v>
      </c>
      <c r="F848" s="3" t="s">
        <v>11</v>
      </c>
      <c r="G848" s="3" t="s">
        <v>92</v>
      </c>
      <c r="H848" s="3" t="s">
        <v>421</v>
      </c>
      <c r="I848" s="6">
        <v>79.47</v>
      </c>
      <c r="J848" s="4">
        <v>3</v>
      </c>
      <c r="K848" s="6">
        <v>22.25</v>
      </c>
    </row>
    <row r="849" spans="1:11" x14ac:dyDescent="0.3">
      <c r="A849" s="7">
        <v>41856</v>
      </c>
      <c r="B849" s="4">
        <f>YEAR(SalesData[[#This Row],[Order Date]])</f>
        <v>2014</v>
      </c>
      <c r="C849" s="4">
        <f>MONTH(SalesData[[#This Row],[Order Date]])</f>
        <v>8</v>
      </c>
      <c r="D849" s="3" t="s">
        <v>1070</v>
      </c>
      <c r="E849" s="3" t="s">
        <v>613</v>
      </c>
      <c r="F849" s="3" t="s">
        <v>11</v>
      </c>
      <c r="G849" s="3" t="s">
        <v>24</v>
      </c>
      <c r="H849" s="3" t="s">
        <v>1071</v>
      </c>
      <c r="I849" s="6">
        <v>4.5599999999999996</v>
      </c>
      <c r="J849" s="4">
        <v>2</v>
      </c>
      <c r="K849" s="6">
        <v>2.0099999999999998</v>
      </c>
    </row>
    <row r="850" spans="1:11" x14ac:dyDescent="0.3">
      <c r="A850" s="7">
        <v>41856</v>
      </c>
      <c r="B850" s="4">
        <f>YEAR(SalesData[[#This Row],[Order Date]])</f>
        <v>2014</v>
      </c>
      <c r="C850" s="4">
        <f>MONTH(SalesData[[#This Row],[Order Date]])</f>
        <v>8</v>
      </c>
      <c r="D850" s="3" t="s">
        <v>1070</v>
      </c>
      <c r="E850" s="3" t="s">
        <v>613</v>
      </c>
      <c r="F850" s="3" t="s">
        <v>34</v>
      </c>
      <c r="G850" s="3" t="s">
        <v>35</v>
      </c>
      <c r="H850" s="3" t="s">
        <v>1072</v>
      </c>
      <c r="I850" s="6">
        <v>1133.3499999999999</v>
      </c>
      <c r="J850" s="4">
        <v>5</v>
      </c>
      <c r="K850" s="6">
        <v>294.67</v>
      </c>
    </row>
    <row r="851" spans="1:11" x14ac:dyDescent="0.3">
      <c r="A851" s="7">
        <v>41856</v>
      </c>
      <c r="B851" s="4">
        <f>YEAR(SalesData[[#This Row],[Order Date]])</f>
        <v>2014</v>
      </c>
      <c r="C851" s="4">
        <f>MONTH(SalesData[[#This Row],[Order Date]])</f>
        <v>8</v>
      </c>
      <c r="D851" s="3" t="s">
        <v>536</v>
      </c>
      <c r="E851" s="3" t="s">
        <v>149</v>
      </c>
      <c r="F851" s="3" t="s">
        <v>39</v>
      </c>
      <c r="G851" s="3" t="s">
        <v>40</v>
      </c>
      <c r="H851" s="3" t="s">
        <v>1073</v>
      </c>
      <c r="I851" s="6">
        <v>135.99</v>
      </c>
      <c r="J851" s="4">
        <v>1</v>
      </c>
      <c r="K851" s="6">
        <v>36.72</v>
      </c>
    </row>
    <row r="852" spans="1:11" x14ac:dyDescent="0.3">
      <c r="A852" s="7">
        <v>41856</v>
      </c>
      <c r="B852" s="4">
        <f>YEAR(SalesData[[#This Row],[Order Date]])</f>
        <v>2014</v>
      </c>
      <c r="C852" s="4">
        <f>MONTH(SalesData[[#This Row],[Order Date]])</f>
        <v>8</v>
      </c>
      <c r="D852" s="3" t="s">
        <v>536</v>
      </c>
      <c r="E852" s="3" t="s">
        <v>149</v>
      </c>
      <c r="F852" s="3" t="s">
        <v>11</v>
      </c>
      <c r="G852" s="3" t="s">
        <v>24</v>
      </c>
      <c r="H852" s="3" t="s">
        <v>1071</v>
      </c>
      <c r="I852" s="6">
        <v>15.96</v>
      </c>
      <c r="J852" s="4">
        <v>7</v>
      </c>
      <c r="K852" s="6">
        <v>7.02</v>
      </c>
    </row>
    <row r="853" spans="1:11" x14ac:dyDescent="0.3">
      <c r="A853" s="7">
        <v>41856</v>
      </c>
      <c r="B853" s="4">
        <f>YEAR(SalesData[[#This Row],[Order Date]])</f>
        <v>2014</v>
      </c>
      <c r="C853" s="4">
        <f>MONTH(SalesData[[#This Row],[Order Date]])</f>
        <v>8</v>
      </c>
      <c r="D853" s="3" t="s">
        <v>1074</v>
      </c>
      <c r="E853" s="3" t="s">
        <v>10</v>
      </c>
      <c r="F853" s="3" t="s">
        <v>34</v>
      </c>
      <c r="G853" s="3" t="s">
        <v>145</v>
      </c>
      <c r="H853" s="3" t="s">
        <v>1075</v>
      </c>
      <c r="I853" s="6">
        <v>489.23</v>
      </c>
      <c r="J853" s="4">
        <v>2</v>
      </c>
      <c r="K853" s="6">
        <v>41.93</v>
      </c>
    </row>
    <row r="854" spans="1:11" x14ac:dyDescent="0.3">
      <c r="A854" s="7">
        <v>41857</v>
      </c>
      <c r="B854" s="4">
        <f>YEAR(SalesData[[#This Row],[Order Date]])</f>
        <v>2014</v>
      </c>
      <c r="C854" s="4">
        <f>MONTH(SalesData[[#This Row],[Order Date]])</f>
        <v>8</v>
      </c>
      <c r="D854" s="3" t="s">
        <v>1076</v>
      </c>
      <c r="E854" s="3" t="s">
        <v>70</v>
      </c>
      <c r="F854" s="3" t="s">
        <v>39</v>
      </c>
      <c r="G854" s="3" t="s">
        <v>52</v>
      </c>
      <c r="H854" s="3" t="s">
        <v>986</v>
      </c>
      <c r="I854" s="6">
        <v>62.91</v>
      </c>
      <c r="J854" s="4">
        <v>3</v>
      </c>
      <c r="K854" s="6">
        <v>22.65</v>
      </c>
    </row>
    <row r="855" spans="1:11" x14ac:dyDescent="0.3">
      <c r="A855" s="7">
        <v>41857</v>
      </c>
      <c r="B855" s="4">
        <f>YEAR(SalesData[[#This Row],[Order Date]])</f>
        <v>2014</v>
      </c>
      <c r="C855" s="4">
        <f>MONTH(SalesData[[#This Row],[Order Date]])</f>
        <v>8</v>
      </c>
      <c r="D855" s="3" t="s">
        <v>1077</v>
      </c>
      <c r="E855" s="3" t="s">
        <v>149</v>
      </c>
      <c r="F855" s="3" t="s">
        <v>39</v>
      </c>
      <c r="G855" s="3" t="s">
        <v>52</v>
      </c>
      <c r="H855" s="3" t="s">
        <v>1078</v>
      </c>
      <c r="I855" s="6">
        <v>199.98</v>
      </c>
      <c r="J855" s="4">
        <v>2</v>
      </c>
      <c r="K855" s="6">
        <v>83.99</v>
      </c>
    </row>
    <row r="856" spans="1:11" x14ac:dyDescent="0.3">
      <c r="A856" s="7">
        <v>41859</v>
      </c>
      <c r="B856" s="4">
        <f>YEAR(SalesData[[#This Row],[Order Date]])</f>
        <v>2014</v>
      </c>
      <c r="C856" s="4">
        <f>MONTH(SalesData[[#This Row],[Order Date]])</f>
        <v>8</v>
      </c>
      <c r="D856" s="3" t="s">
        <v>1079</v>
      </c>
      <c r="E856" s="3" t="s">
        <v>27</v>
      </c>
      <c r="F856" s="3" t="s">
        <v>11</v>
      </c>
      <c r="G856" s="3" t="s">
        <v>92</v>
      </c>
      <c r="H856" s="3" t="s">
        <v>1080</v>
      </c>
      <c r="I856" s="6">
        <v>76.12</v>
      </c>
      <c r="J856" s="4">
        <v>2</v>
      </c>
      <c r="K856" s="6">
        <v>22.07</v>
      </c>
    </row>
    <row r="857" spans="1:11" x14ac:dyDescent="0.3">
      <c r="A857" s="7">
        <v>41859</v>
      </c>
      <c r="B857" s="4">
        <f>YEAR(SalesData[[#This Row],[Order Date]])</f>
        <v>2014</v>
      </c>
      <c r="C857" s="4">
        <f>MONTH(SalesData[[#This Row],[Order Date]])</f>
        <v>8</v>
      </c>
      <c r="D857" s="3" t="s">
        <v>1079</v>
      </c>
      <c r="E857" s="3" t="s">
        <v>27</v>
      </c>
      <c r="F857" s="3" t="s">
        <v>39</v>
      </c>
      <c r="G857" s="3" t="s">
        <v>603</v>
      </c>
      <c r="H857" s="3" t="s">
        <v>1081</v>
      </c>
      <c r="I857" s="6">
        <v>1199.98</v>
      </c>
      <c r="J857" s="4">
        <v>3</v>
      </c>
      <c r="K857" s="6">
        <v>434.99</v>
      </c>
    </row>
    <row r="858" spans="1:11" x14ac:dyDescent="0.3">
      <c r="A858" s="7">
        <v>41859</v>
      </c>
      <c r="B858" s="4">
        <f>YEAR(SalesData[[#This Row],[Order Date]])</f>
        <v>2014</v>
      </c>
      <c r="C858" s="4">
        <f>MONTH(SalesData[[#This Row],[Order Date]])</f>
        <v>8</v>
      </c>
      <c r="D858" s="3" t="s">
        <v>1079</v>
      </c>
      <c r="E858" s="3" t="s">
        <v>27</v>
      </c>
      <c r="F858" s="3" t="s">
        <v>39</v>
      </c>
      <c r="G858" s="3" t="s">
        <v>40</v>
      </c>
      <c r="H858" s="3" t="s">
        <v>1082</v>
      </c>
      <c r="I858" s="6">
        <v>445.96</v>
      </c>
      <c r="J858" s="4">
        <v>5</v>
      </c>
      <c r="K858" s="6">
        <v>55.75</v>
      </c>
    </row>
    <row r="859" spans="1:11" x14ac:dyDescent="0.3">
      <c r="A859" s="7">
        <v>41859</v>
      </c>
      <c r="B859" s="4">
        <f>YEAR(SalesData[[#This Row],[Order Date]])</f>
        <v>2014</v>
      </c>
      <c r="C859" s="4">
        <f>MONTH(SalesData[[#This Row],[Order Date]])</f>
        <v>8</v>
      </c>
      <c r="D859" s="3" t="s">
        <v>1079</v>
      </c>
      <c r="E859" s="3" t="s">
        <v>27</v>
      </c>
      <c r="F859" s="3" t="s">
        <v>34</v>
      </c>
      <c r="G859" s="3" t="s">
        <v>47</v>
      </c>
      <c r="H859" s="3" t="s">
        <v>1083</v>
      </c>
      <c r="I859" s="6">
        <v>327.76</v>
      </c>
      <c r="J859" s="4">
        <v>8</v>
      </c>
      <c r="K859" s="6">
        <v>91.77</v>
      </c>
    </row>
    <row r="860" spans="1:11" x14ac:dyDescent="0.3">
      <c r="A860" s="7">
        <v>41859</v>
      </c>
      <c r="B860" s="4">
        <f>YEAR(SalesData[[#This Row],[Order Date]])</f>
        <v>2014</v>
      </c>
      <c r="C860" s="4">
        <f>MONTH(SalesData[[#This Row],[Order Date]])</f>
        <v>8</v>
      </c>
      <c r="D860" s="3" t="s">
        <v>1084</v>
      </c>
      <c r="E860" s="3" t="s">
        <v>95</v>
      </c>
      <c r="F860" s="3" t="s">
        <v>34</v>
      </c>
      <c r="G860" s="3" t="s">
        <v>47</v>
      </c>
      <c r="H860" s="3" t="s">
        <v>1085</v>
      </c>
      <c r="I860" s="6">
        <v>121.38</v>
      </c>
      <c r="J860" s="4">
        <v>4</v>
      </c>
      <c r="K860" s="6">
        <v>-3.03</v>
      </c>
    </row>
    <row r="861" spans="1:11" x14ac:dyDescent="0.3">
      <c r="A861" s="7">
        <v>41859</v>
      </c>
      <c r="B861" s="4">
        <f>YEAR(SalesData[[#This Row],[Order Date]])</f>
        <v>2014</v>
      </c>
      <c r="C861" s="4">
        <f>MONTH(SalesData[[#This Row],[Order Date]])</f>
        <v>8</v>
      </c>
      <c r="D861" s="3" t="s">
        <v>1084</v>
      </c>
      <c r="E861" s="3" t="s">
        <v>95</v>
      </c>
      <c r="F861" s="3" t="s">
        <v>39</v>
      </c>
      <c r="G861" s="3" t="s">
        <v>52</v>
      </c>
      <c r="H861" s="3" t="s">
        <v>1086</v>
      </c>
      <c r="I861" s="6">
        <v>95.98</v>
      </c>
      <c r="J861" s="4">
        <v>3</v>
      </c>
      <c r="K861" s="6">
        <v>-10.8</v>
      </c>
    </row>
    <row r="862" spans="1:11" x14ac:dyDescent="0.3">
      <c r="A862" s="7">
        <v>41859</v>
      </c>
      <c r="B862" s="4">
        <f>YEAR(SalesData[[#This Row],[Order Date]])</f>
        <v>2014</v>
      </c>
      <c r="C862" s="4">
        <f>MONTH(SalesData[[#This Row],[Order Date]])</f>
        <v>8</v>
      </c>
      <c r="D862" s="3" t="s">
        <v>217</v>
      </c>
      <c r="E862" s="3" t="s">
        <v>27</v>
      </c>
      <c r="F862" s="3" t="s">
        <v>11</v>
      </c>
      <c r="G862" s="3" t="s">
        <v>18</v>
      </c>
      <c r="H862" s="3" t="s">
        <v>1087</v>
      </c>
      <c r="I862" s="6">
        <v>423.28</v>
      </c>
      <c r="J862" s="4">
        <v>11</v>
      </c>
      <c r="K862" s="6">
        <v>110.05</v>
      </c>
    </row>
    <row r="863" spans="1:11" x14ac:dyDescent="0.3">
      <c r="A863" s="7">
        <v>41859</v>
      </c>
      <c r="B863" s="4">
        <f>YEAR(SalesData[[#This Row],[Order Date]])</f>
        <v>2014</v>
      </c>
      <c r="C863" s="4">
        <f>MONTH(SalesData[[#This Row],[Order Date]])</f>
        <v>8</v>
      </c>
      <c r="D863" s="3" t="s">
        <v>1088</v>
      </c>
      <c r="E863" s="3" t="s">
        <v>110</v>
      </c>
      <c r="F863" s="3" t="s">
        <v>39</v>
      </c>
      <c r="G863" s="3" t="s">
        <v>603</v>
      </c>
      <c r="H863" s="3" t="s">
        <v>1089</v>
      </c>
      <c r="I863" s="6">
        <v>549.99</v>
      </c>
      <c r="J863" s="4">
        <v>1</v>
      </c>
      <c r="K863" s="6">
        <v>275</v>
      </c>
    </row>
    <row r="864" spans="1:11" x14ac:dyDescent="0.3">
      <c r="A864" s="7">
        <v>41859</v>
      </c>
      <c r="B864" s="4">
        <f>YEAR(SalesData[[#This Row],[Order Date]])</f>
        <v>2014</v>
      </c>
      <c r="C864" s="4">
        <f>MONTH(SalesData[[#This Row],[Order Date]])</f>
        <v>8</v>
      </c>
      <c r="D864" s="3" t="s">
        <v>1088</v>
      </c>
      <c r="E864" s="3" t="s">
        <v>110</v>
      </c>
      <c r="F864" s="3" t="s">
        <v>11</v>
      </c>
      <c r="G864" s="3" t="s">
        <v>92</v>
      </c>
      <c r="H864" s="3" t="s">
        <v>1090</v>
      </c>
      <c r="I864" s="6">
        <v>167.54</v>
      </c>
      <c r="J864" s="4">
        <v>3</v>
      </c>
      <c r="K864" s="6">
        <v>37.229999999999997</v>
      </c>
    </row>
    <row r="865" spans="1:11" x14ac:dyDescent="0.3">
      <c r="A865" s="7">
        <v>41859</v>
      </c>
      <c r="B865" s="4">
        <f>YEAR(SalesData[[#This Row],[Order Date]])</f>
        <v>2014</v>
      </c>
      <c r="C865" s="4">
        <f>MONTH(SalesData[[#This Row],[Order Date]])</f>
        <v>8</v>
      </c>
      <c r="D865" s="3" t="s">
        <v>1088</v>
      </c>
      <c r="E865" s="3" t="s">
        <v>110</v>
      </c>
      <c r="F865" s="3" t="s">
        <v>11</v>
      </c>
      <c r="G865" s="3" t="s">
        <v>63</v>
      </c>
      <c r="H865" s="3" t="s">
        <v>1091</v>
      </c>
      <c r="I865" s="6">
        <v>38.340000000000003</v>
      </c>
      <c r="J865" s="4">
        <v>3</v>
      </c>
      <c r="K865" s="6">
        <v>17.25</v>
      </c>
    </row>
    <row r="866" spans="1:11" x14ac:dyDescent="0.3">
      <c r="A866" s="7">
        <v>41859</v>
      </c>
      <c r="B866" s="4">
        <f>YEAR(SalesData[[#This Row],[Order Date]])</f>
        <v>2014</v>
      </c>
      <c r="C866" s="4">
        <f>MONTH(SalesData[[#This Row],[Order Date]])</f>
        <v>8</v>
      </c>
      <c r="D866" s="3" t="s">
        <v>1088</v>
      </c>
      <c r="E866" s="3" t="s">
        <v>110</v>
      </c>
      <c r="F866" s="3" t="s">
        <v>34</v>
      </c>
      <c r="G866" s="3" t="s">
        <v>47</v>
      </c>
      <c r="H866" s="3" t="s">
        <v>1092</v>
      </c>
      <c r="I866" s="6">
        <v>53.88</v>
      </c>
      <c r="J866" s="4">
        <v>6</v>
      </c>
      <c r="K866" s="6">
        <v>22.63</v>
      </c>
    </row>
    <row r="867" spans="1:11" x14ac:dyDescent="0.3">
      <c r="A867" s="7">
        <v>41859</v>
      </c>
      <c r="B867" s="4">
        <f>YEAR(SalesData[[#This Row],[Order Date]])</f>
        <v>2014</v>
      </c>
      <c r="C867" s="4">
        <f>MONTH(SalesData[[#This Row],[Order Date]])</f>
        <v>8</v>
      </c>
      <c r="D867" s="3" t="s">
        <v>1088</v>
      </c>
      <c r="E867" s="3" t="s">
        <v>110</v>
      </c>
      <c r="F867" s="3" t="s">
        <v>39</v>
      </c>
      <c r="G867" s="3" t="s">
        <v>40</v>
      </c>
      <c r="H867" s="3" t="s">
        <v>439</v>
      </c>
      <c r="I867" s="6">
        <v>299.98</v>
      </c>
      <c r="J867" s="4">
        <v>2</v>
      </c>
      <c r="K867" s="6">
        <v>83.99</v>
      </c>
    </row>
    <row r="868" spans="1:11" x14ac:dyDescent="0.3">
      <c r="A868" s="7">
        <v>41859</v>
      </c>
      <c r="B868" s="4">
        <f>YEAR(SalesData[[#This Row],[Order Date]])</f>
        <v>2014</v>
      </c>
      <c r="C868" s="4">
        <f>MONTH(SalesData[[#This Row],[Order Date]])</f>
        <v>8</v>
      </c>
      <c r="D868" s="3" t="s">
        <v>1093</v>
      </c>
      <c r="E868" s="3" t="s">
        <v>123</v>
      </c>
      <c r="F868" s="3" t="s">
        <v>34</v>
      </c>
      <c r="G868" s="3" t="s">
        <v>74</v>
      </c>
      <c r="H868" s="3" t="s">
        <v>1094</v>
      </c>
      <c r="I868" s="6">
        <v>155.46</v>
      </c>
      <c r="J868" s="4">
        <v>4</v>
      </c>
      <c r="K868" s="6">
        <v>-7.77</v>
      </c>
    </row>
    <row r="869" spans="1:11" x14ac:dyDescent="0.3">
      <c r="A869" s="7">
        <v>41860</v>
      </c>
      <c r="B869" s="4">
        <f>YEAR(SalesData[[#This Row],[Order Date]])</f>
        <v>2014</v>
      </c>
      <c r="C869" s="4">
        <f>MONTH(SalesData[[#This Row],[Order Date]])</f>
        <v>8</v>
      </c>
      <c r="D869" s="3" t="s">
        <v>1095</v>
      </c>
      <c r="E869" s="3" t="s">
        <v>123</v>
      </c>
      <c r="F869" s="3" t="s">
        <v>39</v>
      </c>
      <c r="G869" s="3" t="s">
        <v>40</v>
      </c>
      <c r="H869" s="3" t="s">
        <v>1082</v>
      </c>
      <c r="I869" s="6">
        <v>178.38</v>
      </c>
      <c r="J869" s="4">
        <v>2</v>
      </c>
      <c r="K869" s="6">
        <v>22.3</v>
      </c>
    </row>
    <row r="870" spans="1:11" x14ac:dyDescent="0.3">
      <c r="A870" s="7">
        <v>41860</v>
      </c>
      <c r="B870" s="4">
        <f>YEAR(SalesData[[#This Row],[Order Date]])</f>
        <v>2014</v>
      </c>
      <c r="C870" s="4">
        <f>MONTH(SalesData[[#This Row],[Order Date]])</f>
        <v>8</v>
      </c>
      <c r="D870" s="3" t="s">
        <v>1095</v>
      </c>
      <c r="E870" s="3" t="s">
        <v>123</v>
      </c>
      <c r="F870" s="3" t="s">
        <v>11</v>
      </c>
      <c r="G870" s="3" t="s">
        <v>12</v>
      </c>
      <c r="H870" s="3" t="s">
        <v>1096</v>
      </c>
      <c r="I870" s="6">
        <v>15.55</v>
      </c>
      <c r="J870" s="4">
        <v>3</v>
      </c>
      <c r="K870" s="6">
        <v>5.44</v>
      </c>
    </row>
    <row r="871" spans="1:11" x14ac:dyDescent="0.3">
      <c r="A871" s="7">
        <v>41860</v>
      </c>
      <c r="B871" s="4">
        <f>YEAR(SalesData[[#This Row],[Order Date]])</f>
        <v>2014</v>
      </c>
      <c r="C871" s="4">
        <f>MONTH(SalesData[[#This Row],[Order Date]])</f>
        <v>8</v>
      </c>
      <c r="D871" s="3" t="s">
        <v>1097</v>
      </c>
      <c r="E871" s="3" t="s">
        <v>27</v>
      </c>
      <c r="F871" s="3" t="s">
        <v>11</v>
      </c>
      <c r="G871" s="3" t="s">
        <v>16</v>
      </c>
      <c r="H871" s="3" t="s">
        <v>1098</v>
      </c>
      <c r="I871" s="6">
        <v>20.88</v>
      </c>
      <c r="J871" s="4">
        <v>8</v>
      </c>
      <c r="K871" s="6">
        <v>9.6</v>
      </c>
    </row>
    <row r="872" spans="1:11" x14ac:dyDescent="0.3">
      <c r="A872" s="7">
        <v>41860</v>
      </c>
      <c r="B872" s="4">
        <f>YEAR(SalesData[[#This Row],[Order Date]])</f>
        <v>2014</v>
      </c>
      <c r="C872" s="4">
        <f>MONTH(SalesData[[#This Row],[Order Date]])</f>
        <v>8</v>
      </c>
      <c r="D872" s="3" t="s">
        <v>1099</v>
      </c>
      <c r="E872" s="3" t="s">
        <v>164</v>
      </c>
      <c r="F872" s="3" t="s">
        <v>39</v>
      </c>
      <c r="G872" s="3" t="s">
        <v>40</v>
      </c>
      <c r="H872" s="3" t="s">
        <v>1100</v>
      </c>
      <c r="I872" s="6">
        <v>1091.17</v>
      </c>
      <c r="J872" s="4">
        <v>4</v>
      </c>
      <c r="K872" s="6">
        <v>68.2</v>
      </c>
    </row>
    <row r="873" spans="1:11" x14ac:dyDescent="0.3">
      <c r="A873" s="7">
        <v>41860</v>
      </c>
      <c r="B873" s="4">
        <f>YEAR(SalesData[[#This Row],[Order Date]])</f>
        <v>2014</v>
      </c>
      <c r="C873" s="4">
        <f>MONTH(SalesData[[#This Row],[Order Date]])</f>
        <v>8</v>
      </c>
      <c r="D873" s="3" t="s">
        <v>1099</v>
      </c>
      <c r="E873" s="3" t="s">
        <v>164</v>
      </c>
      <c r="F873" s="3" t="s">
        <v>39</v>
      </c>
      <c r="G873" s="3" t="s">
        <v>40</v>
      </c>
      <c r="H873" s="3" t="s">
        <v>1101</v>
      </c>
      <c r="I873" s="6">
        <v>219.17</v>
      </c>
      <c r="J873" s="4">
        <v>2</v>
      </c>
      <c r="K873" s="6">
        <v>-43.83</v>
      </c>
    </row>
    <row r="874" spans="1:11" x14ac:dyDescent="0.3">
      <c r="A874" s="7">
        <v>41860</v>
      </c>
      <c r="B874" s="4">
        <f>YEAR(SalesData[[#This Row],[Order Date]])</f>
        <v>2014</v>
      </c>
      <c r="C874" s="4">
        <f>MONTH(SalesData[[#This Row],[Order Date]])</f>
        <v>8</v>
      </c>
      <c r="D874" s="3" t="s">
        <v>1102</v>
      </c>
      <c r="E874" s="3" t="s">
        <v>164</v>
      </c>
      <c r="F874" s="3" t="s">
        <v>11</v>
      </c>
      <c r="G874" s="3" t="s">
        <v>20</v>
      </c>
      <c r="H874" s="3" t="s">
        <v>1103</v>
      </c>
      <c r="I874" s="6">
        <v>2060.7399999999998</v>
      </c>
      <c r="J874" s="4">
        <v>7</v>
      </c>
      <c r="K874" s="6">
        <v>643.98</v>
      </c>
    </row>
    <row r="875" spans="1:11" x14ac:dyDescent="0.3">
      <c r="A875" s="7">
        <v>41860</v>
      </c>
      <c r="B875" s="4">
        <f>YEAR(SalesData[[#This Row],[Order Date]])</f>
        <v>2014</v>
      </c>
      <c r="C875" s="4">
        <f>MONTH(SalesData[[#This Row],[Order Date]])</f>
        <v>8</v>
      </c>
      <c r="D875" s="3" t="s">
        <v>1104</v>
      </c>
      <c r="E875" s="3" t="s">
        <v>27</v>
      </c>
      <c r="F875" s="3" t="s">
        <v>11</v>
      </c>
      <c r="G875" s="3" t="s">
        <v>12</v>
      </c>
      <c r="H875" s="3" t="s">
        <v>1105</v>
      </c>
      <c r="I875" s="6">
        <v>5.98</v>
      </c>
      <c r="J875" s="4">
        <v>1</v>
      </c>
      <c r="K875" s="6">
        <v>2.69</v>
      </c>
    </row>
    <row r="876" spans="1:11" x14ac:dyDescent="0.3">
      <c r="A876" s="7">
        <v>41860</v>
      </c>
      <c r="B876" s="4">
        <f>YEAR(SalesData[[#This Row],[Order Date]])</f>
        <v>2014</v>
      </c>
      <c r="C876" s="4">
        <f>MONTH(SalesData[[#This Row],[Order Date]])</f>
        <v>8</v>
      </c>
      <c r="D876" s="3" t="s">
        <v>983</v>
      </c>
      <c r="E876" s="3" t="s">
        <v>95</v>
      </c>
      <c r="F876" s="3" t="s">
        <v>11</v>
      </c>
      <c r="G876" s="3" t="s">
        <v>43</v>
      </c>
      <c r="H876" s="3" t="s">
        <v>1106</v>
      </c>
      <c r="I876" s="6">
        <v>4.46</v>
      </c>
      <c r="J876" s="4">
        <v>3</v>
      </c>
      <c r="K876" s="6">
        <v>-0.95</v>
      </c>
    </row>
    <row r="877" spans="1:11" x14ac:dyDescent="0.3">
      <c r="A877" s="7">
        <v>41860</v>
      </c>
      <c r="B877" s="4">
        <f>YEAR(SalesData[[#This Row],[Order Date]])</f>
        <v>2014</v>
      </c>
      <c r="C877" s="4">
        <f>MONTH(SalesData[[#This Row],[Order Date]])</f>
        <v>8</v>
      </c>
      <c r="D877" s="3" t="s">
        <v>983</v>
      </c>
      <c r="E877" s="3" t="s">
        <v>95</v>
      </c>
      <c r="F877" s="3" t="s">
        <v>11</v>
      </c>
      <c r="G877" s="3" t="s">
        <v>20</v>
      </c>
      <c r="H877" s="3" t="s">
        <v>428</v>
      </c>
      <c r="I877" s="6">
        <v>9.35</v>
      </c>
      <c r="J877" s="4">
        <v>5</v>
      </c>
      <c r="K877" s="6">
        <v>-6.54</v>
      </c>
    </row>
    <row r="878" spans="1:11" x14ac:dyDescent="0.3">
      <c r="A878" s="7">
        <v>41862</v>
      </c>
      <c r="B878" s="4">
        <f>YEAR(SalesData[[#This Row],[Order Date]])</f>
        <v>2014</v>
      </c>
      <c r="C878" s="4">
        <f>MONTH(SalesData[[#This Row],[Order Date]])</f>
        <v>8</v>
      </c>
      <c r="D878" s="3" t="s">
        <v>646</v>
      </c>
      <c r="E878" s="3" t="s">
        <v>164</v>
      </c>
      <c r="F878" s="3" t="s">
        <v>34</v>
      </c>
      <c r="G878" s="3" t="s">
        <v>47</v>
      </c>
      <c r="H878" s="3" t="s">
        <v>1107</v>
      </c>
      <c r="I878" s="6">
        <v>12.35</v>
      </c>
      <c r="J878" s="4">
        <v>1</v>
      </c>
      <c r="K878" s="6">
        <v>5.43</v>
      </c>
    </row>
    <row r="879" spans="1:11" x14ac:dyDescent="0.3">
      <c r="A879" s="7">
        <v>41862</v>
      </c>
      <c r="B879" s="4">
        <f>YEAR(SalesData[[#This Row],[Order Date]])</f>
        <v>2014</v>
      </c>
      <c r="C879" s="4">
        <f>MONTH(SalesData[[#This Row],[Order Date]])</f>
        <v>8</v>
      </c>
      <c r="D879" s="3" t="s">
        <v>646</v>
      </c>
      <c r="E879" s="3" t="s">
        <v>164</v>
      </c>
      <c r="F879" s="3" t="s">
        <v>11</v>
      </c>
      <c r="G879" s="3" t="s">
        <v>24</v>
      </c>
      <c r="H879" s="3" t="s">
        <v>1108</v>
      </c>
      <c r="I879" s="6">
        <v>40.97</v>
      </c>
      <c r="J879" s="4">
        <v>1</v>
      </c>
      <c r="K879" s="6">
        <v>10.65</v>
      </c>
    </row>
    <row r="880" spans="1:11" x14ac:dyDescent="0.3">
      <c r="A880" s="7">
        <v>41862</v>
      </c>
      <c r="B880" s="4">
        <f>YEAR(SalesData[[#This Row],[Order Date]])</f>
        <v>2014</v>
      </c>
      <c r="C880" s="4">
        <f>MONTH(SalesData[[#This Row],[Order Date]])</f>
        <v>8</v>
      </c>
      <c r="D880" s="3" t="s">
        <v>646</v>
      </c>
      <c r="E880" s="3" t="s">
        <v>164</v>
      </c>
      <c r="F880" s="3" t="s">
        <v>11</v>
      </c>
      <c r="G880" s="3" t="s">
        <v>43</v>
      </c>
      <c r="H880" s="3" t="s">
        <v>1109</v>
      </c>
      <c r="I880" s="6">
        <v>22.96</v>
      </c>
      <c r="J880" s="4">
        <v>2</v>
      </c>
      <c r="K880" s="6">
        <v>10.79</v>
      </c>
    </row>
    <row r="881" spans="1:11" x14ac:dyDescent="0.3">
      <c r="A881" s="7">
        <v>41862</v>
      </c>
      <c r="B881" s="4">
        <f>YEAR(SalesData[[#This Row],[Order Date]])</f>
        <v>2014</v>
      </c>
      <c r="C881" s="4">
        <f>MONTH(SalesData[[#This Row],[Order Date]])</f>
        <v>8</v>
      </c>
      <c r="D881" s="3" t="s">
        <v>1012</v>
      </c>
      <c r="E881" s="3" t="s">
        <v>149</v>
      </c>
      <c r="F881" s="3" t="s">
        <v>11</v>
      </c>
      <c r="G881" s="3" t="s">
        <v>18</v>
      </c>
      <c r="H881" s="3" t="s">
        <v>1110</v>
      </c>
      <c r="I881" s="6">
        <v>375.34</v>
      </c>
      <c r="J881" s="4">
        <v>1</v>
      </c>
      <c r="K881" s="6">
        <v>18.77</v>
      </c>
    </row>
    <row r="882" spans="1:11" x14ac:dyDescent="0.3">
      <c r="A882" s="7">
        <v>41863</v>
      </c>
      <c r="B882" s="4">
        <f>YEAR(SalesData[[#This Row],[Order Date]])</f>
        <v>2014</v>
      </c>
      <c r="C882" s="4">
        <f>MONTH(SalesData[[#This Row],[Order Date]])</f>
        <v>8</v>
      </c>
      <c r="D882" s="3" t="s">
        <v>1111</v>
      </c>
      <c r="E882" s="3" t="s">
        <v>177</v>
      </c>
      <c r="F882" s="3" t="s">
        <v>11</v>
      </c>
      <c r="G882" s="3" t="s">
        <v>20</v>
      </c>
      <c r="H882" s="3" t="s">
        <v>1112</v>
      </c>
      <c r="I882" s="6">
        <v>196.21</v>
      </c>
      <c r="J882" s="4">
        <v>7</v>
      </c>
      <c r="K882" s="6">
        <v>98.11</v>
      </c>
    </row>
    <row r="883" spans="1:11" x14ac:dyDescent="0.3">
      <c r="A883" s="7">
        <v>41863</v>
      </c>
      <c r="B883" s="4">
        <f>YEAR(SalesData[[#This Row],[Order Date]])</f>
        <v>2014</v>
      </c>
      <c r="C883" s="4">
        <f>MONTH(SalesData[[#This Row],[Order Date]])</f>
        <v>8</v>
      </c>
      <c r="D883" s="3" t="s">
        <v>1113</v>
      </c>
      <c r="E883" s="3" t="s">
        <v>27</v>
      </c>
      <c r="F883" s="3" t="s">
        <v>39</v>
      </c>
      <c r="G883" s="3" t="s">
        <v>40</v>
      </c>
      <c r="H883" s="3" t="s">
        <v>1114</v>
      </c>
      <c r="I883" s="6">
        <v>806.34</v>
      </c>
      <c r="J883" s="4">
        <v>8</v>
      </c>
      <c r="K883" s="6">
        <v>50.4</v>
      </c>
    </row>
    <row r="884" spans="1:11" x14ac:dyDescent="0.3">
      <c r="A884" s="7">
        <v>41863</v>
      </c>
      <c r="B884" s="4">
        <f>YEAR(SalesData[[#This Row],[Order Date]])</f>
        <v>2014</v>
      </c>
      <c r="C884" s="4">
        <f>MONTH(SalesData[[#This Row],[Order Date]])</f>
        <v>8</v>
      </c>
      <c r="D884" s="3" t="s">
        <v>1113</v>
      </c>
      <c r="E884" s="3" t="s">
        <v>27</v>
      </c>
      <c r="F884" s="3" t="s">
        <v>34</v>
      </c>
      <c r="G884" s="3" t="s">
        <v>47</v>
      </c>
      <c r="H884" s="3" t="s">
        <v>775</v>
      </c>
      <c r="I884" s="6">
        <v>85.44</v>
      </c>
      <c r="J884" s="4">
        <v>3</v>
      </c>
      <c r="K884" s="6">
        <v>31.61</v>
      </c>
    </row>
    <row r="885" spans="1:11" x14ac:dyDescent="0.3">
      <c r="A885" s="7">
        <v>41863</v>
      </c>
      <c r="B885" s="4">
        <f>YEAR(SalesData[[#This Row],[Order Date]])</f>
        <v>2014</v>
      </c>
      <c r="C885" s="4">
        <f>MONTH(SalesData[[#This Row],[Order Date]])</f>
        <v>8</v>
      </c>
      <c r="D885" s="3" t="s">
        <v>1115</v>
      </c>
      <c r="E885" s="3" t="s">
        <v>123</v>
      </c>
      <c r="F885" s="3" t="s">
        <v>11</v>
      </c>
      <c r="G885" s="3" t="s">
        <v>12</v>
      </c>
      <c r="H885" s="3" t="s">
        <v>1116</v>
      </c>
      <c r="I885" s="6">
        <v>31.1</v>
      </c>
      <c r="J885" s="4">
        <v>6</v>
      </c>
      <c r="K885" s="6">
        <v>10.89</v>
      </c>
    </row>
    <row r="886" spans="1:11" x14ac:dyDescent="0.3">
      <c r="A886" s="7">
        <v>41863</v>
      </c>
      <c r="B886" s="4">
        <f>YEAR(SalesData[[#This Row],[Order Date]])</f>
        <v>2014</v>
      </c>
      <c r="C886" s="4">
        <f>MONTH(SalesData[[#This Row],[Order Date]])</f>
        <v>8</v>
      </c>
      <c r="D886" s="3" t="s">
        <v>1115</v>
      </c>
      <c r="E886" s="3" t="s">
        <v>123</v>
      </c>
      <c r="F886" s="3" t="s">
        <v>11</v>
      </c>
      <c r="G886" s="3" t="s">
        <v>24</v>
      </c>
      <c r="H886" s="3" t="s">
        <v>1117</v>
      </c>
      <c r="I886" s="6">
        <v>47.96</v>
      </c>
      <c r="J886" s="4">
        <v>5</v>
      </c>
      <c r="K886" s="6">
        <v>4.2</v>
      </c>
    </row>
    <row r="887" spans="1:11" x14ac:dyDescent="0.3">
      <c r="A887" s="7">
        <v>41863</v>
      </c>
      <c r="B887" s="4">
        <f>YEAR(SalesData[[#This Row],[Order Date]])</f>
        <v>2014</v>
      </c>
      <c r="C887" s="4">
        <f>MONTH(SalesData[[#This Row],[Order Date]])</f>
        <v>8</v>
      </c>
      <c r="D887" s="3" t="s">
        <v>1115</v>
      </c>
      <c r="E887" s="3" t="s">
        <v>123</v>
      </c>
      <c r="F887" s="3" t="s">
        <v>39</v>
      </c>
      <c r="G887" s="3" t="s">
        <v>52</v>
      </c>
      <c r="H887" s="3" t="s">
        <v>1063</v>
      </c>
      <c r="I887" s="6">
        <v>158.93</v>
      </c>
      <c r="J887" s="4">
        <v>7</v>
      </c>
      <c r="K887" s="6">
        <v>41.72</v>
      </c>
    </row>
    <row r="888" spans="1:11" x14ac:dyDescent="0.3">
      <c r="A888" s="7">
        <v>41863</v>
      </c>
      <c r="B888" s="4">
        <f>YEAR(SalesData[[#This Row],[Order Date]])</f>
        <v>2014</v>
      </c>
      <c r="C888" s="4">
        <f>MONTH(SalesData[[#This Row],[Order Date]])</f>
        <v>8</v>
      </c>
      <c r="D888" s="3" t="s">
        <v>1115</v>
      </c>
      <c r="E888" s="3" t="s">
        <v>123</v>
      </c>
      <c r="F888" s="3" t="s">
        <v>11</v>
      </c>
      <c r="G888" s="3" t="s">
        <v>92</v>
      </c>
      <c r="H888" s="3" t="s">
        <v>1118</v>
      </c>
      <c r="I888" s="6">
        <v>211.25</v>
      </c>
      <c r="J888" s="4">
        <v>6</v>
      </c>
      <c r="K888" s="6">
        <v>15.84</v>
      </c>
    </row>
    <row r="889" spans="1:11" x14ac:dyDescent="0.3">
      <c r="A889" s="7">
        <v>41863</v>
      </c>
      <c r="B889" s="4">
        <f>YEAR(SalesData[[#This Row],[Order Date]])</f>
        <v>2014</v>
      </c>
      <c r="C889" s="4">
        <f>MONTH(SalesData[[#This Row],[Order Date]])</f>
        <v>8</v>
      </c>
      <c r="D889" s="3" t="s">
        <v>1115</v>
      </c>
      <c r="E889" s="3" t="s">
        <v>123</v>
      </c>
      <c r="F889" s="3" t="s">
        <v>11</v>
      </c>
      <c r="G889" s="3" t="s">
        <v>200</v>
      </c>
      <c r="H889" s="3" t="s">
        <v>1119</v>
      </c>
      <c r="I889" s="6">
        <v>5.55</v>
      </c>
      <c r="J889" s="4">
        <v>2</v>
      </c>
      <c r="K889" s="6">
        <v>-1.04</v>
      </c>
    </row>
    <row r="890" spans="1:11" x14ac:dyDescent="0.3">
      <c r="A890" s="7">
        <v>41863</v>
      </c>
      <c r="B890" s="4">
        <f>YEAR(SalesData[[#This Row],[Order Date]])</f>
        <v>2014</v>
      </c>
      <c r="C890" s="4">
        <f>MONTH(SalesData[[#This Row],[Order Date]])</f>
        <v>8</v>
      </c>
      <c r="D890" s="3" t="s">
        <v>1115</v>
      </c>
      <c r="E890" s="3" t="s">
        <v>123</v>
      </c>
      <c r="F890" s="3" t="s">
        <v>11</v>
      </c>
      <c r="G890" s="3" t="s">
        <v>16</v>
      </c>
      <c r="H890" s="3" t="s">
        <v>348</v>
      </c>
      <c r="I890" s="6">
        <v>2.95</v>
      </c>
      <c r="J890" s="4">
        <v>1</v>
      </c>
      <c r="K890" s="6">
        <v>1</v>
      </c>
    </row>
    <row r="891" spans="1:11" x14ac:dyDescent="0.3">
      <c r="A891" s="7">
        <v>41863</v>
      </c>
      <c r="B891" s="4">
        <f>YEAR(SalesData[[#This Row],[Order Date]])</f>
        <v>2014</v>
      </c>
      <c r="C891" s="4">
        <f>MONTH(SalesData[[#This Row],[Order Date]])</f>
        <v>8</v>
      </c>
      <c r="D891" s="3" t="s">
        <v>590</v>
      </c>
      <c r="E891" s="3" t="s">
        <v>30</v>
      </c>
      <c r="F891" s="3" t="s">
        <v>11</v>
      </c>
      <c r="G891" s="3" t="s">
        <v>20</v>
      </c>
      <c r="H891" s="3" t="s">
        <v>1120</v>
      </c>
      <c r="I891" s="6">
        <v>14.04</v>
      </c>
      <c r="J891" s="4">
        <v>3</v>
      </c>
      <c r="K891" s="6">
        <v>6.74</v>
      </c>
    </row>
    <row r="892" spans="1:11" x14ac:dyDescent="0.3">
      <c r="A892" s="7">
        <v>41863</v>
      </c>
      <c r="B892" s="4">
        <f>YEAR(SalesData[[#This Row],[Order Date]])</f>
        <v>2014</v>
      </c>
      <c r="C892" s="4">
        <f>MONTH(SalesData[[#This Row],[Order Date]])</f>
        <v>8</v>
      </c>
      <c r="D892" s="3" t="s">
        <v>590</v>
      </c>
      <c r="E892" s="3" t="s">
        <v>30</v>
      </c>
      <c r="F892" s="3" t="s">
        <v>39</v>
      </c>
      <c r="G892" s="3" t="s">
        <v>52</v>
      </c>
      <c r="H892" s="3" t="s">
        <v>986</v>
      </c>
      <c r="I892" s="6">
        <v>272.61</v>
      </c>
      <c r="J892" s="4">
        <v>13</v>
      </c>
      <c r="K892" s="6">
        <v>98.14</v>
      </c>
    </row>
    <row r="893" spans="1:11" x14ac:dyDescent="0.3">
      <c r="A893" s="7">
        <v>41866</v>
      </c>
      <c r="B893" s="4">
        <f>YEAR(SalesData[[#This Row],[Order Date]])</f>
        <v>2014</v>
      </c>
      <c r="C893" s="4">
        <f>MONTH(SalesData[[#This Row],[Order Date]])</f>
        <v>8</v>
      </c>
      <c r="D893" s="3" t="s">
        <v>1121</v>
      </c>
      <c r="E893" s="3" t="s">
        <v>10</v>
      </c>
      <c r="F893" s="3" t="s">
        <v>11</v>
      </c>
      <c r="G893" s="3" t="s">
        <v>20</v>
      </c>
      <c r="H893" s="3" t="s">
        <v>548</v>
      </c>
      <c r="I893" s="6">
        <v>30.96</v>
      </c>
      <c r="J893" s="4">
        <v>8</v>
      </c>
      <c r="K893" s="6">
        <v>-52.63</v>
      </c>
    </row>
    <row r="894" spans="1:11" x14ac:dyDescent="0.3">
      <c r="A894" s="7">
        <v>41866</v>
      </c>
      <c r="B894" s="4">
        <f>YEAR(SalesData[[#This Row],[Order Date]])</f>
        <v>2014</v>
      </c>
      <c r="C894" s="4">
        <f>MONTH(SalesData[[#This Row],[Order Date]])</f>
        <v>8</v>
      </c>
      <c r="D894" s="3" t="s">
        <v>1122</v>
      </c>
      <c r="E894" s="3" t="s">
        <v>613</v>
      </c>
      <c r="F894" s="3" t="s">
        <v>11</v>
      </c>
      <c r="G894" s="3" t="s">
        <v>20</v>
      </c>
      <c r="H894" s="3" t="s">
        <v>1123</v>
      </c>
      <c r="I894" s="6">
        <v>62.94</v>
      </c>
      <c r="J894" s="4">
        <v>3</v>
      </c>
      <c r="K894" s="6">
        <v>30.21</v>
      </c>
    </row>
    <row r="895" spans="1:11" x14ac:dyDescent="0.3">
      <c r="A895" s="7">
        <v>41866</v>
      </c>
      <c r="B895" s="4">
        <f>YEAR(SalesData[[#This Row],[Order Date]])</f>
        <v>2014</v>
      </c>
      <c r="C895" s="4">
        <f>MONTH(SalesData[[#This Row],[Order Date]])</f>
        <v>8</v>
      </c>
      <c r="D895" s="3" t="s">
        <v>1122</v>
      </c>
      <c r="E895" s="3" t="s">
        <v>123</v>
      </c>
      <c r="F895" s="3" t="s">
        <v>11</v>
      </c>
      <c r="G895" s="3" t="s">
        <v>12</v>
      </c>
      <c r="H895" s="3" t="s">
        <v>1124</v>
      </c>
      <c r="I895" s="6">
        <v>91.36</v>
      </c>
      <c r="J895" s="4">
        <v>5</v>
      </c>
      <c r="K895" s="6">
        <v>29.69</v>
      </c>
    </row>
    <row r="896" spans="1:11" x14ac:dyDescent="0.3">
      <c r="A896" s="7">
        <v>41866</v>
      </c>
      <c r="B896" s="4">
        <f>YEAR(SalesData[[#This Row],[Order Date]])</f>
        <v>2014</v>
      </c>
      <c r="C896" s="4">
        <f>MONTH(SalesData[[#This Row],[Order Date]])</f>
        <v>8</v>
      </c>
      <c r="D896" s="3" t="s">
        <v>1122</v>
      </c>
      <c r="E896" s="3" t="s">
        <v>123</v>
      </c>
      <c r="F896" s="3" t="s">
        <v>11</v>
      </c>
      <c r="G896" s="3" t="s">
        <v>92</v>
      </c>
      <c r="H896" s="3" t="s">
        <v>1080</v>
      </c>
      <c r="I896" s="6">
        <v>152.24</v>
      </c>
      <c r="J896" s="4">
        <v>5</v>
      </c>
      <c r="K896" s="6">
        <v>17.13</v>
      </c>
    </row>
    <row r="897" spans="1:11" x14ac:dyDescent="0.3">
      <c r="A897" s="7">
        <v>41866</v>
      </c>
      <c r="B897" s="4">
        <f>YEAR(SalesData[[#This Row],[Order Date]])</f>
        <v>2014</v>
      </c>
      <c r="C897" s="4">
        <f>MONTH(SalesData[[#This Row],[Order Date]])</f>
        <v>8</v>
      </c>
      <c r="D897" s="3" t="s">
        <v>72</v>
      </c>
      <c r="E897" s="3" t="s">
        <v>27</v>
      </c>
      <c r="F897" s="3" t="s">
        <v>11</v>
      </c>
      <c r="G897" s="3" t="s">
        <v>92</v>
      </c>
      <c r="H897" s="3" t="s">
        <v>1125</v>
      </c>
      <c r="I897" s="6">
        <v>152.91</v>
      </c>
      <c r="J897" s="4">
        <v>3</v>
      </c>
      <c r="K897" s="6">
        <v>42.81</v>
      </c>
    </row>
    <row r="898" spans="1:11" x14ac:dyDescent="0.3">
      <c r="A898" s="7">
        <v>41866</v>
      </c>
      <c r="B898" s="4">
        <f>YEAR(SalesData[[#This Row],[Order Date]])</f>
        <v>2014</v>
      </c>
      <c r="C898" s="4">
        <f>MONTH(SalesData[[#This Row],[Order Date]])</f>
        <v>8</v>
      </c>
      <c r="D898" s="3" t="s">
        <v>72</v>
      </c>
      <c r="E898" s="3" t="s">
        <v>27</v>
      </c>
      <c r="F898" s="3" t="s">
        <v>11</v>
      </c>
      <c r="G898" s="3" t="s">
        <v>12</v>
      </c>
      <c r="H898" s="3" t="s">
        <v>1126</v>
      </c>
      <c r="I898" s="6">
        <v>92.94</v>
      </c>
      <c r="J898" s="4">
        <v>3</v>
      </c>
      <c r="K898" s="6">
        <v>41.82</v>
      </c>
    </row>
    <row r="899" spans="1:11" x14ac:dyDescent="0.3">
      <c r="A899" s="7">
        <v>41866</v>
      </c>
      <c r="B899" s="4">
        <f>YEAR(SalesData[[#This Row],[Order Date]])</f>
        <v>2014</v>
      </c>
      <c r="C899" s="4">
        <f>MONTH(SalesData[[#This Row],[Order Date]])</f>
        <v>8</v>
      </c>
      <c r="D899" s="3" t="s">
        <v>72</v>
      </c>
      <c r="E899" s="3" t="s">
        <v>27</v>
      </c>
      <c r="F899" s="3" t="s">
        <v>11</v>
      </c>
      <c r="G899" s="3" t="s">
        <v>20</v>
      </c>
      <c r="H899" s="3" t="s">
        <v>1127</v>
      </c>
      <c r="I899" s="6">
        <v>17.86</v>
      </c>
      <c r="J899" s="4">
        <v>4</v>
      </c>
      <c r="K899" s="6">
        <v>6.25</v>
      </c>
    </row>
    <row r="900" spans="1:11" x14ac:dyDescent="0.3">
      <c r="A900" s="7">
        <v>41866</v>
      </c>
      <c r="B900" s="4">
        <f>YEAR(SalesData[[#This Row],[Order Date]])</f>
        <v>2014</v>
      </c>
      <c r="C900" s="4">
        <f>MONTH(SalesData[[#This Row],[Order Date]])</f>
        <v>8</v>
      </c>
      <c r="D900" s="3" t="s">
        <v>72</v>
      </c>
      <c r="E900" s="3" t="s">
        <v>27</v>
      </c>
      <c r="F900" s="3" t="s">
        <v>11</v>
      </c>
      <c r="G900" s="3" t="s">
        <v>20</v>
      </c>
      <c r="H900" s="3" t="s">
        <v>548</v>
      </c>
      <c r="I900" s="6">
        <v>46.44</v>
      </c>
      <c r="J900" s="4">
        <v>3</v>
      </c>
      <c r="K900" s="6">
        <v>15.09</v>
      </c>
    </row>
    <row r="901" spans="1:11" x14ac:dyDescent="0.3">
      <c r="A901" s="7">
        <v>41866</v>
      </c>
      <c r="B901" s="4">
        <f>YEAR(SalesData[[#This Row],[Order Date]])</f>
        <v>2014</v>
      </c>
      <c r="C901" s="4">
        <f>MONTH(SalesData[[#This Row],[Order Date]])</f>
        <v>8</v>
      </c>
      <c r="D901" s="3" t="s">
        <v>72</v>
      </c>
      <c r="E901" s="3" t="s">
        <v>27</v>
      </c>
      <c r="F901" s="3" t="s">
        <v>34</v>
      </c>
      <c r="G901" s="3" t="s">
        <v>35</v>
      </c>
      <c r="H901" s="3" t="s">
        <v>1128</v>
      </c>
      <c r="I901" s="6">
        <v>195.14</v>
      </c>
      <c r="J901" s="4">
        <v>4</v>
      </c>
      <c r="K901" s="6">
        <v>-12.2</v>
      </c>
    </row>
    <row r="902" spans="1:11" x14ac:dyDescent="0.3">
      <c r="A902" s="7">
        <v>41867</v>
      </c>
      <c r="B902" s="4">
        <f>YEAR(SalesData[[#This Row],[Order Date]])</f>
        <v>2014</v>
      </c>
      <c r="C902" s="4">
        <f>MONTH(SalesData[[#This Row],[Order Date]])</f>
        <v>8</v>
      </c>
      <c r="D902" s="3" t="s">
        <v>1129</v>
      </c>
      <c r="E902" s="3" t="s">
        <v>23</v>
      </c>
      <c r="F902" s="3" t="s">
        <v>34</v>
      </c>
      <c r="G902" s="3" t="s">
        <v>145</v>
      </c>
      <c r="H902" s="3" t="s">
        <v>741</v>
      </c>
      <c r="I902" s="6">
        <v>853.09</v>
      </c>
      <c r="J902" s="4">
        <v>6</v>
      </c>
      <c r="K902" s="6">
        <v>-227.49</v>
      </c>
    </row>
    <row r="903" spans="1:11" x14ac:dyDescent="0.3">
      <c r="A903" s="7">
        <v>41868</v>
      </c>
      <c r="B903" s="4">
        <f>YEAR(SalesData[[#This Row],[Order Date]])</f>
        <v>2014</v>
      </c>
      <c r="C903" s="4">
        <f>MONTH(SalesData[[#This Row],[Order Date]])</f>
        <v>8</v>
      </c>
      <c r="D903" s="3" t="s">
        <v>452</v>
      </c>
      <c r="E903" s="3" t="s">
        <v>10</v>
      </c>
      <c r="F903" s="3" t="s">
        <v>11</v>
      </c>
      <c r="G903" s="3" t="s">
        <v>12</v>
      </c>
      <c r="H903" s="3" t="s">
        <v>1130</v>
      </c>
      <c r="I903" s="6">
        <v>15.55</v>
      </c>
      <c r="J903" s="4">
        <v>3</v>
      </c>
      <c r="K903" s="6">
        <v>5.44</v>
      </c>
    </row>
    <row r="904" spans="1:11" x14ac:dyDescent="0.3">
      <c r="A904" s="7">
        <v>41868</v>
      </c>
      <c r="B904" s="4">
        <f>YEAR(SalesData[[#This Row],[Order Date]])</f>
        <v>2014</v>
      </c>
      <c r="C904" s="4">
        <f>MONTH(SalesData[[#This Row],[Order Date]])</f>
        <v>8</v>
      </c>
      <c r="D904" s="3" t="s">
        <v>1131</v>
      </c>
      <c r="E904" s="3" t="s">
        <v>101</v>
      </c>
      <c r="F904" s="3" t="s">
        <v>11</v>
      </c>
      <c r="G904" s="3" t="s">
        <v>12</v>
      </c>
      <c r="H904" s="3" t="s">
        <v>1132</v>
      </c>
      <c r="I904" s="6">
        <v>114.2</v>
      </c>
      <c r="J904" s="4">
        <v>5</v>
      </c>
      <c r="K904" s="6">
        <v>52.53</v>
      </c>
    </row>
    <row r="905" spans="1:11" x14ac:dyDescent="0.3">
      <c r="A905" s="7">
        <v>41868</v>
      </c>
      <c r="B905" s="4">
        <f>YEAR(SalesData[[#This Row],[Order Date]])</f>
        <v>2014</v>
      </c>
      <c r="C905" s="4">
        <f>MONTH(SalesData[[#This Row],[Order Date]])</f>
        <v>8</v>
      </c>
      <c r="D905" s="3" t="s">
        <v>1131</v>
      </c>
      <c r="E905" s="3" t="s">
        <v>101</v>
      </c>
      <c r="F905" s="3" t="s">
        <v>11</v>
      </c>
      <c r="G905" s="3" t="s">
        <v>20</v>
      </c>
      <c r="H905" s="3" t="s">
        <v>451</v>
      </c>
      <c r="I905" s="6">
        <v>17.96</v>
      </c>
      <c r="J905" s="4">
        <v>4</v>
      </c>
      <c r="K905" s="6">
        <v>8.26</v>
      </c>
    </row>
    <row r="906" spans="1:11" x14ac:dyDescent="0.3">
      <c r="A906" s="7">
        <v>41868</v>
      </c>
      <c r="B906" s="4">
        <f>YEAR(SalesData[[#This Row],[Order Date]])</f>
        <v>2014</v>
      </c>
      <c r="C906" s="4">
        <f>MONTH(SalesData[[#This Row],[Order Date]])</f>
        <v>8</v>
      </c>
      <c r="D906" s="3" t="s">
        <v>1131</v>
      </c>
      <c r="E906" s="3" t="s">
        <v>101</v>
      </c>
      <c r="F906" s="3" t="s">
        <v>11</v>
      </c>
      <c r="G906" s="3" t="s">
        <v>43</v>
      </c>
      <c r="H906" s="3" t="s">
        <v>1133</v>
      </c>
      <c r="I906" s="6">
        <v>12.67</v>
      </c>
      <c r="J906" s="4">
        <v>7</v>
      </c>
      <c r="K906" s="6">
        <v>4.5599999999999996</v>
      </c>
    </row>
    <row r="907" spans="1:11" x14ac:dyDescent="0.3">
      <c r="A907" s="7">
        <v>41868</v>
      </c>
      <c r="B907" s="4">
        <f>YEAR(SalesData[[#This Row],[Order Date]])</f>
        <v>2014</v>
      </c>
      <c r="C907" s="4">
        <f>MONTH(SalesData[[#This Row],[Order Date]])</f>
        <v>8</v>
      </c>
      <c r="D907" s="3" t="s">
        <v>1131</v>
      </c>
      <c r="E907" s="3" t="s">
        <v>101</v>
      </c>
      <c r="F907" s="3" t="s">
        <v>39</v>
      </c>
      <c r="G907" s="3" t="s">
        <v>52</v>
      </c>
      <c r="H907" s="3" t="s">
        <v>1134</v>
      </c>
      <c r="I907" s="6">
        <v>339.96</v>
      </c>
      <c r="J907" s="4">
        <v>4</v>
      </c>
      <c r="K907" s="6">
        <v>122.39</v>
      </c>
    </row>
    <row r="908" spans="1:11" x14ac:dyDescent="0.3">
      <c r="A908" s="7">
        <v>41870</v>
      </c>
      <c r="B908" s="4">
        <f>YEAR(SalesData[[#This Row],[Order Date]])</f>
        <v>2014</v>
      </c>
      <c r="C908" s="4">
        <f>MONTH(SalesData[[#This Row],[Order Date]])</f>
        <v>8</v>
      </c>
      <c r="D908" s="3" t="s">
        <v>749</v>
      </c>
      <c r="E908" s="3" t="s">
        <v>78</v>
      </c>
      <c r="F908" s="3" t="s">
        <v>11</v>
      </c>
      <c r="G908" s="3" t="s">
        <v>24</v>
      </c>
      <c r="H908" s="3" t="s">
        <v>1135</v>
      </c>
      <c r="I908" s="6">
        <v>10.72</v>
      </c>
      <c r="J908" s="4">
        <v>2</v>
      </c>
      <c r="K908" s="6">
        <v>1.74</v>
      </c>
    </row>
    <row r="909" spans="1:11" x14ac:dyDescent="0.3">
      <c r="A909" s="7">
        <v>41870</v>
      </c>
      <c r="B909" s="4">
        <f>YEAR(SalesData[[#This Row],[Order Date]])</f>
        <v>2014</v>
      </c>
      <c r="C909" s="4">
        <f>MONTH(SalesData[[#This Row],[Order Date]])</f>
        <v>8</v>
      </c>
      <c r="D909" s="3" t="s">
        <v>902</v>
      </c>
      <c r="E909" s="3" t="s">
        <v>78</v>
      </c>
      <c r="F909" s="3" t="s">
        <v>11</v>
      </c>
      <c r="G909" s="3" t="s">
        <v>20</v>
      </c>
      <c r="H909" s="3" t="s">
        <v>1136</v>
      </c>
      <c r="I909" s="6">
        <v>76.78</v>
      </c>
      <c r="J909" s="4">
        <v>4</v>
      </c>
      <c r="K909" s="6">
        <v>-58.86</v>
      </c>
    </row>
    <row r="910" spans="1:11" x14ac:dyDescent="0.3">
      <c r="A910" s="7">
        <v>41870</v>
      </c>
      <c r="B910" s="4">
        <f>YEAR(SalesData[[#This Row],[Order Date]])</f>
        <v>2014</v>
      </c>
      <c r="C910" s="4">
        <f>MONTH(SalesData[[#This Row],[Order Date]])</f>
        <v>8</v>
      </c>
      <c r="D910" s="3" t="s">
        <v>902</v>
      </c>
      <c r="E910" s="3" t="s">
        <v>78</v>
      </c>
      <c r="F910" s="3" t="s">
        <v>11</v>
      </c>
      <c r="G910" s="3" t="s">
        <v>200</v>
      </c>
      <c r="H910" s="3" t="s">
        <v>1137</v>
      </c>
      <c r="I910" s="6">
        <v>9.18</v>
      </c>
      <c r="J910" s="4">
        <v>2</v>
      </c>
      <c r="K910" s="6">
        <v>1.1499999999999999</v>
      </c>
    </row>
    <row r="911" spans="1:11" x14ac:dyDescent="0.3">
      <c r="A911" s="7">
        <v>41870</v>
      </c>
      <c r="B911" s="4">
        <f>YEAR(SalesData[[#This Row],[Order Date]])</f>
        <v>2014</v>
      </c>
      <c r="C911" s="4">
        <f>MONTH(SalesData[[#This Row],[Order Date]])</f>
        <v>8</v>
      </c>
      <c r="D911" s="3" t="s">
        <v>1138</v>
      </c>
      <c r="E911" s="3" t="s">
        <v>101</v>
      </c>
      <c r="F911" s="3" t="s">
        <v>34</v>
      </c>
      <c r="G911" s="3" t="s">
        <v>74</v>
      </c>
      <c r="H911" s="3" t="s">
        <v>816</v>
      </c>
      <c r="I911" s="6">
        <v>638.82000000000005</v>
      </c>
      <c r="J911" s="4">
        <v>9</v>
      </c>
      <c r="K911" s="6">
        <v>172.48</v>
      </c>
    </row>
    <row r="912" spans="1:11" x14ac:dyDescent="0.3">
      <c r="A912" s="7">
        <v>41870</v>
      </c>
      <c r="B912" s="4">
        <f>YEAR(SalesData[[#This Row],[Order Date]])</f>
        <v>2014</v>
      </c>
      <c r="C912" s="4">
        <f>MONTH(SalesData[[#This Row],[Order Date]])</f>
        <v>8</v>
      </c>
      <c r="D912" s="3" t="s">
        <v>90</v>
      </c>
      <c r="E912" s="3" t="s">
        <v>27</v>
      </c>
      <c r="F912" s="3" t="s">
        <v>34</v>
      </c>
      <c r="G912" s="3" t="s">
        <v>47</v>
      </c>
      <c r="H912" s="3" t="s">
        <v>654</v>
      </c>
      <c r="I912" s="6">
        <v>289.24</v>
      </c>
      <c r="J912" s="4">
        <v>7</v>
      </c>
      <c r="K912" s="6">
        <v>26.03</v>
      </c>
    </row>
    <row r="913" spans="1:11" x14ac:dyDescent="0.3">
      <c r="A913" s="7">
        <v>41870</v>
      </c>
      <c r="B913" s="4">
        <f>YEAR(SalesData[[#This Row],[Order Date]])</f>
        <v>2014</v>
      </c>
      <c r="C913" s="4">
        <f>MONTH(SalesData[[#This Row],[Order Date]])</f>
        <v>8</v>
      </c>
      <c r="D913" s="3" t="s">
        <v>90</v>
      </c>
      <c r="E913" s="3" t="s">
        <v>27</v>
      </c>
      <c r="F913" s="3" t="s">
        <v>11</v>
      </c>
      <c r="G913" s="3" t="s">
        <v>20</v>
      </c>
      <c r="H913" s="3" t="s">
        <v>1139</v>
      </c>
      <c r="I913" s="6">
        <v>69.459999999999994</v>
      </c>
      <c r="J913" s="4">
        <v>2</v>
      </c>
      <c r="K913" s="6">
        <v>22.57</v>
      </c>
    </row>
    <row r="914" spans="1:11" x14ac:dyDescent="0.3">
      <c r="A914" s="7">
        <v>41870</v>
      </c>
      <c r="B914" s="4">
        <f>YEAR(SalesData[[#This Row],[Order Date]])</f>
        <v>2014</v>
      </c>
      <c r="C914" s="4">
        <f>MONTH(SalesData[[#This Row],[Order Date]])</f>
        <v>8</v>
      </c>
      <c r="D914" s="3" t="s">
        <v>615</v>
      </c>
      <c r="E914" s="3" t="s">
        <v>30</v>
      </c>
      <c r="F914" s="3" t="s">
        <v>11</v>
      </c>
      <c r="G914" s="3" t="s">
        <v>18</v>
      </c>
      <c r="H914" s="3" t="s">
        <v>153</v>
      </c>
      <c r="I914" s="6">
        <v>344.91</v>
      </c>
      <c r="J914" s="4">
        <v>3</v>
      </c>
      <c r="K914" s="6">
        <v>10.35</v>
      </c>
    </row>
    <row r="915" spans="1:11" x14ac:dyDescent="0.3">
      <c r="A915" s="7">
        <v>41871</v>
      </c>
      <c r="B915" s="4">
        <f>YEAR(SalesData[[#This Row],[Order Date]])</f>
        <v>2014</v>
      </c>
      <c r="C915" s="4">
        <f>MONTH(SalesData[[#This Row],[Order Date]])</f>
        <v>8</v>
      </c>
      <c r="D915" s="3" t="s">
        <v>1140</v>
      </c>
      <c r="E915" s="3" t="s">
        <v>15</v>
      </c>
      <c r="F915" s="3" t="s">
        <v>34</v>
      </c>
      <c r="G915" s="3" t="s">
        <v>35</v>
      </c>
      <c r="H915" s="3" t="s">
        <v>274</v>
      </c>
      <c r="I915" s="6">
        <v>421.37</v>
      </c>
      <c r="J915" s="4">
        <v>2</v>
      </c>
      <c r="K915" s="6">
        <v>-6.02</v>
      </c>
    </row>
    <row r="916" spans="1:11" x14ac:dyDescent="0.3">
      <c r="A916" s="7">
        <v>41871</v>
      </c>
      <c r="B916" s="4">
        <f>YEAR(SalesData[[#This Row],[Order Date]])</f>
        <v>2014</v>
      </c>
      <c r="C916" s="4">
        <f>MONTH(SalesData[[#This Row],[Order Date]])</f>
        <v>8</v>
      </c>
      <c r="D916" s="3" t="s">
        <v>1009</v>
      </c>
      <c r="E916" s="3" t="s">
        <v>55</v>
      </c>
      <c r="F916" s="3" t="s">
        <v>34</v>
      </c>
      <c r="G916" s="3" t="s">
        <v>35</v>
      </c>
      <c r="H916" s="3" t="s">
        <v>944</v>
      </c>
      <c r="I916" s="6">
        <v>500.24</v>
      </c>
      <c r="J916" s="4">
        <v>13</v>
      </c>
      <c r="K916" s="6">
        <v>145.07</v>
      </c>
    </row>
    <row r="917" spans="1:11" x14ac:dyDescent="0.3">
      <c r="A917" s="7">
        <v>41871</v>
      </c>
      <c r="B917" s="4">
        <f>YEAR(SalesData[[#This Row],[Order Date]])</f>
        <v>2014</v>
      </c>
      <c r="C917" s="4">
        <f>MONTH(SalesData[[#This Row],[Order Date]])</f>
        <v>8</v>
      </c>
      <c r="D917" s="3" t="s">
        <v>1009</v>
      </c>
      <c r="E917" s="3" t="s">
        <v>55</v>
      </c>
      <c r="F917" s="3" t="s">
        <v>11</v>
      </c>
      <c r="G917" s="3" t="s">
        <v>12</v>
      </c>
      <c r="H917" s="3" t="s">
        <v>1141</v>
      </c>
      <c r="I917" s="6">
        <v>20.12</v>
      </c>
      <c r="J917" s="4">
        <v>2</v>
      </c>
      <c r="K917" s="6">
        <v>9.26</v>
      </c>
    </row>
    <row r="918" spans="1:11" x14ac:dyDescent="0.3">
      <c r="A918" s="7">
        <v>41871</v>
      </c>
      <c r="B918" s="4">
        <f>YEAR(SalesData[[#This Row],[Order Date]])</f>
        <v>2014</v>
      </c>
      <c r="C918" s="4">
        <f>MONTH(SalesData[[#This Row],[Order Date]])</f>
        <v>8</v>
      </c>
      <c r="D918" s="3" t="s">
        <v>1009</v>
      </c>
      <c r="E918" s="3" t="s">
        <v>55</v>
      </c>
      <c r="F918" s="3" t="s">
        <v>11</v>
      </c>
      <c r="G918" s="3" t="s">
        <v>20</v>
      </c>
      <c r="H918" s="3" t="s">
        <v>1142</v>
      </c>
      <c r="I918" s="6">
        <v>896.99</v>
      </c>
      <c r="J918" s="4">
        <v>1</v>
      </c>
      <c r="K918" s="6">
        <v>421.59</v>
      </c>
    </row>
    <row r="919" spans="1:11" x14ac:dyDescent="0.3">
      <c r="A919" s="7">
        <v>41873</v>
      </c>
      <c r="B919" s="4">
        <f>YEAR(SalesData[[#This Row],[Order Date]])</f>
        <v>2014</v>
      </c>
      <c r="C919" s="4">
        <f>MONTH(SalesData[[#This Row],[Order Date]])</f>
        <v>8</v>
      </c>
      <c r="D919" s="3" t="s">
        <v>1143</v>
      </c>
      <c r="E919" s="3" t="s">
        <v>78</v>
      </c>
      <c r="F919" s="3" t="s">
        <v>11</v>
      </c>
      <c r="G919" s="3" t="s">
        <v>24</v>
      </c>
      <c r="H919" s="3" t="s">
        <v>1144</v>
      </c>
      <c r="I919" s="6">
        <v>3.91</v>
      </c>
      <c r="J919" s="4">
        <v>1</v>
      </c>
      <c r="K919" s="6">
        <v>1.03</v>
      </c>
    </row>
    <row r="920" spans="1:11" x14ac:dyDescent="0.3">
      <c r="A920" s="7">
        <v>41873</v>
      </c>
      <c r="B920" s="4">
        <f>YEAR(SalesData[[#This Row],[Order Date]])</f>
        <v>2014</v>
      </c>
      <c r="C920" s="4">
        <f>MONTH(SalesData[[#This Row],[Order Date]])</f>
        <v>8</v>
      </c>
      <c r="D920" s="3" t="s">
        <v>1145</v>
      </c>
      <c r="E920" s="3" t="s">
        <v>123</v>
      </c>
      <c r="F920" s="3" t="s">
        <v>11</v>
      </c>
      <c r="G920" s="3" t="s">
        <v>200</v>
      </c>
      <c r="H920" s="3" t="s">
        <v>1146</v>
      </c>
      <c r="I920" s="6">
        <v>7.63</v>
      </c>
      <c r="J920" s="4">
        <v>3</v>
      </c>
      <c r="K920" s="6">
        <v>-1.81</v>
      </c>
    </row>
    <row r="921" spans="1:11" x14ac:dyDescent="0.3">
      <c r="A921" s="7">
        <v>41873</v>
      </c>
      <c r="B921" s="4">
        <f>YEAR(SalesData[[#This Row],[Order Date]])</f>
        <v>2014</v>
      </c>
      <c r="C921" s="4">
        <f>MONTH(SalesData[[#This Row],[Order Date]])</f>
        <v>8</v>
      </c>
      <c r="D921" s="3" t="s">
        <v>829</v>
      </c>
      <c r="E921" s="3" t="s">
        <v>186</v>
      </c>
      <c r="F921" s="3" t="s">
        <v>11</v>
      </c>
      <c r="G921" s="3" t="s">
        <v>12</v>
      </c>
      <c r="H921" s="3" t="s">
        <v>1147</v>
      </c>
      <c r="I921" s="6">
        <v>11.56</v>
      </c>
      <c r="J921" s="4">
        <v>2</v>
      </c>
      <c r="K921" s="6">
        <v>5.66</v>
      </c>
    </row>
    <row r="922" spans="1:11" x14ac:dyDescent="0.3">
      <c r="A922" s="7">
        <v>41874</v>
      </c>
      <c r="B922" s="4">
        <f>YEAR(SalesData[[#This Row],[Order Date]])</f>
        <v>2014</v>
      </c>
      <c r="C922" s="4">
        <f>MONTH(SalesData[[#This Row],[Order Date]])</f>
        <v>8</v>
      </c>
      <c r="D922" s="3" t="s">
        <v>1148</v>
      </c>
      <c r="E922" s="3" t="s">
        <v>149</v>
      </c>
      <c r="F922" s="3" t="s">
        <v>11</v>
      </c>
      <c r="G922" s="3" t="s">
        <v>12</v>
      </c>
      <c r="H922" s="3" t="s">
        <v>1149</v>
      </c>
      <c r="I922" s="6">
        <v>25.92</v>
      </c>
      <c r="J922" s="4">
        <v>4</v>
      </c>
      <c r="K922" s="6">
        <v>12.44</v>
      </c>
    </row>
    <row r="923" spans="1:11" x14ac:dyDescent="0.3">
      <c r="A923" s="7">
        <v>41874</v>
      </c>
      <c r="B923" s="4">
        <f>YEAR(SalesData[[#This Row],[Order Date]])</f>
        <v>2014</v>
      </c>
      <c r="C923" s="4">
        <f>MONTH(SalesData[[#This Row],[Order Date]])</f>
        <v>8</v>
      </c>
      <c r="D923" s="3" t="s">
        <v>1148</v>
      </c>
      <c r="E923" s="3" t="s">
        <v>149</v>
      </c>
      <c r="F923" s="3" t="s">
        <v>11</v>
      </c>
      <c r="G923" s="3" t="s">
        <v>12</v>
      </c>
      <c r="H923" s="3" t="s">
        <v>1150</v>
      </c>
      <c r="I923" s="6">
        <v>45.92</v>
      </c>
      <c r="J923" s="4">
        <v>4</v>
      </c>
      <c r="K923" s="6">
        <v>22.5</v>
      </c>
    </row>
    <row r="924" spans="1:11" x14ac:dyDescent="0.3">
      <c r="A924" s="7">
        <v>41874</v>
      </c>
      <c r="B924" s="4">
        <f>YEAR(SalesData[[#This Row],[Order Date]])</f>
        <v>2014</v>
      </c>
      <c r="C924" s="4">
        <f>MONTH(SalesData[[#This Row],[Order Date]])</f>
        <v>8</v>
      </c>
      <c r="D924" s="3" t="s">
        <v>1151</v>
      </c>
      <c r="E924" s="3" t="s">
        <v>27</v>
      </c>
      <c r="F924" s="3" t="s">
        <v>11</v>
      </c>
      <c r="G924" s="3" t="s">
        <v>20</v>
      </c>
      <c r="H924" s="3" t="s">
        <v>88</v>
      </c>
      <c r="I924" s="6">
        <v>49.57</v>
      </c>
      <c r="J924" s="4">
        <v>2</v>
      </c>
      <c r="K924" s="6">
        <v>17.350000000000001</v>
      </c>
    </row>
    <row r="925" spans="1:11" x14ac:dyDescent="0.3">
      <c r="A925" s="7">
        <v>41874</v>
      </c>
      <c r="B925" s="4">
        <f>YEAR(SalesData[[#This Row],[Order Date]])</f>
        <v>2014</v>
      </c>
      <c r="C925" s="4">
        <f>MONTH(SalesData[[#This Row],[Order Date]])</f>
        <v>8</v>
      </c>
      <c r="D925" s="3" t="s">
        <v>1152</v>
      </c>
      <c r="E925" s="3" t="s">
        <v>278</v>
      </c>
      <c r="F925" s="3" t="s">
        <v>11</v>
      </c>
      <c r="G925" s="3" t="s">
        <v>12</v>
      </c>
      <c r="H925" s="3" t="s">
        <v>1153</v>
      </c>
      <c r="I925" s="6">
        <v>15.55</v>
      </c>
      <c r="J925" s="4">
        <v>3</v>
      </c>
      <c r="K925" s="6">
        <v>5.44</v>
      </c>
    </row>
    <row r="926" spans="1:11" x14ac:dyDescent="0.3">
      <c r="A926" s="7">
        <v>41874</v>
      </c>
      <c r="B926" s="4">
        <f>YEAR(SalesData[[#This Row],[Order Date]])</f>
        <v>2014</v>
      </c>
      <c r="C926" s="4">
        <f>MONTH(SalesData[[#This Row],[Order Date]])</f>
        <v>8</v>
      </c>
      <c r="D926" s="3" t="s">
        <v>1152</v>
      </c>
      <c r="E926" s="3" t="s">
        <v>278</v>
      </c>
      <c r="F926" s="3" t="s">
        <v>11</v>
      </c>
      <c r="G926" s="3" t="s">
        <v>200</v>
      </c>
      <c r="H926" s="3" t="s">
        <v>1154</v>
      </c>
      <c r="I926" s="6">
        <v>6.8</v>
      </c>
      <c r="J926" s="4">
        <v>1</v>
      </c>
      <c r="K926" s="6">
        <v>0.51</v>
      </c>
    </row>
    <row r="927" spans="1:11" x14ac:dyDescent="0.3">
      <c r="A927" s="7">
        <v>41874</v>
      </c>
      <c r="B927" s="4">
        <f>YEAR(SalesData[[#This Row],[Order Date]])</f>
        <v>2014</v>
      </c>
      <c r="C927" s="4">
        <f>MONTH(SalesData[[#This Row],[Order Date]])</f>
        <v>8</v>
      </c>
      <c r="D927" s="3" t="s">
        <v>1152</v>
      </c>
      <c r="E927" s="3" t="s">
        <v>278</v>
      </c>
      <c r="F927" s="3" t="s">
        <v>34</v>
      </c>
      <c r="G927" s="3" t="s">
        <v>47</v>
      </c>
      <c r="H927" s="3" t="s">
        <v>1155</v>
      </c>
      <c r="I927" s="6">
        <v>4.22</v>
      </c>
      <c r="J927" s="4">
        <v>3</v>
      </c>
      <c r="K927" s="6">
        <v>1.27</v>
      </c>
    </row>
    <row r="928" spans="1:11" x14ac:dyDescent="0.3">
      <c r="A928" s="7">
        <v>41874</v>
      </c>
      <c r="B928" s="4">
        <f>YEAR(SalesData[[#This Row],[Order Date]])</f>
        <v>2014</v>
      </c>
      <c r="C928" s="4">
        <f>MONTH(SalesData[[#This Row],[Order Date]])</f>
        <v>8</v>
      </c>
      <c r="D928" s="3" t="s">
        <v>1152</v>
      </c>
      <c r="E928" s="3" t="s">
        <v>278</v>
      </c>
      <c r="F928" s="3" t="s">
        <v>39</v>
      </c>
      <c r="G928" s="3" t="s">
        <v>40</v>
      </c>
      <c r="H928" s="3" t="s">
        <v>1156</v>
      </c>
      <c r="I928" s="6">
        <v>143.63999999999999</v>
      </c>
      <c r="J928" s="4">
        <v>9</v>
      </c>
      <c r="K928" s="6">
        <v>10.77</v>
      </c>
    </row>
    <row r="929" spans="1:11" x14ac:dyDescent="0.3">
      <c r="A929" s="7">
        <v>41874</v>
      </c>
      <c r="B929" s="4">
        <f>YEAR(SalesData[[#This Row],[Order Date]])</f>
        <v>2014</v>
      </c>
      <c r="C929" s="4">
        <f>MONTH(SalesData[[#This Row],[Order Date]])</f>
        <v>8</v>
      </c>
      <c r="D929" s="3" t="s">
        <v>1152</v>
      </c>
      <c r="E929" s="3" t="s">
        <v>278</v>
      </c>
      <c r="F929" s="3" t="s">
        <v>11</v>
      </c>
      <c r="G929" s="3" t="s">
        <v>12</v>
      </c>
      <c r="H929" s="3" t="s">
        <v>1157</v>
      </c>
      <c r="I929" s="6">
        <v>31.1</v>
      </c>
      <c r="J929" s="4">
        <v>6</v>
      </c>
      <c r="K929" s="6">
        <v>10.89</v>
      </c>
    </row>
    <row r="930" spans="1:11" x14ac:dyDescent="0.3">
      <c r="A930" s="7">
        <v>41874</v>
      </c>
      <c r="B930" s="4">
        <f>YEAR(SalesData[[#This Row],[Order Date]])</f>
        <v>2014</v>
      </c>
      <c r="C930" s="4">
        <f>MONTH(SalesData[[#This Row],[Order Date]])</f>
        <v>8</v>
      </c>
      <c r="D930" s="3" t="s">
        <v>1152</v>
      </c>
      <c r="E930" s="3" t="s">
        <v>278</v>
      </c>
      <c r="F930" s="3" t="s">
        <v>11</v>
      </c>
      <c r="G930" s="3" t="s">
        <v>12</v>
      </c>
      <c r="H930" s="3" t="s">
        <v>1158</v>
      </c>
      <c r="I930" s="6">
        <v>223.06</v>
      </c>
      <c r="J930" s="4">
        <v>9</v>
      </c>
      <c r="K930" s="6">
        <v>69.709999999999994</v>
      </c>
    </row>
    <row r="931" spans="1:11" x14ac:dyDescent="0.3">
      <c r="A931" s="7">
        <v>41874</v>
      </c>
      <c r="B931" s="4">
        <f>YEAR(SalesData[[#This Row],[Order Date]])</f>
        <v>2014</v>
      </c>
      <c r="C931" s="4">
        <f>MONTH(SalesData[[#This Row],[Order Date]])</f>
        <v>8</v>
      </c>
      <c r="D931" s="3" t="s">
        <v>757</v>
      </c>
      <c r="E931" s="3" t="s">
        <v>110</v>
      </c>
      <c r="F931" s="3" t="s">
        <v>11</v>
      </c>
      <c r="G931" s="3" t="s">
        <v>12</v>
      </c>
      <c r="H931" s="3" t="s">
        <v>1159</v>
      </c>
      <c r="I931" s="6">
        <v>19.440000000000001</v>
      </c>
      <c r="J931" s="4">
        <v>3</v>
      </c>
      <c r="K931" s="6">
        <v>9.5299999999999994</v>
      </c>
    </row>
    <row r="932" spans="1:11" x14ac:dyDescent="0.3">
      <c r="A932" s="7">
        <v>41875</v>
      </c>
      <c r="B932" s="4">
        <f>YEAR(SalesData[[#This Row],[Order Date]])</f>
        <v>2014</v>
      </c>
      <c r="C932" s="4">
        <f>MONTH(SalesData[[#This Row],[Order Date]])</f>
        <v>8</v>
      </c>
      <c r="D932" s="3" t="s">
        <v>1151</v>
      </c>
      <c r="E932" s="3" t="s">
        <v>515</v>
      </c>
      <c r="F932" s="3" t="s">
        <v>11</v>
      </c>
      <c r="G932" s="3" t="s">
        <v>20</v>
      </c>
      <c r="H932" s="3" t="s">
        <v>1160</v>
      </c>
      <c r="I932" s="6">
        <v>8.2899999999999991</v>
      </c>
      <c r="J932" s="4">
        <v>2</v>
      </c>
      <c r="K932" s="6">
        <v>2.69</v>
      </c>
    </row>
    <row r="933" spans="1:11" x14ac:dyDescent="0.3">
      <c r="A933" s="7">
        <v>41875</v>
      </c>
      <c r="B933" s="4">
        <f>YEAR(SalesData[[#This Row],[Order Date]])</f>
        <v>2014</v>
      </c>
      <c r="C933" s="4">
        <f>MONTH(SalesData[[#This Row],[Order Date]])</f>
        <v>8</v>
      </c>
      <c r="D933" s="3" t="s">
        <v>1161</v>
      </c>
      <c r="E933" s="3" t="s">
        <v>149</v>
      </c>
      <c r="F933" s="3" t="s">
        <v>34</v>
      </c>
      <c r="G933" s="3" t="s">
        <v>47</v>
      </c>
      <c r="H933" s="3" t="s">
        <v>1162</v>
      </c>
      <c r="I933" s="6">
        <v>13.28</v>
      </c>
      <c r="J933" s="4">
        <v>2</v>
      </c>
      <c r="K933" s="6">
        <v>6.37</v>
      </c>
    </row>
    <row r="934" spans="1:11" x14ac:dyDescent="0.3">
      <c r="A934" s="7">
        <v>41875</v>
      </c>
      <c r="B934" s="4">
        <f>YEAR(SalesData[[#This Row],[Order Date]])</f>
        <v>2014</v>
      </c>
      <c r="C934" s="4">
        <f>MONTH(SalesData[[#This Row],[Order Date]])</f>
        <v>8</v>
      </c>
      <c r="D934" s="3" t="s">
        <v>1161</v>
      </c>
      <c r="E934" s="3" t="s">
        <v>149</v>
      </c>
      <c r="F934" s="3" t="s">
        <v>11</v>
      </c>
      <c r="G934" s="3" t="s">
        <v>20</v>
      </c>
      <c r="H934" s="3" t="s">
        <v>846</v>
      </c>
      <c r="I934" s="6">
        <v>12.67</v>
      </c>
      <c r="J934" s="4">
        <v>3</v>
      </c>
      <c r="K934" s="6">
        <v>4.4400000000000004</v>
      </c>
    </row>
    <row r="935" spans="1:11" x14ac:dyDescent="0.3">
      <c r="A935" s="7">
        <v>41875</v>
      </c>
      <c r="B935" s="4">
        <f>YEAR(SalesData[[#This Row],[Order Date]])</f>
        <v>2014</v>
      </c>
      <c r="C935" s="4">
        <f>MONTH(SalesData[[#This Row],[Order Date]])</f>
        <v>8</v>
      </c>
      <c r="D935" s="3" t="s">
        <v>1163</v>
      </c>
      <c r="E935" s="3" t="s">
        <v>33</v>
      </c>
      <c r="F935" s="3" t="s">
        <v>11</v>
      </c>
      <c r="G935" s="3" t="s">
        <v>200</v>
      </c>
      <c r="H935" s="3" t="s">
        <v>1154</v>
      </c>
      <c r="I935" s="6">
        <v>25.5</v>
      </c>
      <c r="J935" s="4">
        <v>3</v>
      </c>
      <c r="K935" s="6">
        <v>6.63</v>
      </c>
    </row>
    <row r="936" spans="1:11" x14ac:dyDescent="0.3">
      <c r="A936" s="7">
        <v>41876</v>
      </c>
      <c r="B936" s="4">
        <f>YEAR(SalesData[[#This Row],[Order Date]])</f>
        <v>2014</v>
      </c>
      <c r="C936" s="4">
        <f>MONTH(SalesData[[#This Row],[Order Date]])</f>
        <v>8</v>
      </c>
      <c r="D936" s="3" t="s">
        <v>1164</v>
      </c>
      <c r="E936" s="3" t="s">
        <v>78</v>
      </c>
      <c r="F936" s="3" t="s">
        <v>11</v>
      </c>
      <c r="G936" s="3" t="s">
        <v>43</v>
      </c>
      <c r="H936" s="3" t="s">
        <v>1036</v>
      </c>
      <c r="I936" s="6">
        <v>40.1</v>
      </c>
      <c r="J936" s="4">
        <v>14</v>
      </c>
      <c r="K936" s="6">
        <v>14.53</v>
      </c>
    </row>
    <row r="937" spans="1:11" x14ac:dyDescent="0.3">
      <c r="A937" s="7">
        <v>41876</v>
      </c>
      <c r="B937" s="4">
        <f>YEAR(SalesData[[#This Row],[Order Date]])</f>
        <v>2014</v>
      </c>
      <c r="C937" s="4">
        <f>MONTH(SalesData[[#This Row],[Order Date]])</f>
        <v>8</v>
      </c>
      <c r="D937" s="3" t="s">
        <v>1164</v>
      </c>
      <c r="E937" s="3" t="s">
        <v>78</v>
      </c>
      <c r="F937" s="3" t="s">
        <v>11</v>
      </c>
      <c r="G937" s="3" t="s">
        <v>63</v>
      </c>
      <c r="H937" s="3" t="s">
        <v>1165</v>
      </c>
      <c r="I937" s="6">
        <v>4.72</v>
      </c>
      <c r="J937" s="4">
        <v>2</v>
      </c>
      <c r="K937" s="6">
        <v>1.65</v>
      </c>
    </row>
    <row r="938" spans="1:11" x14ac:dyDescent="0.3">
      <c r="A938" s="7">
        <v>41876</v>
      </c>
      <c r="B938" s="4">
        <f>YEAR(SalesData[[#This Row],[Order Date]])</f>
        <v>2014</v>
      </c>
      <c r="C938" s="4">
        <f>MONTH(SalesData[[#This Row],[Order Date]])</f>
        <v>8</v>
      </c>
      <c r="D938" s="3" t="s">
        <v>1164</v>
      </c>
      <c r="E938" s="3" t="s">
        <v>78</v>
      </c>
      <c r="F938" s="3" t="s">
        <v>11</v>
      </c>
      <c r="G938" s="3" t="s">
        <v>12</v>
      </c>
      <c r="H938" s="3" t="s">
        <v>1166</v>
      </c>
      <c r="I938" s="6">
        <v>23.98</v>
      </c>
      <c r="J938" s="4">
        <v>3</v>
      </c>
      <c r="K938" s="6">
        <v>7.49</v>
      </c>
    </row>
    <row r="939" spans="1:11" x14ac:dyDescent="0.3">
      <c r="A939" s="7">
        <v>41876</v>
      </c>
      <c r="B939" s="4">
        <f>YEAR(SalesData[[#This Row],[Order Date]])</f>
        <v>2014</v>
      </c>
      <c r="C939" s="4">
        <f>MONTH(SalesData[[#This Row],[Order Date]])</f>
        <v>8</v>
      </c>
      <c r="D939" s="3" t="s">
        <v>1164</v>
      </c>
      <c r="E939" s="3" t="s">
        <v>78</v>
      </c>
      <c r="F939" s="3" t="s">
        <v>11</v>
      </c>
      <c r="G939" s="3" t="s">
        <v>63</v>
      </c>
      <c r="H939" s="3" t="s">
        <v>98</v>
      </c>
      <c r="I939" s="6">
        <v>130.46</v>
      </c>
      <c r="J939" s="4">
        <v>6</v>
      </c>
      <c r="K939" s="6">
        <v>44.03</v>
      </c>
    </row>
    <row r="940" spans="1:11" x14ac:dyDescent="0.3">
      <c r="A940" s="7">
        <v>41876</v>
      </c>
      <c r="B940" s="4">
        <f>YEAR(SalesData[[#This Row],[Order Date]])</f>
        <v>2014</v>
      </c>
      <c r="C940" s="4">
        <f>MONTH(SalesData[[#This Row],[Order Date]])</f>
        <v>8</v>
      </c>
      <c r="D940" s="3" t="s">
        <v>1167</v>
      </c>
      <c r="E940" s="3" t="s">
        <v>27</v>
      </c>
      <c r="F940" s="3" t="s">
        <v>34</v>
      </c>
      <c r="G940" s="3" t="s">
        <v>47</v>
      </c>
      <c r="H940" s="3" t="s">
        <v>1168</v>
      </c>
      <c r="I940" s="6">
        <v>6.28</v>
      </c>
      <c r="J940" s="4">
        <v>1</v>
      </c>
      <c r="K940" s="6">
        <v>2.64</v>
      </c>
    </row>
    <row r="941" spans="1:11" x14ac:dyDescent="0.3">
      <c r="A941" s="7">
        <v>41876</v>
      </c>
      <c r="B941" s="4">
        <f>YEAR(SalesData[[#This Row],[Order Date]])</f>
        <v>2014</v>
      </c>
      <c r="C941" s="4">
        <f>MONTH(SalesData[[#This Row],[Order Date]])</f>
        <v>8</v>
      </c>
      <c r="D941" s="3" t="s">
        <v>1167</v>
      </c>
      <c r="E941" s="3" t="s">
        <v>27</v>
      </c>
      <c r="F941" s="3" t="s">
        <v>39</v>
      </c>
      <c r="G941" s="3" t="s">
        <v>52</v>
      </c>
      <c r="H941" s="3" t="s">
        <v>1169</v>
      </c>
      <c r="I941" s="6">
        <v>95.1</v>
      </c>
      <c r="J941" s="4">
        <v>5</v>
      </c>
      <c r="K941" s="6">
        <v>30.43</v>
      </c>
    </row>
    <row r="942" spans="1:11" x14ac:dyDescent="0.3">
      <c r="A942" s="7">
        <v>41876</v>
      </c>
      <c r="B942" s="4">
        <f>YEAR(SalesData[[#This Row],[Order Date]])</f>
        <v>2014</v>
      </c>
      <c r="C942" s="4">
        <f>MONTH(SalesData[[#This Row],[Order Date]])</f>
        <v>8</v>
      </c>
      <c r="D942" s="3" t="s">
        <v>1167</v>
      </c>
      <c r="E942" s="3" t="s">
        <v>27</v>
      </c>
      <c r="F942" s="3" t="s">
        <v>11</v>
      </c>
      <c r="G942" s="3" t="s">
        <v>12</v>
      </c>
      <c r="H942" s="3" t="s">
        <v>1170</v>
      </c>
      <c r="I942" s="6">
        <v>25.92</v>
      </c>
      <c r="J942" s="4">
        <v>4</v>
      </c>
      <c r="K942" s="6">
        <v>12.44</v>
      </c>
    </row>
    <row r="943" spans="1:11" x14ac:dyDescent="0.3">
      <c r="A943" s="7">
        <v>41876</v>
      </c>
      <c r="B943" s="4">
        <f>YEAR(SalesData[[#This Row],[Order Date]])</f>
        <v>2014</v>
      </c>
      <c r="C943" s="4">
        <f>MONTH(SalesData[[#This Row],[Order Date]])</f>
        <v>8</v>
      </c>
      <c r="D943" s="3" t="s">
        <v>1167</v>
      </c>
      <c r="E943" s="3" t="s">
        <v>27</v>
      </c>
      <c r="F943" s="3" t="s">
        <v>11</v>
      </c>
      <c r="G943" s="3" t="s">
        <v>18</v>
      </c>
      <c r="H943" s="3" t="s">
        <v>1171</v>
      </c>
      <c r="I943" s="6">
        <v>48.84</v>
      </c>
      <c r="J943" s="4">
        <v>4</v>
      </c>
      <c r="K943" s="6">
        <v>13.19</v>
      </c>
    </row>
    <row r="944" spans="1:11" x14ac:dyDescent="0.3">
      <c r="A944" s="7">
        <v>41876</v>
      </c>
      <c r="B944" s="4">
        <f>YEAR(SalesData[[#This Row],[Order Date]])</f>
        <v>2014</v>
      </c>
      <c r="C944" s="4">
        <f>MONTH(SalesData[[#This Row],[Order Date]])</f>
        <v>8</v>
      </c>
      <c r="D944" s="3" t="s">
        <v>1172</v>
      </c>
      <c r="E944" s="3" t="s">
        <v>164</v>
      </c>
      <c r="F944" s="3" t="s">
        <v>39</v>
      </c>
      <c r="G944" s="3" t="s">
        <v>40</v>
      </c>
      <c r="H944" s="3" t="s">
        <v>933</v>
      </c>
      <c r="I944" s="6">
        <v>1007.94</v>
      </c>
      <c r="J944" s="4">
        <v>7</v>
      </c>
      <c r="K944" s="6">
        <v>75.599999999999994</v>
      </c>
    </row>
    <row r="945" spans="1:11" x14ac:dyDescent="0.3">
      <c r="A945" s="7">
        <v>41876</v>
      </c>
      <c r="B945" s="4">
        <f>YEAR(SalesData[[#This Row],[Order Date]])</f>
        <v>2014</v>
      </c>
      <c r="C945" s="4">
        <f>MONTH(SalesData[[#This Row],[Order Date]])</f>
        <v>8</v>
      </c>
      <c r="D945" s="3" t="s">
        <v>1173</v>
      </c>
      <c r="E945" s="3" t="s">
        <v>10</v>
      </c>
      <c r="F945" s="3" t="s">
        <v>11</v>
      </c>
      <c r="G945" s="3" t="s">
        <v>20</v>
      </c>
      <c r="H945" s="3" t="s">
        <v>1174</v>
      </c>
      <c r="I945" s="6">
        <v>25.68</v>
      </c>
      <c r="J945" s="4">
        <v>3</v>
      </c>
      <c r="K945" s="6">
        <v>-39.799999999999997</v>
      </c>
    </row>
    <row r="946" spans="1:11" x14ac:dyDescent="0.3">
      <c r="A946" s="7">
        <v>41876</v>
      </c>
      <c r="B946" s="4">
        <f>YEAR(SalesData[[#This Row],[Order Date]])</f>
        <v>2014</v>
      </c>
      <c r="C946" s="4">
        <f>MONTH(SalesData[[#This Row],[Order Date]])</f>
        <v>8</v>
      </c>
      <c r="D946" s="3" t="s">
        <v>1173</v>
      </c>
      <c r="E946" s="3" t="s">
        <v>10</v>
      </c>
      <c r="F946" s="3" t="s">
        <v>11</v>
      </c>
      <c r="G946" s="3" t="s">
        <v>20</v>
      </c>
      <c r="H946" s="3" t="s">
        <v>1175</v>
      </c>
      <c r="I946" s="6">
        <v>12.38</v>
      </c>
      <c r="J946" s="4">
        <v>3</v>
      </c>
      <c r="K946" s="6">
        <v>-19.809999999999999</v>
      </c>
    </row>
    <row r="947" spans="1:11" x14ac:dyDescent="0.3">
      <c r="A947" s="7">
        <v>41876</v>
      </c>
      <c r="B947" s="4">
        <f>YEAR(SalesData[[#This Row],[Order Date]])</f>
        <v>2014</v>
      </c>
      <c r="C947" s="4">
        <f>MONTH(SalesData[[#This Row],[Order Date]])</f>
        <v>8</v>
      </c>
      <c r="D947" s="3" t="s">
        <v>81</v>
      </c>
      <c r="E947" s="3" t="s">
        <v>78</v>
      </c>
      <c r="F947" s="3" t="s">
        <v>11</v>
      </c>
      <c r="G947" s="3" t="s">
        <v>20</v>
      </c>
      <c r="H947" s="3" t="s">
        <v>980</v>
      </c>
      <c r="I947" s="6">
        <v>6.53</v>
      </c>
      <c r="J947" s="4">
        <v>4</v>
      </c>
      <c r="K947" s="6">
        <v>-4.57</v>
      </c>
    </row>
    <row r="948" spans="1:11" x14ac:dyDescent="0.3">
      <c r="A948" s="7">
        <v>41876</v>
      </c>
      <c r="B948" s="4">
        <f>YEAR(SalesData[[#This Row],[Order Date]])</f>
        <v>2014</v>
      </c>
      <c r="C948" s="4">
        <f>MONTH(SalesData[[#This Row],[Order Date]])</f>
        <v>8</v>
      </c>
      <c r="D948" s="3" t="s">
        <v>81</v>
      </c>
      <c r="E948" s="3" t="s">
        <v>78</v>
      </c>
      <c r="F948" s="3" t="s">
        <v>11</v>
      </c>
      <c r="G948" s="3" t="s">
        <v>20</v>
      </c>
      <c r="H948" s="3" t="s">
        <v>1176</v>
      </c>
      <c r="I948" s="6">
        <v>2.86</v>
      </c>
      <c r="J948" s="4">
        <v>3</v>
      </c>
      <c r="K948" s="6">
        <v>-2.29</v>
      </c>
    </row>
    <row r="949" spans="1:11" x14ac:dyDescent="0.3">
      <c r="A949" s="7">
        <v>41876</v>
      </c>
      <c r="B949" s="4">
        <f>YEAR(SalesData[[#This Row],[Order Date]])</f>
        <v>2014</v>
      </c>
      <c r="C949" s="4">
        <f>MONTH(SalesData[[#This Row],[Order Date]])</f>
        <v>8</v>
      </c>
      <c r="D949" s="3" t="s">
        <v>81</v>
      </c>
      <c r="E949" s="3" t="s">
        <v>78</v>
      </c>
      <c r="F949" s="3" t="s">
        <v>11</v>
      </c>
      <c r="G949" s="3" t="s">
        <v>20</v>
      </c>
      <c r="H949" s="3" t="s">
        <v>966</v>
      </c>
      <c r="I949" s="6">
        <v>20.86</v>
      </c>
      <c r="J949" s="4">
        <v>8</v>
      </c>
      <c r="K949" s="6">
        <v>-16.68</v>
      </c>
    </row>
    <row r="950" spans="1:11" x14ac:dyDescent="0.3">
      <c r="A950" s="7">
        <v>41877</v>
      </c>
      <c r="B950" s="4">
        <f>YEAR(SalesData[[#This Row],[Order Date]])</f>
        <v>2014</v>
      </c>
      <c r="C950" s="4">
        <f>MONTH(SalesData[[#This Row],[Order Date]])</f>
        <v>8</v>
      </c>
      <c r="D950" s="3" t="s">
        <v>1177</v>
      </c>
      <c r="E950" s="3" t="s">
        <v>27</v>
      </c>
      <c r="F950" s="3" t="s">
        <v>39</v>
      </c>
      <c r="G950" s="3" t="s">
        <v>52</v>
      </c>
      <c r="H950" s="3" t="s">
        <v>388</v>
      </c>
      <c r="I950" s="6">
        <v>176.8</v>
      </c>
      <c r="J950" s="4">
        <v>8</v>
      </c>
      <c r="K950" s="6">
        <v>22.98</v>
      </c>
    </row>
    <row r="951" spans="1:11" x14ac:dyDescent="0.3">
      <c r="A951" s="7">
        <v>41877</v>
      </c>
      <c r="B951" s="4">
        <f>YEAR(SalesData[[#This Row],[Order Date]])</f>
        <v>2014</v>
      </c>
      <c r="C951" s="4">
        <f>MONTH(SalesData[[#This Row],[Order Date]])</f>
        <v>8</v>
      </c>
      <c r="D951" s="3" t="s">
        <v>1178</v>
      </c>
      <c r="E951" s="3" t="s">
        <v>59</v>
      </c>
      <c r="F951" s="3" t="s">
        <v>34</v>
      </c>
      <c r="G951" s="3" t="s">
        <v>47</v>
      </c>
      <c r="H951" s="3" t="s">
        <v>872</v>
      </c>
      <c r="I951" s="6">
        <v>10.68</v>
      </c>
      <c r="J951" s="4">
        <v>4</v>
      </c>
      <c r="K951" s="6">
        <v>4.0599999999999996</v>
      </c>
    </row>
    <row r="952" spans="1:11" x14ac:dyDescent="0.3">
      <c r="A952" s="7">
        <v>41877</v>
      </c>
      <c r="B952" s="4">
        <f>YEAR(SalesData[[#This Row],[Order Date]])</f>
        <v>2014</v>
      </c>
      <c r="C952" s="4">
        <f>MONTH(SalesData[[#This Row],[Order Date]])</f>
        <v>8</v>
      </c>
      <c r="D952" s="3" t="s">
        <v>1178</v>
      </c>
      <c r="E952" s="3" t="s">
        <v>59</v>
      </c>
      <c r="F952" s="3" t="s">
        <v>11</v>
      </c>
      <c r="G952" s="3" t="s">
        <v>12</v>
      </c>
      <c r="H952" s="3" t="s">
        <v>1179</v>
      </c>
      <c r="I952" s="6">
        <v>17.34</v>
      </c>
      <c r="J952" s="4">
        <v>3</v>
      </c>
      <c r="K952" s="6">
        <v>8.5</v>
      </c>
    </row>
    <row r="953" spans="1:11" x14ac:dyDescent="0.3">
      <c r="A953" s="7">
        <v>41877</v>
      </c>
      <c r="B953" s="4">
        <f>YEAR(SalesData[[#This Row],[Order Date]])</f>
        <v>2014</v>
      </c>
      <c r="C953" s="4">
        <f>MONTH(SalesData[[#This Row],[Order Date]])</f>
        <v>8</v>
      </c>
      <c r="D953" s="3" t="s">
        <v>1178</v>
      </c>
      <c r="E953" s="3" t="s">
        <v>59</v>
      </c>
      <c r="F953" s="3" t="s">
        <v>11</v>
      </c>
      <c r="G953" s="3" t="s">
        <v>12</v>
      </c>
      <c r="H953" s="3" t="s">
        <v>1180</v>
      </c>
      <c r="I953" s="6">
        <v>3.38</v>
      </c>
      <c r="J953" s="4">
        <v>1</v>
      </c>
      <c r="K953" s="6">
        <v>1.55</v>
      </c>
    </row>
    <row r="954" spans="1:11" x14ac:dyDescent="0.3">
      <c r="A954" s="7">
        <v>41877</v>
      </c>
      <c r="B954" s="4">
        <f>YEAR(SalesData[[#This Row],[Order Date]])</f>
        <v>2014</v>
      </c>
      <c r="C954" s="4">
        <f>MONTH(SalesData[[#This Row],[Order Date]])</f>
        <v>8</v>
      </c>
      <c r="D954" s="3" t="s">
        <v>1181</v>
      </c>
      <c r="E954" s="3" t="s">
        <v>59</v>
      </c>
      <c r="F954" s="3" t="s">
        <v>11</v>
      </c>
      <c r="G954" s="3" t="s">
        <v>24</v>
      </c>
      <c r="H954" s="3" t="s">
        <v>1182</v>
      </c>
      <c r="I954" s="6">
        <v>8.64</v>
      </c>
      <c r="J954" s="4">
        <v>3</v>
      </c>
      <c r="K954" s="6">
        <v>2.5099999999999998</v>
      </c>
    </row>
    <row r="955" spans="1:11" x14ac:dyDescent="0.3">
      <c r="A955" s="7">
        <v>41877</v>
      </c>
      <c r="B955" s="4">
        <f>YEAR(SalesData[[#This Row],[Order Date]])</f>
        <v>2014</v>
      </c>
      <c r="C955" s="4">
        <f>MONTH(SalesData[[#This Row],[Order Date]])</f>
        <v>8</v>
      </c>
      <c r="D955" s="3" t="s">
        <v>1181</v>
      </c>
      <c r="E955" s="3" t="s">
        <v>59</v>
      </c>
      <c r="F955" s="3" t="s">
        <v>39</v>
      </c>
      <c r="G955" s="3" t="s">
        <v>52</v>
      </c>
      <c r="H955" s="3" t="s">
        <v>668</v>
      </c>
      <c r="I955" s="6">
        <v>149.97</v>
      </c>
      <c r="J955" s="4">
        <v>3</v>
      </c>
      <c r="K955" s="6">
        <v>52.49</v>
      </c>
    </row>
    <row r="956" spans="1:11" x14ac:dyDescent="0.3">
      <c r="A956" s="7">
        <v>41878</v>
      </c>
      <c r="B956" s="4">
        <f>YEAR(SalesData[[#This Row],[Order Date]])</f>
        <v>2014</v>
      </c>
      <c r="C956" s="4">
        <f>MONTH(SalesData[[#This Row],[Order Date]])</f>
        <v>8</v>
      </c>
      <c r="D956" s="3" t="s">
        <v>1183</v>
      </c>
      <c r="E956" s="3" t="s">
        <v>27</v>
      </c>
      <c r="F956" s="3" t="s">
        <v>11</v>
      </c>
      <c r="G956" s="3" t="s">
        <v>24</v>
      </c>
      <c r="H956" s="3" t="s">
        <v>845</v>
      </c>
      <c r="I956" s="6">
        <v>8.56</v>
      </c>
      <c r="J956" s="4">
        <v>2</v>
      </c>
      <c r="K956" s="6">
        <v>2.48</v>
      </c>
    </row>
    <row r="957" spans="1:11" x14ac:dyDescent="0.3">
      <c r="A957" s="7">
        <v>41878</v>
      </c>
      <c r="B957" s="4">
        <f>YEAR(SalesData[[#This Row],[Order Date]])</f>
        <v>2014</v>
      </c>
      <c r="C957" s="4">
        <f>MONTH(SalesData[[#This Row],[Order Date]])</f>
        <v>8</v>
      </c>
      <c r="D957" s="3" t="s">
        <v>1183</v>
      </c>
      <c r="E957" s="3" t="s">
        <v>27</v>
      </c>
      <c r="F957" s="3" t="s">
        <v>39</v>
      </c>
      <c r="G957" s="3" t="s">
        <v>40</v>
      </c>
      <c r="H957" s="3" t="s">
        <v>1184</v>
      </c>
      <c r="I957" s="6">
        <v>213.48</v>
      </c>
      <c r="J957" s="4">
        <v>3</v>
      </c>
      <c r="K957" s="6">
        <v>16.010000000000002</v>
      </c>
    </row>
    <row r="958" spans="1:11" x14ac:dyDescent="0.3">
      <c r="A958" s="7">
        <v>41878</v>
      </c>
      <c r="B958" s="4">
        <f>YEAR(SalesData[[#This Row],[Order Date]])</f>
        <v>2014</v>
      </c>
      <c r="C958" s="4">
        <f>MONTH(SalesData[[#This Row],[Order Date]])</f>
        <v>8</v>
      </c>
      <c r="D958" s="3" t="s">
        <v>1183</v>
      </c>
      <c r="E958" s="3" t="s">
        <v>27</v>
      </c>
      <c r="F958" s="3" t="s">
        <v>11</v>
      </c>
      <c r="G958" s="3" t="s">
        <v>20</v>
      </c>
      <c r="H958" s="3" t="s">
        <v>1185</v>
      </c>
      <c r="I958" s="6">
        <v>22.72</v>
      </c>
      <c r="J958" s="4">
        <v>4</v>
      </c>
      <c r="K958" s="6">
        <v>7.38</v>
      </c>
    </row>
    <row r="959" spans="1:11" x14ac:dyDescent="0.3">
      <c r="A959" s="7">
        <v>41878</v>
      </c>
      <c r="B959" s="4">
        <f>YEAR(SalesData[[#This Row],[Order Date]])</f>
        <v>2014</v>
      </c>
      <c r="C959" s="4">
        <f>MONTH(SalesData[[#This Row],[Order Date]])</f>
        <v>8</v>
      </c>
      <c r="D959" s="3" t="s">
        <v>1186</v>
      </c>
      <c r="E959" s="3" t="s">
        <v>55</v>
      </c>
      <c r="F959" s="3" t="s">
        <v>39</v>
      </c>
      <c r="G959" s="3" t="s">
        <v>40</v>
      </c>
      <c r="H959" s="3" t="s">
        <v>1187</v>
      </c>
      <c r="I959" s="6">
        <v>579.95000000000005</v>
      </c>
      <c r="J959" s="4">
        <v>5</v>
      </c>
      <c r="K959" s="6">
        <v>168.19</v>
      </c>
    </row>
    <row r="960" spans="1:11" x14ac:dyDescent="0.3">
      <c r="A960" s="7">
        <v>41878</v>
      </c>
      <c r="B960" s="4">
        <f>YEAR(SalesData[[#This Row],[Order Date]])</f>
        <v>2014</v>
      </c>
      <c r="C960" s="4">
        <f>MONTH(SalesData[[#This Row],[Order Date]])</f>
        <v>8</v>
      </c>
      <c r="D960" s="3" t="s">
        <v>1186</v>
      </c>
      <c r="E960" s="3" t="s">
        <v>55</v>
      </c>
      <c r="F960" s="3" t="s">
        <v>34</v>
      </c>
      <c r="G960" s="3" t="s">
        <v>47</v>
      </c>
      <c r="H960" s="3" t="s">
        <v>1188</v>
      </c>
      <c r="I960" s="6">
        <v>29.12</v>
      </c>
      <c r="J960" s="4">
        <v>4</v>
      </c>
      <c r="K960" s="6">
        <v>12.52</v>
      </c>
    </row>
    <row r="961" spans="1:11" x14ac:dyDescent="0.3">
      <c r="A961" s="7">
        <v>41878</v>
      </c>
      <c r="B961" s="4">
        <f>YEAR(SalesData[[#This Row],[Order Date]])</f>
        <v>2014</v>
      </c>
      <c r="C961" s="4">
        <f>MONTH(SalesData[[#This Row],[Order Date]])</f>
        <v>8</v>
      </c>
      <c r="D961" s="3" t="s">
        <v>1186</v>
      </c>
      <c r="E961" s="3" t="s">
        <v>55</v>
      </c>
      <c r="F961" s="3" t="s">
        <v>34</v>
      </c>
      <c r="G961" s="3" t="s">
        <v>145</v>
      </c>
      <c r="H961" s="3" t="s">
        <v>1189</v>
      </c>
      <c r="I961" s="6">
        <v>1202.94</v>
      </c>
      <c r="J961" s="4">
        <v>3</v>
      </c>
      <c r="K961" s="6">
        <v>300.74</v>
      </c>
    </row>
    <row r="962" spans="1:11" x14ac:dyDescent="0.3">
      <c r="A962" s="7">
        <v>41878</v>
      </c>
      <c r="B962" s="4">
        <f>YEAR(SalesData[[#This Row],[Order Date]])</f>
        <v>2014</v>
      </c>
      <c r="C962" s="4">
        <f>MONTH(SalesData[[#This Row],[Order Date]])</f>
        <v>8</v>
      </c>
      <c r="D962" s="3" t="s">
        <v>77</v>
      </c>
      <c r="E962" s="3" t="s">
        <v>55</v>
      </c>
      <c r="F962" s="3" t="s">
        <v>11</v>
      </c>
      <c r="G962" s="3" t="s">
        <v>12</v>
      </c>
      <c r="H962" s="3" t="s">
        <v>441</v>
      </c>
      <c r="I962" s="6">
        <v>13.36</v>
      </c>
      <c r="J962" s="4">
        <v>2</v>
      </c>
      <c r="K962" s="6">
        <v>6.41</v>
      </c>
    </row>
    <row r="963" spans="1:11" x14ac:dyDescent="0.3">
      <c r="A963" s="7">
        <v>41880</v>
      </c>
      <c r="B963" s="4">
        <f>YEAR(SalesData[[#This Row],[Order Date]])</f>
        <v>2014</v>
      </c>
      <c r="C963" s="4">
        <f>MONTH(SalesData[[#This Row],[Order Date]])</f>
        <v>8</v>
      </c>
      <c r="D963" s="3" t="s">
        <v>1190</v>
      </c>
      <c r="E963" s="3" t="s">
        <v>27</v>
      </c>
      <c r="F963" s="3" t="s">
        <v>11</v>
      </c>
      <c r="G963" s="3" t="s">
        <v>12</v>
      </c>
      <c r="H963" s="3" t="s">
        <v>1191</v>
      </c>
      <c r="I963" s="6">
        <v>109.92</v>
      </c>
      <c r="J963" s="4">
        <v>2</v>
      </c>
      <c r="K963" s="6">
        <v>53.86</v>
      </c>
    </row>
    <row r="964" spans="1:11" x14ac:dyDescent="0.3">
      <c r="A964" s="7">
        <v>41880</v>
      </c>
      <c r="B964" s="4">
        <f>YEAR(SalesData[[#This Row],[Order Date]])</f>
        <v>2014</v>
      </c>
      <c r="C964" s="4">
        <f>MONTH(SalesData[[#This Row],[Order Date]])</f>
        <v>8</v>
      </c>
      <c r="D964" s="3" t="s">
        <v>1190</v>
      </c>
      <c r="E964" s="3" t="s">
        <v>27</v>
      </c>
      <c r="F964" s="3" t="s">
        <v>11</v>
      </c>
      <c r="G964" s="3" t="s">
        <v>12</v>
      </c>
      <c r="H964" s="3" t="s">
        <v>1192</v>
      </c>
      <c r="I964" s="6">
        <v>13.36</v>
      </c>
      <c r="J964" s="4">
        <v>2</v>
      </c>
      <c r="K964" s="6">
        <v>6.41</v>
      </c>
    </row>
    <row r="965" spans="1:11" x14ac:dyDescent="0.3">
      <c r="A965" s="7">
        <v>41880</v>
      </c>
      <c r="B965" s="4">
        <f>YEAR(SalesData[[#This Row],[Order Date]])</f>
        <v>2014</v>
      </c>
      <c r="C965" s="4">
        <f>MONTH(SalesData[[#This Row],[Order Date]])</f>
        <v>8</v>
      </c>
      <c r="D965" s="3" t="s">
        <v>1193</v>
      </c>
      <c r="E965" s="3" t="s">
        <v>123</v>
      </c>
      <c r="F965" s="3" t="s">
        <v>11</v>
      </c>
      <c r="G965" s="3" t="s">
        <v>63</v>
      </c>
      <c r="H965" s="3" t="s">
        <v>1194</v>
      </c>
      <c r="I965" s="6">
        <v>29.81</v>
      </c>
      <c r="J965" s="4">
        <v>2</v>
      </c>
      <c r="K965" s="6">
        <v>10.81</v>
      </c>
    </row>
    <row r="966" spans="1:11" x14ac:dyDescent="0.3">
      <c r="A966" s="7">
        <v>41880</v>
      </c>
      <c r="B966" s="4">
        <f>YEAR(SalesData[[#This Row],[Order Date]])</f>
        <v>2014</v>
      </c>
      <c r="C966" s="4">
        <f>MONTH(SalesData[[#This Row],[Order Date]])</f>
        <v>8</v>
      </c>
      <c r="D966" s="3" t="s">
        <v>1193</v>
      </c>
      <c r="E966" s="3" t="s">
        <v>123</v>
      </c>
      <c r="F966" s="3" t="s">
        <v>11</v>
      </c>
      <c r="G966" s="3" t="s">
        <v>20</v>
      </c>
      <c r="H966" s="3" t="s">
        <v>420</v>
      </c>
      <c r="I966" s="6">
        <v>505.18</v>
      </c>
      <c r="J966" s="4">
        <v>4</v>
      </c>
      <c r="K966" s="6">
        <v>-336.78</v>
      </c>
    </row>
    <row r="967" spans="1:11" x14ac:dyDescent="0.3">
      <c r="A967" s="7">
        <v>41880</v>
      </c>
      <c r="B967" s="4">
        <f>YEAR(SalesData[[#This Row],[Order Date]])</f>
        <v>2014</v>
      </c>
      <c r="C967" s="4">
        <f>MONTH(SalesData[[#This Row],[Order Date]])</f>
        <v>8</v>
      </c>
      <c r="D967" s="3" t="s">
        <v>1193</v>
      </c>
      <c r="E967" s="3" t="s">
        <v>123</v>
      </c>
      <c r="F967" s="3" t="s">
        <v>34</v>
      </c>
      <c r="G967" s="3" t="s">
        <v>145</v>
      </c>
      <c r="H967" s="3" t="s">
        <v>1195</v>
      </c>
      <c r="I967" s="6">
        <v>174.06</v>
      </c>
      <c r="J967" s="4">
        <v>3</v>
      </c>
      <c r="K967" s="6">
        <v>-110.76</v>
      </c>
    </row>
    <row r="968" spans="1:11" x14ac:dyDescent="0.3">
      <c r="A968" s="7">
        <v>41881</v>
      </c>
      <c r="B968" s="4">
        <f>YEAR(SalesData[[#This Row],[Order Date]])</f>
        <v>2014</v>
      </c>
      <c r="C968" s="4">
        <f>MONTH(SalesData[[#This Row],[Order Date]])</f>
        <v>8</v>
      </c>
      <c r="D968" s="3" t="s">
        <v>1196</v>
      </c>
      <c r="E968" s="3" t="s">
        <v>613</v>
      </c>
      <c r="F968" s="3" t="s">
        <v>11</v>
      </c>
      <c r="G968" s="3" t="s">
        <v>20</v>
      </c>
      <c r="H968" s="3" t="s">
        <v>1197</v>
      </c>
      <c r="I968" s="6">
        <v>25.3</v>
      </c>
      <c r="J968" s="4">
        <v>5</v>
      </c>
      <c r="K968" s="6">
        <v>11.89</v>
      </c>
    </row>
    <row r="969" spans="1:11" x14ac:dyDescent="0.3">
      <c r="A969" s="7">
        <v>41881</v>
      </c>
      <c r="B969" s="4">
        <f>YEAR(SalesData[[#This Row],[Order Date]])</f>
        <v>2014</v>
      </c>
      <c r="C969" s="4">
        <f>MONTH(SalesData[[#This Row],[Order Date]])</f>
        <v>8</v>
      </c>
      <c r="D969" s="3" t="s">
        <v>1196</v>
      </c>
      <c r="E969" s="3" t="s">
        <v>613</v>
      </c>
      <c r="F969" s="3" t="s">
        <v>11</v>
      </c>
      <c r="G969" s="3" t="s">
        <v>18</v>
      </c>
      <c r="H969" s="3" t="s">
        <v>909</v>
      </c>
      <c r="I969" s="6">
        <v>95.94</v>
      </c>
      <c r="J969" s="4">
        <v>3</v>
      </c>
      <c r="K969" s="6">
        <v>9.59</v>
      </c>
    </row>
    <row r="970" spans="1:11" x14ac:dyDescent="0.3">
      <c r="A970" s="7">
        <v>41882</v>
      </c>
      <c r="B970" s="4">
        <f>YEAR(SalesData[[#This Row],[Order Date]])</f>
        <v>2014</v>
      </c>
      <c r="C970" s="4">
        <f>MONTH(SalesData[[#This Row],[Order Date]])</f>
        <v>8</v>
      </c>
      <c r="D970" s="3" t="s">
        <v>1198</v>
      </c>
      <c r="E970" s="3" t="s">
        <v>399</v>
      </c>
      <c r="F970" s="3" t="s">
        <v>39</v>
      </c>
      <c r="G970" s="3" t="s">
        <v>52</v>
      </c>
      <c r="H970" s="3" t="s">
        <v>1199</v>
      </c>
      <c r="I970" s="6">
        <v>92.52</v>
      </c>
      <c r="J970" s="4">
        <v>9</v>
      </c>
      <c r="K970" s="6">
        <v>18.5</v>
      </c>
    </row>
    <row r="971" spans="1:11" x14ac:dyDescent="0.3">
      <c r="A971" s="7">
        <v>41883</v>
      </c>
      <c r="B971" s="4">
        <f>YEAR(SalesData[[#This Row],[Order Date]])</f>
        <v>2014</v>
      </c>
      <c r="C971" s="4">
        <f>MONTH(SalesData[[#This Row],[Order Date]])</f>
        <v>9</v>
      </c>
      <c r="D971" s="3" t="s">
        <v>1200</v>
      </c>
      <c r="E971" s="3" t="s">
        <v>27</v>
      </c>
      <c r="F971" s="3" t="s">
        <v>11</v>
      </c>
      <c r="G971" s="3" t="s">
        <v>24</v>
      </c>
      <c r="H971" s="3" t="s">
        <v>1201</v>
      </c>
      <c r="I971" s="6">
        <v>53.94</v>
      </c>
      <c r="J971" s="4">
        <v>3</v>
      </c>
      <c r="K971" s="6">
        <v>15.64</v>
      </c>
    </row>
    <row r="972" spans="1:11" x14ac:dyDescent="0.3">
      <c r="A972" s="7">
        <v>41883</v>
      </c>
      <c r="B972" s="4">
        <f>YEAR(SalesData[[#This Row],[Order Date]])</f>
        <v>2014</v>
      </c>
      <c r="C972" s="4">
        <f>MONTH(SalesData[[#This Row],[Order Date]])</f>
        <v>9</v>
      </c>
      <c r="D972" s="3" t="s">
        <v>965</v>
      </c>
      <c r="E972" s="3" t="s">
        <v>10</v>
      </c>
      <c r="F972" s="3" t="s">
        <v>11</v>
      </c>
      <c r="G972" s="3" t="s">
        <v>20</v>
      </c>
      <c r="H972" s="3" t="s">
        <v>1202</v>
      </c>
      <c r="I972" s="6">
        <v>3.65</v>
      </c>
      <c r="J972" s="4">
        <v>3</v>
      </c>
      <c r="K972" s="6">
        <v>-6.02</v>
      </c>
    </row>
    <row r="973" spans="1:11" x14ac:dyDescent="0.3">
      <c r="A973" s="7">
        <v>41883</v>
      </c>
      <c r="B973" s="4">
        <f>YEAR(SalesData[[#This Row],[Order Date]])</f>
        <v>2014</v>
      </c>
      <c r="C973" s="4">
        <f>MONTH(SalesData[[#This Row],[Order Date]])</f>
        <v>9</v>
      </c>
      <c r="D973" s="3" t="s">
        <v>965</v>
      </c>
      <c r="E973" s="3" t="s">
        <v>10</v>
      </c>
      <c r="F973" s="3" t="s">
        <v>11</v>
      </c>
      <c r="G973" s="3" t="s">
        <v>12</v>
      </c>
      <c r="H973" s="3" t="s">
        <v>1203</v>
      </c>
      <c r="I973" s="6">
        <v>31.1</v>
      </c>
      <c r="J973" s="4">
        <v>6</v>
      </c>
      <c r="K973" s="6">
        <v>10.89</v>
      </c>
    </row>
    <row r="974" spans="1:11" x14ac:dyDescent="0.3">
      <c r="A974" s="7">
        <v>41883</v>
      </c>
      <c r="B974" s="4">
        <f>YEAR(SalesData[[#This Row],[Order Date]])</f>
        <v>2014</v>
      </c>
      <c r="C974" s="4">
        <f>MONTH(SalesData[[#This Row],[Order Date]])</f>
        <v>9</v>
      </c>
      <c r="D974" s="3" t="s">
        <v>1138</v>
      </c>
      <c r="E974" s="3" t="s">
        <v>149</v>
      </c>
      <c r="F974" s="3" t="s">
        <v>11</v>
      </c>
      <c r="G974" s="3" t="s">
        <v>20</v>
      </c>
      <c r="H974" s="3" t="s">
        <v>1204</v>
      </c>
      <c r="I974" s="6">
        <v>23.74</v>
      </c>
      <c r="J974" s="4">
        <v>2</v>
      </c>
      <c r="K974" s="6">
        <v>8.31</v>
      </c>
    </row>
    <row r="975" spans="1:11" x14ac:dyDescent="0.3">
      <c r="A975" s="7">
        <v>41883</v>
      </c>
      <c r="B975" s="4">
        <f>YEAR(SalesData[[#This Row],[Order Date]])</f>
        <v>2014</v>
      </c>
      <c r="C975" s="4">
        <f>MONTH(SalesData[[#This Row],[Order Date]])</f>
        <v>9</v>
      </c>
      <c r="D975" s="3" t="s">
        <v>1138</v>
      </c>
      <c r="E975" s="3" t="s">
        <v>149</v>
      </c>
      <c r="F975" s="3" t="s">
        <v>39</v>
      </c>
      <c r="G975" s="3" t="s">
        <v>52</v>
      </c>
      <c r="H975" s="3" t="s">
        <v>1032</v>
      </c>
      <c r="I975" s="6">
        <v>357</v>
      </c>
      <c r="J975" s="4">
        <v>3</v>
      </c>
      <c r="K975" s="6">
        <v>57.12</v>
      </c>
    </row>
    <row r="976" spans="1:11" x14ac:dyDescent="0.3">
      <c r="A976" s="7">
        <v>41884</v>
      </c>
      <c r="B976" s="4">
        <f>YEAR(SalesData[[#This Row],[Order Date]])</f>
        <v>2014</v>
      </c>
      <c r="C976" s="4">
        <f>MONTH(SalesData[[#This Row],[Order Date]])</f>
        <v>9</v>
      </c>
      <c r="D976" s="3" t="s">
        <v>599</v>
      </c>
      <c r="E976" s="3" t="s">
        <v>149</v>
      </c>
      <c r="F976" s="3" t="s">
        <v>11</v>
      </c>
      <c r="G976" s="3" t="s">
        <v>92</v>
      </c>
      <c r="H976" s="3" t="s">
        <v>206</v>
      </c>
      <c r="I976" s="6">
        <v>19.899999999999999</v>
      </c>
      <c r="J976" s="4">
        <v>1</v>
      </c>
      <c r="K976" s="6">
        <v>8.9600000000000009</v>
      </c>
    </row>
    <row r="977" spans="1:11" x14ac:dyDescent="0.3">
      <c r="A977" s="7">
        <v>41884</v>
      </c>
      <c r="B977" s="4">
        <f>YEAR(SalesData[[#This Row],[Order Date]])</f>
        <v>2014</v>
      </c>
      <c r="C977" s="4">
        <f>MONTH(SalesData[[#This Row],[Order Date]])</f>
        <v>9</v>
      </c>
      <c r="D977" s="3" t="s">
        <v>599</v>
      </c>
      <c r="E977" s="3" t="s">
        <v>149</v>
      </c>
      <c r="F977" s="3" t="s">
        <v>34</v>
      </c>
      <c r="G977" s="3" t="s">
        <v>47</v>
      </c>
      <c r="H977" s="3" t="s">
        <v>1205</v>
      </c>
      <c r="I977" s="6">
        <v>70.709999999999994</v>
      </c>
      <c r="J977" s="4">
        <v>1</v>
      </c>
      <c r="K977" s="6">
        <v>4.95</v>
      </c>
    </row>
    <row r="978" spans="1:11" x14ac:dyDescent="0.3">
      <c r="A978" s="7">
        <v>41884</v>
      </c>
      <c r="B978" s="4">
        <f>YEAR(SalesData[[#This Row],[Order Date]])</f>
        <v>2014</v>
      </c>
      <c r="C978" s="4">
        <f>MONTH(SalesData[[#This Row],[Order Date]])</f>
        <v>9</v>
      </c>
      <c r="D978" s="3" t="s">
        <v>256</v>
      </c>
      <c r="E978" s="3" t="s">
        <v>149</v>
      </c>
      <c r="F978" s="3" t="s">
        <v>11</v>
      </c>
      <c r="G978" s="3" t="s">
        <v>24</v>
      </c>
      <c r="H978" s="3" t="s">
        <v>1206</v>
      </c>
      <c r="I978" s="6">
        <v>21.24</v>
      </c>
      <c r="J978" s="4">
        <v>3</v>
      </c>
      <c r="K978" s="6">
        <v>8.07</v>
      </c>
    </row>
    <row r="979" spans="1:11" x14ac:dyDescent="0.3">
      <c r="A979" s="7">
        <v>41884</v>
      </c>
      <c r="B979" s="4">
        <f>YEAR(SalesData[[#This Row],[Order Date]])</f>
        <v>2014</v>
      </c>
      <c r="C979" s="4">
        <f>MONTH(SalesData[[#This Row],[Order Date]])</f>
        <v>9</v>
      </c>
      <c r="D979" s="3" t="s">
        <v>1207</v>
      </c>
      <c r="E979" s="3" t="s">
        <v>149</v>
      </c>
      <c r="F979" s="3" t="s">
        <v>11</v>
      </c>
      <c r="G979" s="3" t="s">
        <v>24</v>
      </c>
      <c r="H979" s="3" t="s">
        <v>1006</v>
      </c>
      <c r="I979" s="6">
        <v>57.75</v>
      </c>
      <c r="J979" s="4">
        <v>5</v>
      </c>
      <c r="K979" s="6">
        <v>16.170000000000002</v>
      </c>
    </row>
    <row r="980" spans="1:11" x14ac:dyDescent="0.3">
      <c r="A980" s="7">
        <v>41884</v>
      </c>
      <c r="B980" s="4">
        <f>YEAR(SalesData[[#This Row],[Order Date]])</f>
        <v>2014</v>
      </c>
      <c r="C980" s="4">
        <f>MONTH(SalesData[[#This Row],[Order Date]])</f>
        <v>9</v>
      </c>
      <c r="D980" s="3" t="s">
        <v>1207</v>
      </c>
      <c r="E980" s="3" t="s">
        <v>149</v>
      </c>
      <c r="F980" s="3" t="s">
        <v>11</v>
      </c>
      <c r="G980" s="3" t="s">
        <v>12</v>
      </c>
      <c r="H980" s="3" t="s">
        <v>625</v>
      </c>
      <c r="I980" s="6">
        <v>14.94</v>
      </c>
      <c r="J980" s="4">
        <v>3</v>
      </c>
      <c r="K980" s="6">
        <v>7.02</v>
      </c>
    </row>
    <row r="981" spans="1:11" x14ac:dyDescent="0.3">
      <c r="A981" s="7">
        <v>41884</v>
      </c>
      <c r="B981" s="4">
        <f>YEAR(SalesData[[#This Row],[Order Date]])</f>
        <v>2014</v>
      </c>
      <c r="C981" s="4">
        <f>MONTH(SalesData[[#This Row],[Order Date]])</f>
        <v>9</v>
      </c>
      <c r="D981" s="3" t="s">
        <v>394</v>
      </c>
      <c r="E981" s="3" t="s">
        <v>15</v>
      </c>
      <c r="F981" s="3" t="s">
        <v>39</v>
      </c>
      <c r="G981" s="3" t="s">
        <v>52</v>
      </c>
      <c r="H981" s="3" t="s">
        <v>731</v>
      </c>
      <c r="I981" s="6">
        <v>239.98</v>
      </c>
      <c r="J981" s="4">
        <v>3</v>
      </c>
      <c r="K981" s="6">
        <v>53.99</v>
      </c>
    </row>
    <row r="982" spans="1:11" x14ac:dyDescent="0.3">
      <c r="A982" s="7">
        <v>41884</v>
      </c>
      <c r="B982" s="4">
        <f>YEAR(SalesData[[#This Row],[Order Date]])</f>
        <v>2014</v>
      </c>
      <c r="C982" s="4">
        <f>MONTH(SalesData[[#This Row],[Order Date]])</f>
        <v>9</v>
      </c>
      <c r="D982" s="3" t="s">
        <v>1095</v>
      </c>
      <c r="E982" s="3" t="s">
        <v>10</v>
      </c>
      <c r="F982" s="3" t="s">
        <v>39</v>
      </c>
      <c r="G982" s="3" t="s">
        <v>302</v>
      </c>
      <c r="H982" s="3" t="s">
        <v>1208</v>
      </c>
      <c r="I982" s="6">
        <v>559.71</v>
      </c>
      <c r="J982" s="4">
        <v>3</v>
      </c>
      <c r="K982" s="6">
        <v>-121.27</v>
      </c>
    </row>
    <row r="983" spans="1:11" x14ac:dyDescent="0.3">
      <c r="A983" s="7">
        <v>41884</v>
      </c>
      <c r="B983" s="4">
        <f>YEAR(SalesData[[#This Row],[Order Date]])</f>
        <v>2014</v>
      </c>
      <c r="C983" s="4">
        <f>MONTH(SalesData[[#This Row],[Order Date]])</f>
        <v>9</v>
      </c>
      <c r="D983" s="3" t="s">
        <v>193</v>
      </c>
      <c r="E983" s="3" t="s">
        <v>101</v>
      </c>
      <c r="F983" s="3" t="s">
        <v>11</v>
      </c>
      <c r="G983" s="3" t="s">
        <v>20</v>
      </c>
      <c r="H983" s="3" t="s">
        <v>1142</v>
      </c>
      <c r="I983" s="6">
        <v>1793.98</v>
      </c>
      <c r="J983" s="4">
        <v>2</v>
      </c>
      <c r="K983" s="6">
        <v>843.17</v>
      </c>
    </row>
    <row r="984" spans="1:11" x14ac:dyDescent="0.3">
      <c r="A984" s="7">
        <v>41884</v>
      </c>
      <c r="B984" s="4">
        <f>YEAR(SalesData[[#This Row],[Order Date]])</f>
        <v>2014</v>
      </c>
      <c r="C984" s="4">
        <f>MONTH(SalesData[[#This Row],[Order Date]])</f>
        <v>9</v>
      </c>
      <c r="D984" s="3" t="s">
        <v>778</v>
      </c>
      <c r="E984" s="3" t="s">
        <v>15</v>
      </c>
      <c r="F984" s="3" t="s">
        <v>39</v>
      </c>
      <c r="G984" s="3" t="s">
        <v>52</v>
      </c>
      <c r="H984" s="3" t="s">
        <v>1134</v>
      </c>
      <c r="I984" s="6">
        <v>475.94</v>
      </c>
      <c r="J984" s="4">
        <v>7</v>
      </c>
      <c r="K984" s="6">
        <v>95.19</v>
      </c>
    </row>
    <row r="985" spans="1:11" x14ac:dyDescent="0.3">
      <c r="A985" s="7">
        <v>41885</v>
      </c>
      <c r="B985" s="4">
        <f>YEAR(SalesData[[#This Row],[Order Date]])</f>
        <v>2014</v>
      </c>
      <c r="C985" s="4">
        <f>MONTH(SalesData[[#This Row],[Order Date]])</f>
        <v>9</v>
      </c>
      <c r="D985" s="3" t="s">
        <v>547</v>
      </c>
      <c r="E985" s="3" t="s">
        <v>149</v>
      </c>
      <c r="F985" s="3" t="s">
        <v>11</v>
      </c>
      <c r="G985" s="3" t="s">
        <v>16</v>
      </c>
      <c r="H985" s="3" t="s">
        <v>932</v>
      </c>
      <c r="I985" s="6">
        <v>14.4</v>
      </c>
      <c r="J985" s="4">
        <v>5</v>
      </c>
      <c r="K985" s="6">
        <v>7.06</v>
      </c>
    </row>
    <row r="986" spans="1:11" x14ac:dyDescent="0.3">
      <c r="A986" s="7">
        <v>41885</v>
      </c>
      <c r="B986" s="4">
        <f>YEAR(SalesData[[#This Row],[Order Date]])</f>
        <v>2014</v>
      </c>
      <c r="C986" s="4">
        <f>MONTH(SalesData[[#This Row],[Order Date]])</f>
        <v>9</v>
      </c>
      <c r="D986" s="3" t="s">
        <v>1209</v>
      </c>
      <c r="E986" s="3" t="s">
        <v>10</v>
      </c>
      <c r="F986" s="3" t="s">
        <v>11</v>
      </c>
      <c r="G986" s="3" t="s">
        <v>20</v>
      </c>
      <c r="H986" s="3" t="s">
        <v>1210</v>
      </c>
      <c r="I986" s="6">
        <v>7.68</v>
      </c>
      <c r="J986" s="4">
        <v>5</v>
      </c>
      <c r="K986" s="6">
        <v>-11.52</v>
      </c>
    </row>
    <row r="987" spans="1:11" x14ac:dyDescent="0.3">
      <c r="A987" s="7">
        <v>41887</v>
      </c>
      <c r="B987" s="4">
        <f>YEAR(SalesData[[#This Row],[Order Date]])</f>
        <v>2014</v>
      </c>
      <c r="C987" s="4">
        <f>MONTH(SalesData[[#This Row],[Order Date]])</f>
        <v>9</v>
      </c>
      <c r="D987" s="3" t="s">
        <v>1211</v>
      </c>
      <c r="E987" s="3" t="s">
        <v>78</v>
      </c>
      <c r="F987" s="3" t="s">
        <v>11</v>
      </c>
      <c r="G987" s="3" t="s">
        <v>18</v>
      </c>
      <c r="H987" s="3" t="s">
        <v>374</v>
      </c>
      <c r="I987" s="6">
        <v>264.32</v>
      </c>
      <c r="J987" s="4">
        <v>2</v>
      </c>
      <c r="K987" s="6">
        <v>19.82</v>
      </c>
    </row>
    <row r="988" spans="1:11" x14ac:dyDescent="0.3">
      <c r="A988" s="7">
        <v>41887</v>
      </c>
      <c r="B988" s="4">
        <f>YEAR(SalesData[[#This Row],[Order Date]])</f>
        <v>2014</v>
      </c>
      <c r="C988" s="4">
        <f>MONTH(SalesData[[#This Row],[Order Date]])</f>
        <v>9</v>
      </c>
      <c r="D988" s="3" t="s">
        <v>1212</v>
      </c>
      <c r="E988" s="3" t="s">
        <v>123</v>
      </c>
      <c r="F988" s="3" t="s">
        <v>34</v>
      </c>
      <c r="G988" s="3" t="s">
        <v>47</v>
      </c>
      <c r="H988" s="3" t="s">
        <v>1213</v>
      </c>
      <c r="I988" s="6">
        <v>31.98</v>
      </c>
      <c r="J988" s="4">
        <v>2</v>
      </c>
      <c r="K988" s="6">
        <v>2</v>
      </c>
    </row>
    <row r="989" spans="1:11" x14ac:dyDescent="0.3">
      <c r="A989" s="7">
        <v>41888</v>
      </c>
      <c r="B989" s="4">
        <f>YEAR(SalesData[[#This Row],[Order Date]])</f>
        <v>2014</v>
      </c>
      <c r="C989" s="4">
        <f>MONTH(SalesData[[#This Row],[Order Date]])</f>
        <v>9</v>
      </c>
      <c r="D989" s="3" t="s">
        <v>1214</v>
      </c>
      <c r="E989" s="3" t="s">
        <v>27</v>
      </c>
      <c r="F989" s="3" t="s">
        <v>34</v>
      </c>
      <c r="G989" s="3" t="s">
        <v>47</v>
      </c>
      <c r="H989" s="3" t="s">
        <v>797</v>
      </c>
      <c r="I989" s="6">
        <v>41.88</v>
      </c>
      <c r="J989" s="4">
        <v>6</v>
      </c>
      <c r="K989" s="6">
        <v>12.15</v>
      </c>
    </row>
    <row r="990" spans="1:11" x14ac:dyDescent="0.3">
      <c r="A990" s="7">
        <v>41888</v>
      </c>
      <c r="B990" s="4">
        <f>YEAR(SalesData[[#This Row],[Order Date]])</f>
        <v>2014</v>
      </c>
      <c r="C990" s="4">
        <f>MONTH(SalesData[[#This Row],[Order Date]])</f>
        <v>9</v>
      </c>
      <c r="D990" s="3" t="s">
        <v>1214</v>
      </c>
      <c r="E990" s="3" t="s">
        <v>27</v>
      </c>
      <c r="F990" s="3" t="s">
        <v>11</v>
      </c>
      <c r="G990" s="3" t="s">
        <v>16</v>
      </c>
      <c r="H990" s="3" t="s">
        <v>906</v>
      </c>
      <c r="I990" s="6">
        <v>58.48</v>
      </c>
      <c r="J990" s="4">
        <v>8</v>
      </c>
      <c r="K990" s="6">
        <v>27.49</v>
      </c>
    </row>
    <row r="991" spans="1:11" x14ac:dyDescent="0.3">
      <c r="A991" s="7">
        <v>41889</v>
      </c>
      <c r="B991" s="4">
        <f>YEAR(SalesData[[#This Row],[Order Date]])</f>
        <v>2014</v>
      </c>
      <c r="C991" s="4">
        <f>MONTH(SalesData[[#This Row],[Order Date]])</f>
        <v>9</v>
      </c>
      <c r="D991" s="3" t="s">
        <v>637</v>
      </c>
      <c r="E991" s="3" t="s">
        <v>23</v>
      </c>
      <c r="F991" s="3" t="s">
        <v>11</v>
      </c>
      <c r="G991" s="3" t="s">
        <v>18</v>
      </c>
      <c r="H991" s="3" t="s">
        <v>267</v>
      </c>
      <c r="I991" s="6">
        <v>64.78</v>
      </c>
      <c r="J991" s="4">
        <v>1</v>
      </c>
      <c r="K991" s="6">
        <v>-14.58</v>
      </c>
    </row>
    <row r="992" spans="1:11" x14ac:dyDescent="0.3">
      <c r="A992" s="7">
        <v>41889</v>
      </c>
      <c r="B992" s="4">
        <f>YEAR(SalesData[[#This Row],[Order Date]])</f>
        <v>2014</v>
      </c>
      <c r="C992" s="4">
        <f>MONTH(SalesData[[#This Row],[Order Date]])</f>
        <v>9</v>
      </c>
      <c r="D992" s="3" t="s">
        <v>637</v>
      </c>
      <c r="E992" s="3" t="s">
        <v>23</v>
      </c>
      <c r="F992" s="3" t="s">
        <v>39</v>
      </c>
      <c r="G992" s="3" t="s">
        <v>40</v>
      </c>
      <c r="H992" s="3" t="s">
        <v>1215</v>
      </c>
      <c r="I992" s="6">
        <v>32.380000000000003</v>
      </c>
      <c r="J992" s="4">
        <v>3</v>
      </c>
      <c r="K992" s="6">
        <v>4.32</v>
      </c>
    </row>
    <row r="993" spans="1:11" x14ac:dyDescent="0.3">
      <c r="A993" s="7">
        <v>41889</v>
      </c>
      <c r="B993" s="4">
        <f>YEAR(SalesData[[#This Row],[Order Date]])</f>
        <v>2014</v>
      </c>
      <c r="C993" s="4">
        <f>MONTH(SalesData[[#This Row],[Order Date]])</f>
        <v>9</v>
      </c>
      <c r="D993" s="3" t="s">
        <v>637</v>
      </c>
      <c r="E993" s="3" t="s">
        <v>23</v>
      </c>
      <c r="F993" s="3" t="s">
        <v>34</v>
      </c>
      <c r="G993" s="3" t="s">
        <v>47</v>
      </c>
      <c r="H993" s="3" t="s">
        <v>1216</v>
      </c>
      <c r="I993" s="6">
        <v>42.37</v>
      </c>
      <c r="J993" s="4">
        <v>2</v>
      </c>
      <c r="K993" s="6">
        <v>8.4700000000000006</v>
      </c>
    </row>
    <row r="994" spans="1:11" x14ac:dyDescent="0.3">
      <c r="A994" s="7">
        <v>41889</v>
      </c>
      <c r="B994" s="4">
        <f>YEAR(SalesData[[#This Row],[Order Date]])</f>
        <v>2014</v>
      </c>
      <c r="C994" s="4">
        <f>MONTH(SalesData[[#This Row],[Order Date]])</f>
        <v>9</v>
      </c>
      <c r="D994" s="3" t="s">
        <v>637</v>
      </c>
      <c r="E994" s="3" t="s">
        <v>23</v>
      </c>
      <c r="F994" s="3" t="s">
        <v>39</v>
      </c>
      <c r="G994" s="3" t="s">
        <v>302</v>
      </c>
      <c r="H994" s="3" t="s">
        <v>1217</v>
      </c>
      <c r="I994" s="6">
        <v>399.54</v>
      </c>
      <c r="J994" s="4">
        <v>4</v>
      </c>
      <c r="K994" s="6">
        <v>-559.36</v>
      </c>
    </row>
    <row r="995" spans="1:11" x14ac:dyDescent="0.3">
      <c r="A995" s="7">
        <v>41889</v>
      </c>
      <c r="B995" s="4">
        <f>YEAR(SalesData[[#This Row],[Order Date]])</f>
        <v>2014</v>
      </c>
      <c r="C995" s="4">
        <f>MONTH(SalesData[[#This Row],[Order Date]])</f>
        <v>9</v>
      </c>
      <c r="D995" s="3" t="s">
        <v>122</v>
      </c>
      <c r="E995" s="3" t="s">
        <v>840</v>
      </c>
      <c r="F995" s="3" t="s">
        <v>34</v>
      </c>
      <c r="G995" s="3" t="s">
        <v>47</v>
      </c>
      <c r="H995" s="3" t="s">
        <v>339</v>
      </c>
      <c r="I995" s="6">
        <v>57.69</v>
      </c>
      <c r="J995" s="4">
        <v>3</v>
      </c>
      <c r="K995" s="6">
        <v>23.65</v>
      </c>
    </row>
    <row r="996" spans="1:11" x14ac:dyDescent="0.3">
      <c r="A996" s="7">
        <v>41889</v>
      </c>
      <c r="B996" s="4">
        <f>YEAR(SalesData[[#This Row],[Order Date]])</f>
        <v>2014</v>
      </c>
      <c r="C996" s="4">
        <f>MONTH(SalesData[[#This Row],[Order Date]])</f>
        <v>9</v>
      </c>
      <c r="D996" s="3" t="s">
        <v>122</v>
      </c>
      <c r="E996" s="3" t="s">
        <v>840</v>
      </c>
      <c r="F996" s="3" t="s">
        <v>11</v>
      </c>
      <c r="G996" s="3" t="s">
        <v>20</v>
      </c>
      <c r="H996" s="3" t="s">
        <v>1218</v>
      </c>
      <c r="I996" s="6">
        <v>42.81</v>
      </c>
      <c r="J996" s="4">
        <v>3</v>
      </c>
      <c r="K996" s="6">
        <v>20.12</v>
      </c>
    </row>
    <row r="997" spans="1:11" x14ac:dyDescent="0.3">
      <c r="A997" s="7">
        <v>41889</v>
      </c>
      <c r="B997" s="4">
        <f>YEAR(SalesData[[#This Row],[Order Date]])</f>
        <v>2014</v>
      </c>
      <c r="C997" s="4">
        <f>MONTH(SalesData[[#This Row],[Order Date]])</f>
        <v>9</v>
      </c>
      <c r="D997" s="3" t="s">
        <v>122</v>
      </c>
      <c r="E997" s="3" t="s">
        <v>840</v>
      </c>
      <c r="F997" s="3" t="s">
        <v>11</v>
      </c>
      <c r="G997" s="3" t="s">
        <v>12</v>
      </c>
      <c r="H997" s="3" t="s">
        <v>1219</v>
      </c>
      <c r="I997" s="6">
        <v>12.96</v>
      </c>
      <c r="J997" s="4">
        <v>2</v>
      </c>
      <c r="K997" s="6">
        <v>6.22</v>
      </c>
    </row>
    <row r="998" spans="1:11" x14ac:dyDescent="0.3">
      <c r="A998" s="7">
        <v>41889</v>
      </c>
      <c r="B998" s="4">
        <f>YEAR(SalesData[[#This Row],[Order Date]])</f>
        <v>2014</v>
      </c>
      <c r="C998" s="4">
        <f>MONTH(SalesData[[#This Row],[Order Date]])</f>
        <v>9</v>
      </c>
      <c r="D998" s="3" t="s">
        <v>122</v>
      </c>
      <c r="E998" s="3" t="s">
        <v>840</v>
      </c>
      <c r="F998" s="3" t="s">
        <v>34</v>
      </c>
      <c r="G998" s="3" t="s">
        <v>47</v>
      </c>
      <c r="H998" s="3" t="s">
        <v>1220</v>
      </c>
      <c r="I998" s="6">
        <v>821.88</v>
      </c>
      <c r="J998" s="4">
        <v>6</v>
      </c>
      <c r="K998" s="6">
        <v>213.69</v>
      </c>
    </row>
    <row r="999" spans="1:11" x14ac:dyDescent="0.3">
      <c r="A999" s="7">
        <v>41889</v>
      </c>
      <c r="B999" s="4">
        <f>YEAR(SalesData[[#This Row],[Order Date]])</f>
        <v>2014</v>
      </c>
      <c r="C999" s="4">
        <f>MONTH(SalesData[[#This Row],[Order Date]])</f>
        <v>9</v>
      </c>
      <c r="D999" s="3" t="s">
        <v>122</v>
      </c>
      <c r="E999" s="3" t="s">
        <v>840</v>
      </c>
      <c r="F999" s="3" t="s">
        <v>39</v>
      </c>
      <c r="G999" s="3" t="s">
        <v>40</v>
      </c>
      <c r="H999" s="3" t="s">
        <v>832</v>
      </c>
      <c r="I999" s="6">
        <v>104.85</v>
      </c>
      <c r="J999" s="4">
        <v>3</v>
      </c>
      <c r="K999" s="6">
        <v>28.31</v>
      </c>
    </row>
    <row r="1000" spans="1:11" x14ac:dyDescent="0.3">
      <c r="A1000" s="7">
        <v>41889</v>
      </c>
      <c r="B1000" s="4">
        <f>YEAR(SalesData[[#This Row],[Order Date]])</f>
        <v>2014</v>
      </c>
      <c r="C1000" s="4">
        <f>MONTH(SalesData[[#This Row],[Order Date]])</f>
        <v>9</v>
      </c>
      <c r="D1000" s="3" t="s">
        <v>1221</v>
      </c>
      <c r="E1000" s="3" t="s">
        <v>149</v>
      </c>
      <c r="F1000" s="3" t="s">
        <v>39</v>
      </c>
      <c r="G1000" s="3" t="s">
        <v>40</v>
      </c>
      <c r="H1000" s="3" t="s">
        <v>1222</v>
      </c>
      <c r="I1000" s="6">
        <v>377.97</v>
      </c>
      <c r="J1000" s="4">
        <v>3</v>
      </c>
      <c r="K1000" s="6">
        <v>109.61</v>
      </c>
    </row>
    <row r="1001" spans="1:11" x14ac:dyDescent="0.3">
      <c r="A1001" s="7">
        <v>41889</v>
      </c>
      <c r="B1001" s="4">
        <f>YEAR(SalesData[[#This Row],[Order Date]])</f>
        <v>2014</v>
      </c>
      <c r="C1001" s="4">
        <f>MONTH(SalesData[[#This Row],[Order Date]])</f>
        <v>9</v>
      </c>
      <c r="D1001" s="3" t="s">
        <v>1223</v>
      </c>
      <c r="E1001" s="3" t="s">
        <v>10</v>
      </c>
      <c r="F1001" s="3" t="s">
        <v>39</v>
      </c>
      <c r="G1001" s="3" t="s">
        <v>40</v>
      </c>
      <c r="H1001" s="3" t="s">
        <v>1224</v>
      </c>
      <c r="I1001" s="6">
        <v>196.78</v>
      </c>
      <c r="J1001" s="4">
        <v>3</v>
      </c>
      <c r="K1001" s="6">
        <v>14.76</v>
      </c>
    </row>
    <row r="1002" spans="1:11" x14ac:dyDescent="0.3">
      <c r="A1002" s="7">
        <v>41889</v>
      </c>
      <c r="B1002" s="4">
        <f>YEAR(SalesData[[#This Row],[Order Date]])</f>
        <v>2014</v>
      </c>
      <c r="C1002" s="4">
        <f>MONTH(SalesData[[#This Row],[Order Date]])</f>
        <v>9</v>
      </c>
      <c r="D1002" s="3" t="s">
        <v>1223</v>
      </c>
      <c r="E1002" s="3" t="s">
        <v>10</v>
      </c>
      <c r="F1002" s="3" t="s">
        <v>11</v>
      </c>
      <c r="G1002" s="3" t="s">
        <v>20</v>
      </c>
      <c r="H1002" s="3" t="s">
        <v>1225</v>
      </c>
      <c r="I1002" s="6">
        <v>2.92</v>
      </c>
      <c r="J1002" s="4">
        <v>2</v>
      </c>
      <c r="K1002" s="6">
        <v>-4.82</v>
      </c>
    </row>
    <row r="1003" spans="1:11" x14ac:dyDescent="0.3">
      <c r="A1003" s="7">
        <v>41889</v>
      </c>
      <c r="B1003" s="4">
        <f>YEAR(SalesData[[#This Row],[Order Date]])</f>
        <v>2014</v>
      </c>
      <c r="C1003" s="4">
        <f>MONTH(SalesData[[#This Row],[Order Date]])</f>
        <v>9</v>
      </c>
      <c r="D1003" s="3" t="s">
        <v>1223</v>
      </c>
      <c r="E1003" s="3" t="s">
        <v>10</v>
      </c>
      <c r="F1003" s="3" t="s">
        <v>34</v>
      </c>
      <c r="G1003" s="3" t="s">
        <v>145</v>
      </c>
      <c r="H1003" s="3" t="s">
        <v>1226</v>
      </c>
      <c r="I1003" s="6">
        <v>200.8</v>
      </c>
      <c r="J1003" s="4">
        <v>1</v>
      </c>
      <c r="K1003" s="6">
        <v>-22.95</v>
      </c>
    </row>
    <row r="1004" spans="1:11" x14ac:dyDescent="0.3">
      <c r="A1004" s="7">
        <v>41889</v>
      </c>
      <c r="B1004" s="4">
        <f>YEAR(SalesData[[#This Row],[Order Date]])</f>
        <v>2014</v>
      </c>
      <c r="C1004" s="4">
        <f>MONTH(SalesData[[#This Row],[Order Date]])</f>
        <v>9</v>
      </c>
      <c r="D1004" s="3" t="s">
        <v>1223</v>
      </c>
      <c r="E1004" s="3" t="s">
        <v>10</v>
      </c>
      <c r="F1004" s="3" t="s">
        <v>39</v>
      </c>
      <c r="G1004" s="3" t="s">
        <v>52</v>
      </c>
      <c r="H1004" s="3" t="s">
        <v>1227</v>
      </c>
      <c r="I1004" s="6">
        <v>46.69</v>
      </c>
      <c r="J1004" s="4">
        <v>4</v>
      </c>
      <c r="K1004" s="6">
        <v>-2.92</v>
      </c>
    </row>
    <row r="1005" spans="1:11" x14ac:dyDescent="0.3">
      <c r="A1005" s="7">
        <v>41889</v>
      </c>
      <c r="B1005" s="4">
        <f>YEAR(SalesData[[#This Row],[Order Date]])</f>
        <v>2014</v>
      </c>
      <c r="C1005" s="4">
        <f>MONTH(SalesData[[#This Row],[Order Date]])</f>
        <v>9</v>
      </c>
      <c r="D1005" s="3" t="s">
        <v>1223</v>
      </c>
      <c r="E1005" s="3" t="s">
        <v>10</v>
      </c>
      <c r="F1005" s="3" t="s">
        <v>11</v>
      </c>
      <c r="G1005" s="3" t="s">
        <v>24</v>
      </c>
      <c r="H1005" s="3" t="s">
        <v>147</v>
      </c>
      <c r="I1005" s="6">
        <v>21.86</v>
      </c>
      <c r="J1005" s="4">
        <v>3</v>
      </c>
      <c r="K1005" s="6">
        <v>3.55</v>
      </c>
    </row>
    <row r="1006" spans="1:11" x14ac:dyDescent="0.3">
      <c r="A1006" s="7">
        <v>41889</v>
      </c>
      <c r="B1006" s="4">
        <f>YEAR(SalesData[[#This Row],[Order Date]])</f>
        <v>2014</v>
      </c>
      <c r="C1006" s="4">
        <f>MONTH(SalesData[[#This Row],[Order Date]])</f>
        <v>9</v>
      </c>
      <c r="D1006" s="3" t="s">
        <v>301</v>
      </c>
      <c r="E1006" s="3" t="s">
        <v>840</v>
      </c>
      <c r="F1006" s="3" t="s">
        <v>34</v>
      </c>
      <c r="G1006" s="3" t="s">
        <v>145</v>
      </c>
      <c r="H1006" s="3" t="s">
        <v>473</v>
      </c>
      <c r="I1006" s="6">
        <v>429.9</v>
      </c>
      <c r="J1006" s="4">
        <v>5</v>
      </c>
      <c r="K1006" s="6">
        <v>111.77</v>
      </c>
    </row>
    <row r="1007" spans="1:11" x14ac:dyDescent="0.3">
      <c r="A1007" s="7">
        <v>41889</v>
      </c>
      <c r="B1007" s="4">
        <f>YEAR(SalesData[[#This Row],[Order Date]])</f>
        <v>2014</v>
      </c>
      <c r="C1007" s="4">
        <f>MONTH(SalesData[[#This Row],[Order Date]])</f>
        <v>9</v>
      </c>
      <c r="D1007" s="3" t="s">
        <v>301</v>
      </c>
      <c r="E1007" s="3" t="s">
        <v>840</v>
      </c>
      <c r="F1007" s="3" t="s">
        <v>11</v>
      </c>
      <c r="G1007" s="3" t="s">
        <v>20</v>
      </c>
      <c r="H1007" s="3" t="s">
        <v>1228</v>
      </c>
      <c r="I1007" s="6">
        <v>32.06</v>
      </c>
      <c r="J1007" s="4">
        <v>2</v>
      </c>
      <c r="K1007" s="6">
        <v>15.39</v>
      </c>
    </row>
    <row r="1008" spans="1:11" x14ac:dyDescent="0.3">
      <c r="A1008" s="7">
        <v>41889</v>
      </c>
      <c r="B1008" s="4">
        <f>YEAR(SalesData[[#This Row],[Order Date]])</f>
        <v>2014</v>
      </c>
      <c r="C1008" s="4">
        <f>MONTH(SalesData[[#This Row],[Order Date]])</f>
        <v>9</v>
      </c>
      <c r="D1008" s="3" t="s">
        <v>301</v>
      </c>
      <c r="E1008" s="3" t="s">
        <v>840</v>
      </c>
      <c r="F1008" s="3" t="s">
        <v>34</v>
      </c>
      <c r="G1008" s="3" t="s">
        <v>35</v>
      </c>
      <c r="H1008" s="3" t="s">
        <v>862</v>
      </c>
      <c r="I1008" s="6">
        <v>161.96</v>
      </c>
      <c r="J1008" s="4">
        <v>2</v>
      </c>
      <c r="K1008" s="6">
        <v>45.35</v>
      </c>
    </row>
    <row r="1009" spans="1:11" x14ac:dyDescent="0.3">
      <c r="A1009" s="7">
        <v>41889</v>
      </c>
      <c r="B1009" s="4">
        <f>YEAR(SalesData[[#This Row],[Order Date]])</f>
        <v>2014</v>
      </c>
      <c r="C1009" s="4">
        <f>MONTH(SalesData[[#This Row],[Order Date]])</f>
        <v>9</v>
      </c>
      <c r="D1009" s="3" t="s">
        <v>301</v>
      </c>
      <c r="E1009" s="3" t="s">
        <v>840</v>
      </c>
      <c r="F1009" s="3" t="s">
        <v>11</v>
      </c>
      <c r="G1009" s="3" t="s">
        <v>18</v>
      </c>
      <c r="H1009" s="3" t="s">
        <v>1229</v>
      </c>
      <c r="I1009" s="6">
        <v>19.86</v>
      </c>
      <c r="J1009" s="4">
        <v>2</v>
      </c>
      <c r="K1009" s="6">
        <v>5.76</v>
      </c>
    </row>
    <row r="1010" spans="1:11" x14ac:dyDescent="0.3">
      <c r="A1010" s="7">
        <v>41889</v>
      </c>
      <c r="B1010" s="4">
        <f>YEAR(SalesData[[#This Row],[Order Date]])</f>
        <v>2014</v>
      </c>
      <c r="C1010" s="4">
        <f>MONTH(SalesData[[#This Row],[Order Date]])</f>
        <v>9</v>
      </c>
      <c r="D1010" s="3" t="s">
        <v>1230</v>
      </c>
      <c r="E1010" s="3" t="s">
        <v>27</v>
      </c>
      <c r="F1010" s="3" t="s">
        <v>11</v>
      </c>
      <c r="G1010" s="3" t="s">
        <v>200</v>
      </c>
      <c r="H1010" s="3" t="s">
        <v>1231</v>
      </c>
      <c r="I1010" s="6">
        <v>27.36</v>
      </c>
      <c r="J1010" s="4">
        <v>4</v>
      </c>
      <c r="K1010" s="6">
        <v>7.39</v>
      </c>
    </row>
    <row r="1011" spans="1:11" x14ac:dyDescent="0.3">
      <c r="A1011" s="7">
        <v>41889</v>
      </c>
      <c r="B1011" s="4">
        <f>YEAR(SalesData[[#This Row],[Order Date]])</f>
        <v>2014</v>
      </c>
      <c r="C1011" s="4">
        <f>MONTH(SalesData[[#This Row],[Order Date]])</f>
        <v>9</v>
      </c>
      <c r="D1011" s="3" t="s">
        <v>1230</v>
      </c>
      <c r="E1011" s="3" t="s">
        <v>27</v>
      </c>
      <c r="F1011" s="3" t="s">
        <v>11</v>
      </c>
      <c r="G1011" s="3" t="s">
        <v>12</v>
      </c>
      <c r="H1011" s="3" t="s">
        <v>13</v>
      </c>
      <c r="I1011" s="6">
        <v>20.56</v>
      </c>
      <c r="J1011" s="4">
        <v>2</v>
      </c>
      <c r="K1011" s="6">
        <v>9.66</v>
      </c>
    </row>
    <row r="1012" spans="1:11" x14ac:dyDescent="0.3">
      <c r="A1012" s="7">
        <v>41889</v>
      </c>
      <c r="B1012" s="4">
        <f>YEAR(SalesData[[#This Row],[Order Date]])</f>
        <v>2014</v>
      </c>
      <c r="C1012" s="4">
        <f>MONTH(SalesData[[#This Row],[Order Date]])</f>
        <v>9</v>
      </c>
      <c r="D1012" s="3" t="s">
        <v>1230</v>
      </c>
      <c r="E1012" s="3" t="s">
        <v>27</v>
      </c>
      <c r="F1012" s="3" t="s">
        <v>11</v>
      </c>
      <c r="G1012" s="3" t="s">
        <v>20</v>
      </c>
      <c r="H1012" s="3" t="s">
        <v>1232</v>
      </c>
      <c r="I1012" s="6">
        <v>83.92</v>
      </c>
      <c r="J1012" s="4">
        <v>5</v>
      </c>
      <c r="K1012" s="6">
        <v>31.47</v>
      </c>
    </row>
    <row r="1013" spans="1:11" x14ac:dyDescent="0.3">
      <c r="A1013" s="7">
        <v>41889</v>
      </c>
      <c r="B1013" s="4">
        <f>YEAR(SalesData[[#This Row],[Order Date]])</f>
        <v>2014</v>
      </c>
      <c r="C1013" s="4">
        <f>MONTH(SalesData[[#This Row],[Order Date]])</f>
        <v>9</v>
      </c>
      <c r="D1013" s="3" t="s">
        <v>740</v>
      </c>
      <c r="E1013" s="3" t="s">
        <v>15</v>
      </c>
      <c r="F1013" s="3" t="s">
        <v>11</v>
      </c>
      <c r="G1013" s="3" t="s">
        <v>43</v>
      </c>
      <c r="H1013" s="3" t="s">
        <v>1233</v>
      </c>
      <c r="I1013" s="6">
        <v>13.16</v>
      </c>
      <c r="J1013" s="4">
        <v>5</v>
      </c>
      <c r="K1013" s="6">
        <v>4.1100000000000003</v>
      </c>
    </row>
    <row r="1014" spans="1:11" x14ac:dyDescent="0.3">
      <c r="A1014" s="7">
        <v>41889</v>
      </c>
      <c r="B1014" s="4">
        <f>YEAR(SalesData[[#This Row],[Order Date]])</f>
        <v>2014</v>
      </c>
      <c r="C1014" s="4">
        <f>MONTH(SalesData[[#This Row],[Order Date]])</f>
        <v>9</v>
      </c>
      <c r="D1014" s="3" t="s">
        <v>740</v>
      </c>
      <c r="E1014" s="3" t="s">
        <v>15</v>
      </c>
      <c r="F1014" s="3" t="s">
        <v>11</v>
      </c>
      <c r="G1014" s="3" t="s">
        <v>20</v>
      </c>
      <c r="H1014" s="3" t="s">
        <v>682</v>
      </c>
      <c r="I1014" s="6">
        <v>3.83</v>
      </c>
      <c r="J1014" s="4">
        <v>3</v>
      </c>
      <c r="K1014" s="6">
        <v>-6.51</v>
      </c>
    </row>
    <row r="1015" spans="1:11" x14ac:dyDescent="0.3">
      <c r="A1015" s="7">
        <v>41889</v>
      </c>
      <c r="B1015" s="4">
        <f>YEAR(SalesData[[#This Row],[Order Date]])</f>
        <v>2014</v>
      </c>
      <c r="C1015" s="4">
        <f>MONTH(SalesData[[#This Row],[Order Date]])</f>
        <v>9</v>
      </c>
      <c r="D1015" s="3" t="s">
        <v>740</v>
      </c>
      <c r="E1015" s="3" t="s">
        <v>15</v>
      </c>
      <c r="F1015" s="3" t="s">
        <v>11</v>
      </c>
      <c r="G1015" s="3" t="s">
        <v>20</v>
      </c>
      <c r="H1015" s="3" t="s">
        <v>37</v>
      </c>
      <c r="I1015" s="6">
        <v>304.99</v>
      </c>
      <c r="J1015" s="4">
        <v>5</v>
      </c>
      <c r="K1015" s="6">
        <v>-533.73</v>
      </c>
    </row>
    <row r="1016" spans="1:11" x14ac:dyDescent="0.3">
      <c r="A1016" s="7">
        <v>41890</v>
      </c>
      <c r="B1016" s="4">
        <f>YEAR(SalesData[[#This Row],[Order Date]])</f>
        <v>2014</v>
      </c>
      <c r="C1016" s="4">
        <f>MONTH(SalesData[[#This Row],[Order Date]])</f>
        <v>9</v>
      </c>
      <c r="D1016" s="3" t="s">
        <v>1234</v>
      </c>
      <c r="E1016" s="3" t="s">
        <v>10</v>
      </c>
      <c r="F1016" s="3" t="s">
        <v>11</v>
      </c>
      <c r="G1016" s="3" t="s">
        <v>24</v>
      </c>
      <c r="H1016" s="3" t="s">
        <v>1235</v>
      </c>
      <c r="I1016" s="6">
        <v>9.94</v>
      </c>
      <c r="J1016" s="4">
        <v>3</v>
      </c>
      <c r="K1016" s="6">
        <v>2.73</v>
      </c>
    </row>
    <row r="1017" spans="1:11" x14ac:dyDescent="0.3">
      <c r="A1017" s="7">
        <v>41890</v>
      </c>
      <c r="B1017" s="4">
        <f>YEAR(SalesData[[#This Row],[Order Date]])</f>
        <v>2014</v>
      </c>
      <c r="C1017" s="4">
        <f>MONTH(SalesData[[#This Row],[Order Date]])</f>
        <v>9</v>
      </c>
      <c r="D1017" s="3" t="s">
        <v>1234</v>
      </c>
      <c r="E1017" s="3" t="s">
        <v>10</v>
      </c>
      <c r="F1017" s="3" t="s">
        <v>39</v>
      </c>
      <c r="G1017" s="3" t="s">
        <v>302</v>
      </c>
      <c r="H1017" s="3" t="s">
        <v>1236</v>
      </c>
      <c r="I1017" s="6">
        <v>8159.95</v>
      </c>
      <c r="J1017" s="4">
        <v>8</v>
      </c>
      <c r="K1017" s="6">
        <v>-1359.99</v>
      </c>
    </row>
    <row r="1018" spans="1:11" x14ac:dyDescent="0.3">
      <c r="A1018" s="7">
        <v>41890</v>
      </c>
      <c r="B1018" s="4">
        <f>YEAR(SalesData[[#This Row],[Order Date]])</f>
        <v>2014</v>
      </c>
      <c r="C1018" s="4">
        <f>MONTH(SalesData[[#This Row],[Order Date]])</f>
        <v>9</v>
      </c>
      <c r="D1018" s="3" t="s">
        <v>1234</v>
      </c>
      <c r="E1018" s="3" t="s">
        <v>10</v>
      </c>
      <c r="F1018" s="3" t="s">
        <v>11</v>
      </c>
      <c r="G1018" s="3" t="s">
        <v>18</v>
      </c>
      <c r="H1018" s="3" t="s">
        <v>153</v>
      </c>
      <c r="I1018" s="6">
        <v>275.93</v>
      </c>
      <c r="J1018" s="4">
        <v>3</v>
      </c>
      <c r="K1018" s="6">
        <v>-58.63</v>
      </c>
    </row>
    <row r="1019" spans="1:11" x14ac:dyDescent="0.3">
      <c r="A1019" s="7">
        <v>41890</v>
      </c>
      <c r="B1019" s="4">
        <f>YEAR(SalesData[[#This Row],[Order Date]])</f>
        <v>2014</v>
      </c>
      <c r="C1019" s="4">
        <f>MONTH(SalesData[[#This Row],[Order Date]])</f>
        <v>9</v>
      </c>
      <c r="D1019" s="3" t="s">
        <v>1234</v>
      </c>
      <c r="E1019" s="3" t="s">
        <v>10</v>
      </c>
      <c r="F1019" s="3" t="s">
        <v>34</v>
      </c>
      <c r="G1019" s="3" t="s">
        <v>35</v>
      </c>
      <c r="H1019" s="3" t="s">
        <v>1237</v>
      </c>
      <c r="I1019" s="6">
        <v>1740.06</v>
      </c>
      <c r="J1019" s="4">
        <v>9</v>
      </c>
      <c r="K1019" s="6">
        <v>-24.86</v>
      </c>
    </row>
    <row r="1020" spans="1:11" x14ac:dyDescent="0.3">
      <c r="A1020" s="7">
        <v>41890</v>
      </c>
      <c r="B1020" s="4">
        <f>YEAR(SalesData[[#This Row],[Order Date]])</f>
        <v>2014</v>
      </c>
      <c r="C1020" s="4">
        <f>MONTH(SalesData[[#This Row],[Order Date]])</f>
        <v>9</v>
      </c>
      <c r="D1020" s="3" t="s">
        <v>1234</v>
      </c>
      <c r="E1020" s="3" t="s">
        <v>10</v>
      </c>
      <c r="F1020" s="3" t="s">
        <v>11</v>
      </c>
      <c r="G1020" s="3" t="s">
        <v>24</v>
      </c>
      <c r="H1020" s="3" t="s">
        <v>779</v>
      </c>
      <c r="I1020" s="6">
        <v>32.06</v>
      </c>
      <c r="J1020" s="4">
        <v>6</v>
      </c>
      <c r="K1020" s="6">
        <v>6.81</v>
      </c>
    </row>
    <row r="1021" spans="1:11" x14ac:dyDescent="0.3">
      <c r="A1021" s="7">
        <v>41890</v>
      </c>
      <c r="B1021" s="4">
        <f>YEAR(SalesData[[#This Row],[Order Date]])</f>
        <v>2014</v>
      </c>
      <c r="C1021" s="4">
        <f>MONTH(SalesData[[#This Row],[Order Date]])</f>
        <v>9</v>
      </c>
      <c r="D1021" s="3" t="s">
        <v>1234</v>
      </c>
      <c r="E1021" s="3" t="s">
        <v>10</v>
      </c>
      <c r="F1021" s="3" t="s">
        <v>11</v>
      </c>
      <c r="G1021" s="3" t="s">
        <v>92</v>
      </c>
      <c r="H1021" s="3" t="s">
        <v>1238</v>
      </c>
      <c r="I1021" s="6">
        <v>177.98</v>
      </c>
      <c r="J1021" s="4">
        <v>5</v>
      </c>
      <c r="K1021" s="6">
        <v>-453.85</v>
      </c>
    </row>
    <row r="1022" spans="1:11" x14ac:dyDescent="0.3">
      <c r="A1022" s="7">
        <v>41890</v>
      </c>
      <c r="B1022" s="4">
        <f>YEAR(SalesData[[#This Row],[Order Date]])</f>
        <v>2014</v>
      </c>
      <c r="C1022" s="4">
        <f>MONTH(SalesData[[#This Row],[Order Date]])</f>
        <v>9</v>
      </c>
      <c r="D1022" s="3" t="s">
        <v>1234</v>
      </c>
      <c r="E1022" s="3" t="s">
        <v>10</v>
      </c>
      <c r="F1022" s="3" t="s">
        <v>39</v>
      </c>
      <c r="G1022" s="3" t="s">
        <v>40</v>
      </c>
      <c r="H1022" s="3" t="s">
        <v>1239</v>
      </c>
      <c r="I1022" s="6">
        <v>143.97999999999999</v>
      </c>
      <c r="J1022" s="4">
        <v>3</v>
      </c>
      <c r="K1022" s="6">
        <v>9</v>
      </c>
    </row>
    <row r="1023" spans="1:11" x14ac:dyDescent="0.3">
      <c r="A1023" s="7">
        <v>41890</v>
      </c>
      <c r="B1023" s="4">
        <f>YEAR(SalesData[[#This Row],[Order Date]])</f>
        <v>2014</v>
      </c>
      <c r="C1023" s="4">
        <f>MONTH(SalesData[[#This Row],[Order Date]])</f>
        <v>9</v>
      </c>
      <c r="D1023" s="3" t="s">
        <v>1074</v>
      </c>
      <c r="E1023" s="3" t="s">
        <v>27</v>
      </c>
      <c r="F1023" s="3" t="s">
        <v>39</v>
      </c>
      <c r="G1023" s="3" t="s">
        <v>52</v>
      </c>
      <c r="H1023" s="3" t="s">
        <v>1240</v>
      </c>
      <c r="I1023" s="6">
        <v>49.98</v>
      </c>
      <c r="J1023" s="4">
        <v>2</v>
      </c>
      <c r="K1023" s="6">
        <v>8.5</v>
      </c>
    </row>
    <row r="1024" spans="1:11" x14ac:dyDescent="0.3">
      <c r="A1024" s="7">
        <v>41890</v>
      </c>
      <c r="B1024" s="4">
        <f>YEAR(SalesData[[#This Row],[Order Date]])</f>
        <v>2014</v>
      </c>
      <c r="C1024" s="4">
        <f>MONTH(SalesData[[#This Row],[Order Date]])</f>
        <v>9</v>
      </c>
      <c r="D1024" s="3" t="s">
        <v>1241</v>
      </c>
      <c r="E1024" s="3" t="s">
        <v>10</v>
      </c>
      <c r="F1024" s="3" t="s">
        <v>11</v>
      </c>
      <c r="G1024" s="3" t="s">
        <v>20</v>
      </c>
      <c r="H1024" s="3" t="s">
        <v>697</v>
      </c>
      <c r="I1024" s="6">
        <v>51.18</v>
      </c>
      <c r="J1024" s="4">
        <v>4</v>
      </c>
      <c r="K1024" s="6">
        <v>-79.34</v>
      </c>
    </row>
    <row r="1025" spans="1:11" x14ac:dyDescent="0.3">
      <c r="A1025" s="7">
        <v>41890</v>
      </c>
      <c r="B1025" s="4">
        <f>YEAR(SalesData[[#This Row],[Order Date]])</f>
        <v>2014</v>
      </c>
      <c r="C1025" s="4">
        <f>MONTH(SalesData[[#This Row],[Order Date]])</f>
        <v>9</v>
      </c>
      <c r="D1025" s="3" t="s">
        <v>1242</v>
      </c>
      <c r="E1025" s="3" t="s">
        <v>30</v>
      </c>
      <c r="F1025" s="3" t="s">
        <v>39</v>
      </c>
      <c r="G1025" s="3" t="s">
        <v>52</v>
      </c>
      <c r="H1025" s="3" t="s">
        <v>1243</v>
      </c>
      <c r="I1025" s="6">
        <v>32.97</v>
      </c>
      <c r="J1025" s="4">
        <v>3</v>
      </c>
      <c r="K1025" s="6">
        <v>12.86</v>
      </c>
    </row>
    <row r="1026" spans="1:11" x14ac:dyDescent="0.3">
      <c r="A1026" s="7">
        <v>41890</v>
      </c>
      <c r="B1026" s="4">
        <f>YEAR(SalesData[[#This Row],[Order Date]])</f>
        <v>2014</v>
      </c>
      <c r="C1026" s="4">
        <f>MONTH(SalesData[[#This Row],[Order Date]])</f>
        <v>9</v>
      </c>
      <c r="D1026" s="3" t="s">
        <v>1242</v>
      </c>
      <c r="E1026" s="3" t="s">
        <v>30</v>
      </c>
      <c r="F1026" s="3" t="s">
        <v>39</v>
      </c>
      <c r="G1026" s="3" t="s">
        <v>52</v>
      </c>
      <c r="H1026" s="3" t="s">
        <v>986</v>
      </c>
      <c r="I1026" s="6">
        <v>83.88</v>
      </c>
      <c r="J1026" s="4">
        <v>4</v>
      </c>
      <c r="K1026" s="6">
        <v>30.2</v>
      </c>
    </row>
    <row r="1027" spans="1:11" x14ac:dyDescent="0.3">
      <c r="A1027" s="7">
        <v>41890</v>
      </c>
      <c r="B1027" s="4">
        <f>YEAR(SalesData[[#This Row],[Order Date]])</f>
        <v>2014</v>
      </c>
      <c r="C1027" s="4">
        <f>MONTH(SalesData[[#This Row],[Order Date]])</f>
        <v>9</v>
      </c>
      <c r="D1027" s="3" t="s">
        <v>910</v>
      </c>
      <c r="E1027" s="3" t="s">
        <v>27</v>
      </c>
      <c r="F1027" s="3" t="s">
        <v>11</v>
      </c>
      <c r="G1027" s="3" t="s">
        <v>92</v>
      </c>
      <c r="H1027" s="3" t="s">
        <v>1244</v>
      </c>
      <c r="I1027" s="6">
        <v>56.65</v>
      </c>
      <c r="J1027" s="4">
        <v>5</v>
      </c>
      <c r="K1027" s="6">
        <v>24.36</v>
      </c>
    </row>
    <row r="1028" spans="1:11" x14ac:dyDescent="0.3">
      <c r="A1028" s="7">
        <v>41890</v>
      </c>
      <c r="B1028" s="4">
        <f>YEAR(SalesData[[#This Row],[Order Date]])</f>
        <v>2014</v>
      </c>
      <c r="C1028" s="4">
        <f>MONTH(SalesData[[#This Row],[Order Date]])</f>
        <v>9</v>
      </c>
      <c r="D1028" s="3" t="s">
        <v>910</v>
      </c>
      <c r="E1028" s="3" t="s">
        <v>27</v>
      </c>
      <c r="F1028" s="3" t="s">
        <v>11</v>
      </c>
      <c r="G1028" s="3" t="s">
        <v>18</v>
      </c>
      <c r="H1028" s="3" t="s">
        <v>1245</v>
      </c>
      <c r="I1028" s="6">
        <v>14.97</v>
      </c>
      <c r="J1028" s="4">
        <v>1</v>
      </c>
      <c r="K1028" s="6">
        <v>4.1900000000000004</v>
      </c>
    </row>
    <row r="1029" spans="1:11" x14ac:dyDescent="0.3">
      <c r="A1029" s="7">
        <v>41890</v>
      </c>
      <c r="B1029" s="4">
        <f>YEAR(SalesData[[#This Row],[Order Date]])</f>
        <v>2014</v>
      </c>
      <c r="C1029" s="4">
        <f>MONTH(SalesData[[#This Row],[Order Date]])</f>
        <v>9</v>
      </c>
      <c r="D1029" s="3" t="s">
        <v>910</v>
      </c>
      <c r="E1029" s="3" t="s">
        <v>27</v>
      </c>
      <c r="F1029" s="3" t="s">
        <v>11</v>
      </c>
      <c r="G1029" s="3" t="s">
        <v>43</v>
      </c>
      <c r="H1029" s="3" t="s">
        <v>1246</v>
      </c>
      <c r="I1029" s="6">
        <v>4.0199999999999996</v>
      </c>
      <c r="J1029" s="4">
        <v>2</v>
      </c>
      <c r="K1029" s="6">
        <v>1.97</v>
      </c>
    </row>
    <row r="1030" spans="1:11" x14ac:dyDescent="0.3">
      <c r="A1030" s="7">
        <v>41890</v>
      </c>
      <c r="B1030" s="4">
        <f>YEAR(SalesData[[#This Row],[Order Date]])</f>
        <v>2014</v>
      </c>
      <c r="C1030" s="4">
        <f>MONTH(SalesData[[#This Row],[Order Date]])</f>
        <v>9</v>
      </c>
      <c r="D1030" s="3" t="s">
        <v>677</v>
      </c>
      <c r="E1030" s="3" t="s">
        <v>55</v>
      </c>
      <c r="F1030" s="3" t="s">
        <v>11</v>
      </c>
      <c r="G1030" s="3" t="s">
        <v>43</v>
      </c>
      <c r="H1030" s="3" t="s">
        <v>1247</v>
      </c>
      <c r="I1030" s="6">
        <v>45</v>
      </c>
      <c r="J1030" s="4">
        <v>9</v>
      </c>
      <c r="K1030" s="6">
        <v>21.6</v>
      </c>
    </row>
    <row r="1031" spans="1:11" x14ac:dyDescent="0.3">
      <c r="A1031" s="7">
        <v>41890</v>
      </c>
      <c r="B1031" s="4">
        <f>YEAR(SalesData[[#This Row],[Order Date]])</f>
        <v>2014</v>
      </c>
      <c r="C1031" s="4">
        <f>MONTH(SalesData[[#This Row],[Order Date]])</f>
        <v>9</v>
      </c>
      <c r="D1031" s="3" t="s">
        <v>677</v>
      </c>
      <c r="E1031" s="3" t="s">
        <v>55</v>
      </c>
      <c r="F1031" s="3" t="s">
        <v>39</v>
      </c>
      <c r="G1031" s="3" t="s">
        <v>302</v>
      </c>
      <c r="H1031" s="3" t="s">
        <v>1248</v>
      </c>
      <c r="I1031" s="6">
        <v>209.97</v>
      </c>
      <c r="J1031" s="4">
        <v>3</v>
      </c>
      <c r="K1031" s="6">
        <v>90.29</v>
      </c>
    </row>
    <row r="1032" spans="1:11" x14ac:dyDescent="0.3">
      <c r="A1032" s="7">
        <v>41890</v>
      </c>
      <c r="B1032" s="4">
        <f>YEAR(SalesData[[#This Row],[Order Date]])</f>
        <v>2014</v>
      </c>
      <c r="C1032" s="4">
        <f>MONTH(SalesData[[#This Row],[Order Date]])</f>
        <v>9</v>
      </c>
      <c r="D1032" s="3" t="s">
        <v>1249</v>
      </c>
      <c r="E1032" s="3" t="s">
        <v>149</v>
      </c>
      <c r="F1032" s="3" t="s">
        <v>11</v>
      </c>
      <c r="G1032" s="3" t="s">
        <v>92</v>
      </c>
      <c r="H1032" s="3" t="s">
        <v>1250</v>
      </c>
      <c r="I1032" s="6">
        <v>16.78</v>
      </c>
      <c r="J1032" s="4">
        <v>2</v>
      </c>
      <c r="K1032" s="6">
        <v>4.2</v>
      </c>
    </row>
    <row r="1033" spans="1:11" x14ac:dyDescent="0.3">
      <c r="A1033" s="7">
        <v>41890</v>
      </c>
      <c r="B1033" s="4">
        <f>YEAR(SalesData[[#This Row],[Order Date]])</f>
        <v>2014</v>
      </c>
      <c r="C1033" s="4">
        <f>MONTH(SalesData[[#This Row],[Order Date]])</f>
        <v>9</v>
      </c>
      <c r="D1033" s="3" t="s">
        <v>1251</v>
      </c>
      <c r="E1033" s="3" t="s">
        <v>164</v>
      </c>
      <c r="F1033" s="3" t="s">
        <v>11</v>
      </c>
      <c r="G1033" s="3" t="s">
        <v>24</v>
      </c>
      <c r="H1033" s="3" t="s">
        <v>1252</v>
      </c>
      <c r="I1033" s="6">
        <v>5.88</v>
      </c>
      <c r="J1033" s="4">
        <v>2</v>
      </c>
      <c r="K1033" s="6">
        <v>2.65</v>
      </c>
    </row>
    <row r="1034" spans="1:11" x14ac:dyDescent="0.3">
      <c r="A1034" s="7">
        <v>41890</v>
      </c>
      <c r="B1034" s="4">
        <f>YEAR(SalesData[[#This Row],[Order Date]])</f>
        <v>2014</v>
      </c>
      <c r="C1034" s="4">
        <f>MONTH(SalesData[[#This Row],[Order Date]])</f>
        <v>9</v>
      </c>
      <c r="D1034" s="3" t="s">
        <v>1251</v>
      </c>
      <c r="E1034" s="3" t="s">
        <v>164</v>
      </c>
      <c r="F1034" s="3" t="s">
        <v>34</v>
      </c>
      <c r="G1034" s="3" t="s">
        <v>35</v>
      </c>
      <c r="H1034" s="3" t="s">
        <v>864</v>
      </c>
      <c r="I1034" s="6">
        <v>975.92</v>
      </c>
      <c r="J1034" s="4">
        <v>5</v>
      </c>
      <c r="K1034" s="6">
        <v>121.99</v>
      </c>
    </row>
    <row r="1035" spans="1:11" x14ac:dyDescent="0.3">
      <c r="A1035" s="7">
        <v>41890</v>
      </c>
      <c r="B1035" s="4">
        <f>YEAR(SalesData[[#This Row],[Order Date]])</f>
        <v>2014</v>
      </c>
      <c r="C1035" s="4">
        <f>MONTH(SalesData[[#This Row],[Order Date]])</f>
        <v>9</v>
      </c>
      <c r="D1035" s="3" t="s">
        <v>1251</v>
      </c>
      <c r="E1035" s="3" t="s">
        <v>164</v>
      </c>
      <c r="F1035" s="3" t="s">
        <v>11</v>
      </c>
      <c r="G1035" s="3" t="s">
        <v>24</v>
      </c>
      <c r="H1035" s="3" t="s">
        <v>1253</v>
      </c>
      <c r="I1035" s="6">
        <v>303.83999999999997</v>
      </c>
      <c r="J1035" s="4">
        <v>8</v>
      </c>
      <c r="K1035" s="6">
        <v>91.15</v>
      </c>
    </row>
    <row r="1036" spans="1:11" x14ac:dyDescent="0.3">
      <c r="A1036" s="7">
        <v>41890</v>
      </c>
      <c r="B1036" s="4">
        <f>YEAR(SalesData[[#This Row],[Order Date]])</f>
        <v>2014</v>
      </c>
      <c r="C1036" s="4">
        <f>MONTH(SalesData[[#This Row],[Order Date]])</f>
        <v>9</v>
      </c>
      <c r="D1036" s="3" t="s">
        <v>1251</v>
      </c>
      <c r="E1036" s="3" t="s">
        <v>164</v>
      </c>
      <c r="F1036" s="3" t="s">
        <v>11</v>
      </c>
      <c r="G1036" s="3" t="s">
        <v>18</v>
      </c>
      <c r="H1036" s="3" t="s">
        <v>297</v>
      </c>
      <c r="I1036" s="6">
        <v>485.88</v>
      </c>
      <c r="J1036" s="4">
        <v>6</v>
      </c>
      <c r="K1036" s="6">
        <v>19.440000000000001</v>
      </c>
    </row>
    <row r="1037" spans="1:11" x14ac:dyDescent="0.3">
      <c r="A1037" s="7">
        <v>41890</v>
      </c>
      <c r="B1037" s="4">
        <f>YEAR(SalesData[[#This Row],[Order Date]])</f>
        <v>2014</v>
      </c>
      <c r="C1037" s="4">
        <f>MONTH(SalesData[[#This Row],[Order Date]])</f>
        <v>9</v>
      </c>
      <c r="D1037" s="3" t="s">
        <v>1254</v>
      </c>
      <c r="E1037" s="3" t="s">
        <v>10</v>
      </c>
      <c r="F1037" s="3" t="s">
        <v>11</v>
      </c>
      <c r="G1037" s="3" t="s">
        <v>12</v>
      </c>
      <c r="H1037" s="3" t="s">
        <v>276</v>
      </c>
      <c r="I1037" s="6">
        <v>17.899999999999999</v>
      </c>
      <c r="J1037" s="4">
        <v>2</v>
      </c>
      <c r="K1037" s="6">
        <v>6.27</v>
      </c>
    </row>
    <row r="1038" spans="1:11" x14ac:dyDescent="0.3">
      <c r="A1038" s="7">
        <v>41890</v>
      </c>
      <c r="B1038" s="4">
        <f>YEAR(SalesData[[#This Row],[Order Date]])</f>
        <v>2014</v>
      </c>
      <c r="C1038" s="4">
        <f>MONTH(SalesData[[#This Row],[Order Date]])</f>
        <v>9</v>
      </c>
      <c r="D1038" s="3" t="s">
        <v>1254</v>
      </c>
      <c r="E1038" s="3" t="s">
        <v>10</v>
      </c>
      <c r="F1038" s="3" t="s">
        <v>34</v>
      </c>
      <c r="G1038" s="3" t="s">
        <v>35</v>
      </c>
      <c r="H1038" s="3" t="s">
        <v>1237</v>
      </c>
      <c r="I1038" s="6">
        <v>966.7</v>
      </c>
      <c r="J1038" s="4">
        <v>5</v>
      </c>
      <c r="K1038" s="6">
        <v>-13.81</v>
      </c>
    </row>
    <row r="1039" spans="1:11" x14ac:dyDescent="0.3">
      <c r="A1039" s="7">
        <v>41890</v>
      </c>
      <c r="B1039" s="4">
        <f>YEAR(SalesData[[#This Row],[Order Date]])</f>
        <v>2014</v>
      </c>
      <c r="C1039" s="4">
        <f>MONTH(SalesData[[#This Row],[Order Date]])</f>
        <v>9</v>
      </c>
      <c r="D1039" s="3" t="s">
        <v>1254</v>
      </c>
      <c r="E1039" s="3" t="s">
        <v>10</v>
      </c>
      <c r="F1039" s="3" t="s">
        <v>11</v>
      </c>
      <c r="G1039" s="3" t="s">
        <v>12</v>
      </c>
      <c r="H1039" s="3" t="s">
        <v>1255</v>
      </c>
      <c r="I1039" s="6">
        <v>182.11</v>
      </c>
      <c r="J1039" s="4">
        <v>6</v>
      </c>
      <c r="K1039" s="6">
        <v>61.46</v>
      </c>
    </row>
    <row r="1040" spans="1:11" x14ac:dyDescent="0.3">
      <c r="A1040" s="7">
        <v>41890</v>
      </c>
      <c r="B1040" s="4">
        <f>YEAR(SalesData[[#This Row],[Order Date]])</f>
        <v>2014</v>
      </c>
      <c r="C1040" s="4">
        <f>MONTH(SalesData[[#This Row],[Order Date]])</f>
        <v>9</v>
      </c>
      <c r="D1040" s="3" t="s">
        <v>1181</v>
      </c>
      <c r="E1040" s="3" t="s">
        <v>149</v>
      </c>
      <c r="F1040" s="3" t="s">
        <v>34</v>
      </c>
      <c r="G1040" s="3" t="s">
        <v>35</v>
      </c>
      <c r="H1040" s="3" t="s">
        <v>1256</v>
      </c>
      <c r="I1040" s="6">
        <v>172.76</v>
      </c>
      <c r="J1040" s="4">
        <v>2</v>
      </c>
      <c r="K1040" s="6">
        <v>13.44</v>
      </c>
    </row>
    <row r="1041" spans="1:11" x14ac:dyDescent="0.3">
      <c r="A1041" s="7">
        <v>41890</v>
      </c>
      <c r="B1041" s="4">
        <f>YEAR(SalesData[[#This Row],[Order Date]])</f>
        <v>2014</v>
      </c>
      <c r="C1041" s="4">
        <f>MONTH(SalesData[[#This Row],[Order Date]])</f>
        <v>9</v>
      </c>
      <c r="D1041" s="3" t="s">
        <v>1181</v>
      </c>
      <c r="E1041" s="3" t="s">
        <v>149</v>
      </c>
      <c r="F1041" s="3" t="s">
        <v>11</v>
      </c>
      <c r="G1041" s="3" t="s">
        <v>24</v>
      </c>
      <c r="H1041" s="3" t="s">
        <v>841</v>
      </c>
      <c r="I1041" s="6">
        <v>3.52</v>
      </c>
      <c r="J1041" s="4">
        <v>2</v>
      </c>
      <c r="K1041" s="6">
        <v>1.69</v>
      </c>
    </row>
    <row r="1042" spans="1:11" x14ac:dyDescent="0.3">
      <c r="A1042" s="7">
        <v>41890</v>
      </c>
      <c r="B1042" s="4">
        <f>YEAR(SalesData[[#This Row],[Order Date]])</f>
        <v>2014</v>
      </c>
      <c r="C1042" s="4">
        <f>MONTH(SalesData[[#This Row],[Order Date]])</f>
        <v>9</v>
      </c>
      <c r="D1042" s="3" t="s">
        <v>94</v>
      </c>
      <c r="E1042" s="3" t="s">
        <v>27</v>
      </c>
      <c r="F1042" s="3" t="s">
        <v>11</v>
      </c>
      <c r="G1042" s="3" t="s">
        <v>20</v>
      </c>
      <c r="H1042" s="3" t="s">
        <v>1257</v>
      </c>
      <c r="I1042" s="6">
        <v>8.61</v>
      </c>
      <c r="J1042" s="4">
        <v>2</v>
      </c>
      <c r="K1042" s="6">
        <v>3.01</v>
      </c>
    </row>
    <row r="1043" spans="1:11" x14ac:dyDescent="0.3">
      <c r="A1043" s="7">
        <v>41891</v>
      </c>
      <c r="B1043" s="4">
        <f>YEAR(SalesData[[#This Row],[Order Date]])</f>
        <v>2014</v>
      </c>
      <c r="C1043" s="4">
        <f>MONTH(SalesData[[#This Row],[Order Date]])</f>
        <v>9</v>
      </c>
      <c r="D1043" s="3" t="s">
        <v>1258</v>
      </c>
      <c r="E1043" s="3" t="s">
        <v>110</v>
      </c>
      <c r="F1043" s="3" t="s">
        <v>11</v>
      </c>
      <c r="G1043" s="3" t="s">
        <v>16</v>
      </c>
      <c r="H1043" s="3" t="s">
        <v>1259</v>
      </c>
      <c r="I1043" s="6">
        <v>103.6</v>
      </c>
      <c r="J1043" s="4">
        <v>7</v>
      </c>
      <c r="K1043" s="6">
        <v>51.8</v>
      </c>
    </row>
    <row r="1044" spans="1:11" x14ac:dyDescent="0.3">
      <c r="A1044" s="7">
        <v>41891</v>
      </c>
      <c r="B1044" s="4">
        <f>YEAR(SalesData[[#This Row],[Order Date]])</f>
        <v>2014</v>
      </c>
      <c r="C1044" s="4">
        <f>MONTH(SalesData[[#This Row],[Order Date]])</f>
        <v>9</v>
      </c>
      <c r="D1044" s="3" t="s">
        <v>1260</v>
      </c>
      <c r="E1044" s="3" t="s">
        <v>434</v>
      </c>
      <c r="F1044" s="3" t="s">
        <v>11</v>
      </c>
      <c r="G1044" s="3" t="s">
        <v>12</v>
      </c>
      <c r="H1044" s="3" t="s">
        <v>896</v>
      </c>
      <c r="I1044" s="6">
        <v>166.44</v>
      </c>
      <c r="J1044" s="4">
        <v>3</v>
      </c>
      <c r="K1044" s="6">
        <v>79.89</v>
      </c>
    </row>
    <row r="1045" spans="1:11" x14ac:dyDescent="0.3">
      <c r="A1045" s="7">
        <v>41891</v>
      </c>
      <c r="B1045" s="4">
        <f>YEAR(SalesData[[#This Row],[Order Date]])</f>
        <v>2014</v>
      </c>
      <c r="C1045" s="4">
        <f>MONTH(SalesData[[#This Row],[Order Date]])</f>
        <v>9</v>
      </c>
      <c r="D1045" s="3" t="s">
        <v>1260</v>
      </c>
      <c r="E1045" s="3" t="s">
        <v>434</v>
      </c>
      <c r="F1045" s="3" t="s">
        <v>34</v>
      </c>
      <c r="G1045" s="3" t="s">
        <v>35</v>
      </c>
      <c r="H1045" s="3" t="s">
        <v>1261</v>
      </c>
      <c r="I1045" s="6">
        <v>785.88</v>
      </c>
      <c r="J1045" s="4">
        <v>6</v>
      </c>
      <c r="K1045" s="6">
        <v>212.19</v>
      </c>
    </row>
    <row r="1046" spans="1:11" x14ac:dyDescent="0.3">
      <c r="A1046" s="7">
        <v>41891</v>
      </c>
      <c r="B1046" s="4">
        <f>YEAR(SalesData[[#This Row],[Order Date]])</f>
        <v>2014</v>
      </c>
      <c r="C1046" s="4">
        <f>MONTH(SalesData[[#This Row],[Order Date]])</f>
        <v>9</v>
      </c>
      <c r="D1046" s="3" t="s">
        <v>1260</v>
      </c>
      <c r="E1046" s="3" t="s">
        <v>434</v>
      </c>
      <c r="F1046" s="3" t="s">
        <v>11</v>
      </c>
      <c r="G1046" s="3" t="s">
        <v>12</v>
      </c>
      <c r="H1046" s="3" t="s">
        <v>1262</v>
      </c>
      <c r="I1046" s="6">
        <v>26.2</v>
      </c>
      <c r="J1046" s="4">
        <v>2</v>
      </c>
      <c r="K1046" s="6">
        <v>12.84</v>
      </c>
    </row>
    <row r="1047" spans="1:11" x14ac:dyDescent="0.3">
      <c r="A1047" s="7">
        <v>41891</v>
      </c>
      <c r="B1047" s="4">
        <f>YEAR(SalesData[[#This Row],[Order Date]])</f>
        <v>2014</v>
      </c>
      <c r="C1047" s="4">
        <f>MONTH(SalesData[[#This Row],[Order Date]])</f>
        <v>9</v>
      </c>
      <c r="D1047" s="3" t="s">
        <v>1260</v>
      </c>
      <c r="E1047" s="3" t="s">
        <v>434</v>
      </c>
      <c r="F1047" s="3" t="s">
        <v>11</v>
      </c>
      <c r="G1047" s="3" t="s">
        <v>18</v>
      </c>
      <c r="H1047" s="3" t="s">
        <v>73</v>
      </c>
      <c r="I1047" s="6">
        <v>1325.85</v>
      </c>
      <c r="J1047" s="4">
        <v>5</v>
      </c>
      <c r="K1047" s="6">
        <v>238.65</v>
      </c>
    </row>
    <row r="1048" spans="1:11" x14ac:dyDescent="0.3">
      <c r="A1048" s="7">
        <v>41891</v>
      </c>
      <c r="B1048" s="4">
        <f>YEAR(SalesData[[#This Row],[Order Date]])</f>
        <v>2014</v>
      </c>
      <c r="C1048" s="4">
        <f>MONTH(SalesData[[#This Row],[Order Date]])</f>
        <v>9</v>
      </c>
      <c r="D1048" s="3" t="s">
        <v>1263</v>
      </c>
      <c r="E1048" s="3" t="s">
        <v>23</v>
      </c>
      <c r="F1048" s="3" t="s">
        <v>11</v>
      </c>
      <c r="G1048" s="3" t="s">
        <v>12</v>
      </c>
      <c r="H1048" s="3" t="s">
        <v>1264</v>
      </c>
      <c r="I1048" s="6">
        <v>15.55</v>
      </c>
      <c r="J1048" s="4">
        <v>3</v>
      </c>
      <c r="K1048" s="6">
        <v>5.44</v>
      </c>
    </row>
    <row r="1049" spans="1:11" x14ac:dyDescent="0.3">
      <c r="A1049" s="7">
        <v>41891</v>
      </c>
      <c r="B1049" s="4">
        <f>YEAR(SalesData[[#This Row],[Order Date]])</f>
        <v>2014</v>
      </c>
      <c r="C1049" s="4">
        <f>MONTH(SalesData[[#This Row],[Order Date]])</f>
        <v>9</v>
      </c>
      <c r="D1049" s="3" t="s">
        <v>1263</v>
      </c>
      <c r="E1049" s="3" t="s">
        <v>23</v>
      </c>
      <c r="F1049" s="3" t="s">
        <v>39</v>
      </c>
      <c r="G1049" s="3" t="s">
        <v>52</v>
      </c>
      <c r="H1049" s="3" t="s">
        <v>1265</v>
      </c>
      <c r="I1049" s="6">
        <v>64.7</v>
      </c>
      <c r="J1049" s="4">
        <v>6</v>
      </c>
      <c r="K1049" s="6">
        <v>-4.8499999999999996</v>
      </c>
    </row>
    <row r="1050" spans="1:11" x14ac:dyDescent="0.3">
      <c r="A1050" s="7">
        <v>41891</v>
      </c>
      <c r="B1050" s="4">
        <f>YEAR(SalesData[[#This Row],[Order Date]])</f>
        <v>2014</v>
      </c>
      <c r="C1050" s="4">
        <f>MONTH(SalesData[[#This Row],[Order Date]])</f>
        <v>9</v>
      </c>
      <c r="D1050" s="3" t="s">
        <v>1263</v>
      </c>
      <c r="E1050" s="3" t="s">
        <v>23</v>
      </c>
      <c r="F1050" s="3" t="s">
        <v>34</v>
      </c>
      <c r="G1050" s="3" t="s">
        <v>47</v>
      </c>
      <c r="H1050" s="3" t="s">
        <v>1188</v>
      </c>
      <c r="I1050" s="6">
        <v>17.47</v>
      </c>
      <c r="J1050" s="4">
        <v>3</v>
      </c>
      <c r="K1050" s="6">
        <v>5.0199999999999996</v>
      </c>
    </row>
    <row r="1051" spans="1:11" x14ac:dyDescent="0.3">
      <c r="A1051" s="7">
        <v>41891</v>
      </c>
      <c r="B1051" s="4">
        <f>YEAR(SalesData[[#This Row],[Order Date]])</f>
        <v>2014</v>
      </c>
      <c r="C1051" s="4">
        <f>MONTH(SalesData[[#This Row],[Order Date]])</f>
        <v>9</v>
      </c>
      <c r="D1051" s="3" t="s">
        <v>1263</v>
      </c>
      <c r="E1051" s="3" t="s">
        <v>23</v>
      </c>
      <c r="F1051" s="3" t="s">
        <v>39</v>
      </c>
      <c r="G1051" s="3" t="s">
        <v>40</v>
      </c>
      <c r="H1051" s="3" t="s">
        <v>1266</v>
      </c>
      <c r="I1051" s="6">
        <v>135.52000000000001</v>
      </c>
      <c r="J1051" s="4">
        <v>1</v>
      </c>
      <c r="K1051" s="6">
        <v>-31.62</v>
      </c>
    </row>
    <row r="1052" spans="1:11" x14ac:dyDescent="0.3">
      <c r="A1052" s="7">
        <v>41891</v>
      </c>
      <c r="B1052" s="4">
        <f>YEAR(SalesData[[#This Row],[Order Date]])</f>
        <v>2014</v>
      </c>
      <c r="C1052" s="4">
        <f>MONTH(SalesData[[#This Row],[Order Date]])</f>
        <v>9</v>
      </c>
      <c r="D1052" s="3" t="s">
        <v>1267</v>
      </c>
      <c r="E1052" s="3" t="s">
        <v>245</v>
      </c>
      <c r="F1052" s="3" t="s">
        <v>39</v>
      </c>
      <c r="G1052" s="3" t="s">
        <v>302</v>
      </c>
      <c r="H1052" s="3" t="s">
        <v>1268</v>
      </c>
      <c r="I1052" s="6">
        <v>1299.99</v>
      </c>
      <c r="J1052" s="4">
        <v>2</v>
      </c>
      <c r="K1052" s="6">
        <v>-572</v>
      </c>
    </row>
    <row r="1053" spans="1:11" x14ac:dyDescent="0.3">
      <c r="A1053" s="7">
        <v>41891</v>
      </c>
      <c r="B1053" s="4">
        <f>YEAR(SalesData[[#This Row],[Order Date]])</f>
        <v>2014</v>
      </c>
      <c r="C1053" s="4">
        <f>MONTH(SalesData[[#This Row],[Order Date]])</f>
        <v>9</v>
      </c>
      <c r="D1053" s="3" t="s">
        <v>545</v>
      </c>
      <c r="E1053" s="3" t="s">
        <v>78</v>
      </c>
      <c r="F1053" s="3" t="s">
        <v>34</v>
      </c>
      <c r="G1053" s="3" t="s">
        <v>47</v>
      </c>
      <c r="H1053" s="3" t="s">
        <v>1269</v>
      </c>
      <c r="I1053" s="6">
        <v>60.67</v>
      </c>
      <c r="J1053" s="4">
        <v>6</v>
      </c>
      <c r="K1053" s="6">
        <v>12.89</v>
      </c>
    </row>
    <row r="1054" spans="1:11" x14ac:dyDescent="0.3">
      <c r="A1054" s="7">
        <v>41891</v>
      </c>
      <c r="B1054" s="4">
        <f>YEAR(SalesData[[#This Row],[Order Date]])</f>
        <v>2014</v>
      </c>
      <c r="C1054" s="4">
        <f>MONTH(SalesData[[#This Row],[Order Date]])</f>
        <v>9</v>
      </c>
      <c r="D1054" s="3" t="s">
        <v>545</v>
      </c>
      <c r="E1054" s="3" t="s">
        <v>78</v>
      </c>
      <c r="F1054" s="3" t="s">
        <v>11</v>
      </c>
      <c r="G1054" s="3" t="s">
        <v>24</v>
      </c>
      <c r="H1054" s="3" t="s">
        <v>1270</v>
      </c>
      <c r="I1054" s="6">
        <v>30.82</v>
      </c>
      <c r="J1054" s="4">
        <v>9</v>
      </c>
      <c r="K1054" s="6">
        <v>2.7</v>
      </c>
    </row>
    <row r="1055" spans="1:11" x14ac:dyDescent="0.3">
      <c r="A1055" s="7">
        <v>41891</v>
      </c>
      <c r="B1055" s="4">
        <f>YEAR(SalesData[[#This Row],[Order Date]])</f>
        <v>2014</v>
      </c>
      <c r="C1055" s="4">
        <f>MONTH(SalesData[[#This Row],[Order Date]])</f>
        <v>9</v>
      </c>
      <c r="D1055" s="3" t="s">
        <v>1271</v>
      </c>
      <c r="E1055" s="3" t="s">
        <v>15</v>
      </c>
      <c r="F1055" s="3" t="s">
        <v>11</v>
      </c>
      <c r="G1055" s="3" t="s">
        <v>12</v>
      </c>
      <c r="H1055" s="3" t="s">
        <v>739</v>
      </c>
      <c r="I1055" s="6">
        <v>10.9</v>
      </c>
      <c r="J1055" s="4">
        <v>3</v>
      </c>
      <c r="K1055" s="6">
        <v>3.41</v>
      </c>
    </row>
    <row r="1056" spans="1:11" x14ac:dyDescent="0.3">
      <c r="A1056" s="7">
        <v>41892</v>
      </c>
      <c r="B1056" s="4">
        <f>YEAR(SalesData[[#This Row],[Order Date]])</f>
        <v>2014</v>
      </c>
      <c r="C1056" s="4">
        <f>MONTH(SalesData[[#This Row],[Order Date]])</f>
        <v>9</v>
      </c>
      <c r="D1056" s="3" t="s">
        <v>564</v>
      </c>
      <c r="E1056" s="3" t="s">
        <v>55</v>
      </c>
      <c r="F1056" s="3" t="s">
        <v>11</v>
      </c>
      <c r="G1056" s="3" t="s">
        <v>20</v>
      </c>
      <c r="H1056" s="3" t="s">
        <v>941</v>
      </c>
      <c r="I1056" s="6">
        <v>9.64</v>
      </c>
      <c r="J1056" s="4">
        <v>2</v>
      </c>
      <c r="K1056" s="6">
        <v>4.72</v>
      </c>
    </row>
    <row r="1057" spans="1:11" x14ac:dyDescent="0.3">
      <c r="A1057" s="7">
        <v>41892</v>
      </c>
      <c r="B1057" s="4">
        <f>YEAR(SalesData[[#This Row],[Order Date]])</f>
        <v>2014</v>
      </c>
      <c r="C1057" s="4">
        <f>MONTH(SalesData[[#This Row],[Order Date]])</f>
        <v>9</v>
      </c>
      <c r="D1057" s="3" t="s">
        <v>256</v>
      </c>
      <c r="E1057" s="3" t="s">
        <v>91</v>
      </c>
      <c r="F1057" s="3" t="s">
        <v>11</v>
      </c>
      <c r="G1057" s="3" t="s">
        <v>63</v>
      </c>
      <c r="H1057" s="3" t="s">
        <v>1272</v>
      </c>
      <c r="I1057" s="6">
        <v>21.73</v>
      </c>
      <c r="J1057" s="4">
        <v>7</v>
      </c>
      <c r="K1057" s="6">
        <v>7.6</v>
      </c>
    </row>
    <row r="1058" spans="1:11" x14ac:dyDescent="0.3">
      <c r="A1058" s="7">
        <v>41892</v>
      </c>
      <c r="B1058" s="4">
        <f>YEAR(SalesData[[#This Row],[Order Date]])</f>
        <v>2014</v>
      </c>
      <c r="C1058" s="4">
        <f>MONTH(SalesData[[#This Row],[Order Date]])</f>
        <v>9</v>
      </c>
      <c r="D1058" s="3" t="s">
        <v>256</v>
      </c>
      <c r="E1058" s="3" t="s">
        <v>91</v>
      </c>
      <c r="F1058" s="3" t="s">
        <v>34</v>
      </c>
      <c r="G1058" s="3" t="s">
        <v>35</v>
      </c>
      <c r="H1058" s="3" t="s">
        <v>572</v>
      </c>
      <c r="I1058" s="6">
        <v>1487.04</v>
      </c>
      <c r="J1058" s="4">
        <v>5</v>
      </c>
      <c r="K1058" s="6">
        <v>148.69999999999999</v>
      </c>
    </row>
    <row r="1059" spans="1:11" x14ac:dyDescent="0.3">
      <c r="A1059" s="7">
        <v>41892</v>
      </c>
      <c r="B1059" s="4">
        <f>YEAR(SalesData[[#This Row],[Order Date]])</f>
        <v>2014</v>
      </c>
      <c r="C1059" s="4">
        <f>MONTH(SalesData[[#This Row],[Order Date]])</f>
        <v>9</v>
      </c>
      <c r="D1059" s="3" t="s">
        <v>1273</v>
      </c>
      <c r="E1059" s="3" t="s">
        <v>177</v>
      </c>
      <c r="F1059" s="3" t="s">
        <v>11</v>
      </c>
      <c r="G1059" s="3" t="s">
        <v>92</v>
      </c>
      <c r="H1059" s="3" t="s">
        <v>1274</v>
      </c>
      <c r="I1059" s="6">
        <v>81.92</v>
      </c>
      <c r="J1059" s="4">
        <v>4</v>
      </c>
      <c r="K1059" s="6">
        <v>22.12</v>
      </c>
    </row>
    <row r="1060" spans="1:11" x14ac:dyDescent="0.3">
      <c r="A1060" s="7">
        <v>41892</v>
      </c>
      <c r="B1060" s="4">
        <f>YEAR(SalesData[[#This Row],[Order Date]])</f>
        <v>2014</v>
      </c>
      <c r="C1060" s="4">
        <f>MONTH(SalesData[[#This Row],[Order Date]])</f>
        <v>9</v>
      </c>
      <c r="D1060" s="3" t="s">
        <v>1273</v>
      </c>
      <c r="E1060" s="3" t="s">
        <v>177</v>
      </c>
      <c r="F1060" s="3" t="s">
        <v>34</v>
      </c>
      <c r="G1060" s="3" t="s">
        <v>47</v>
      </c>
      <c r="H1060" s="3" t="s">
        <v>340</v>
      </c>
      <c r="I1060" s="6">
        <v>254.9</v>
      </c>
      <c r="J1060" s="4">
        <v>5</v>
      </c>
      <c r="K1060" s="6">
        <v>76.47</v>
      </c>
    </row>
    <row r="1061" spans="1:11" x14ac:dyDescent="0.3">
      <c r="A1061" s="7">
        <v>41893</v>
      </c>
      <c r="B1061" s="4">
        <f>YEAR(SalesData[[#This Row],[Order Date]])</f>
        <v>2014</v>
      </c>
      <c r="C1061" s="4">
        <f>MONTH(SalesData[[#This Row],[Order Date]])</f>
        <v>9</v>
      </c>
      <c r="D1061" s="3" t="s">
        <v>1275</v>
      </c>
      <c r="E1061" s="3" t="s">
        <v>27</v>
      </c>
      <c r="F1061" s="3" t="s">
        <v>34</v>
      </c>
      <c r="G1061" s="3" t="s">
        <v>47</v>
      </c>
      <c r="H1061" s="3" t="s">
        <v>1276</v>
      </c>
      <c r="I1061" s="6">
        <v>127.95</v>
      </c>
      <c r="J1061" s="4">
        <v>3</v>
      </c>
      <c r="K1061" s="6">
        <v>21.75</v>
      </c>
    </row>
    <row r="1062" spans="1:11" x14ac:dyDescent="0.3">
      <c r="A1062" s="7">
        <v>41894</v>
      </c>
      <c r="B1062" s="4">
        <f>YEAR(SalesData[[#This Row],[Order Date]])</f>
        <v>2014</v>
      </c>
      <c r="C1062" s="4">
        <f>MONTH(SalesData[[#This Row],[Order Date]])</f>
        <v>9</v>
      </c>
      <c r="D1062" s="3" t="s">
        <v>131</v>
      </c>
      <c r="E1062" s="3" t="s">
        <v>149</v>
      </c>
      <c r="F1062" s="3" t="s">
        <v>39</v>
      </c>
      <c r="G1062" s="3" t="s">
        <v>302</v>
      </c>
      <c r="H1062" s="3" t="s">
        <v>1248</v>
      </c>
      <c r="I1062" s="6">
        <v>69.989999999999995</v>
      </c>
      <c r="J1062" s="4">
        <v>1</v>
      </c>
      <c r="K1062" s="6">
        <v>30.1</v>
      </c>
    </row>
    <row r="1063" spans="1:11" x14ac:dyDescent="0.3">
      <c r="A1063" s="7">
        <v>41894</v>
      </c>
      <c r="B1063" s="4">
        <f>YEAR(SalesData[[#This Row],[Order Date]])</f>
        <v>2014</v>
      </c>
      <c r="C1063" s="4">
        <f>MONTH(SalesData[[#This Row],[Order Date]])</f>
        <v>9</v>
      </c>
      <c r="D1063" s="3" t="s">
        <v>1277</v>
      </c>
      <c r="E1063" s="3" t="s">
        <v>245</v>
      </c>
      <c r="F1063" s="3" t="s">
        <v>11</v>
      </c>
      <c r="G1063" s="3" t="s">
        <v>12</v>
      </c>
      <c r="H1063" s="3" t="s">
        <v>219</v>
      </c>
      <c r="I1063" s="6">
        <v>10.37</v>
      </c>
      <c r="J1063" s="4">
        <v>2</v>
      </c>
      <c r="K1063" s="6">
        <v>3.63</v>
      </c>
    </row>
    <row r="1064" spans="1:11" x14ac:dyDescent="0.3">
      <c r="A1064" s="7">
        <v>41894</v>
      </c>
      <c r="B1064" s="4">
        <f>YEAR(SalesData[[#This Row],[Order Date]])</f>
        <v>2014</v>
      </c>
      <c r="C1064" s="4">
        <f>MONTH(SalesData[[#This Row],[Order Date]])</f>
        <v>9</v>
      </c>
      <c r="D1064" s="3" t="s">
        <v>1277</v>
      </c>
      <c r="E1064" s="3" t="s">
        <v>245</v>
      </c>
      <c r="F1064" s="3" t="s">
        <v>11</v>
      </c>
      <c r="G1064" s="3" t="s">
        <v>92</v>
      </c>
      <c r="H1064" s="3" t="s">
        <v>1278</v>
      </c>
      <c r="I1064" s="6">
        <v>166.84</v>
      </c>
      <c r="J1064" s="4">
        <v>5</v>
      </c>
      <c r="K1064" s="6">
        <v>18.77</v>
      </c>
    </row>
    <row r="1065" spans="1:11" x14ac:dyDescent="0.3">
      <c r="A1065" s="7">
        <v>41894</v>
      </c>
      <c r="B1065" s="4">
        <f>YEAR(SalesData[[#This Row],[Order Date]])</f>
        <v>2014</v>
      </c>
      <c r="C1065" s="4">
        <f>MONTH(SalesData[[#This Row],[Order Date]])</f>
        <v>9</v>
      </c>
      <c r="D1065" s="3" t="s">
        <v>1277</v>
      </c>
      <c r="E1065" s="3" t="s">
        <v>245</v>
      </c>
      <c r="F1065" s="3" t="s">
        <v>39</v>
      </c>
      <c r="G1065" s="3" t="s">
        <v>52</v>
      </c>
      <c r="H1065" s="3" t="s">
        <v>1169</v>
      </c>
      <c r="I1065" s="6">
        <v>15.22</v>
      </c>
      <c r="J1065" s="4">
        <v>1</v>
      </c>
      <c r="K1065" s="6">
        <v>2.2799999999999998</v>
      </c>
    </row>
    <row r="1066" spans="1:11" x14ac:dyDescent="0.3">
      <c r="A1066" s="7">
        <v>41894</v>
      </c>
      <c r="B1066" s="4">
        <f>YEAR(SalesData[[#This Row],[Order Date]])</f>
        <v>2014</v>
      </c>
      <c r="C1066" s="4">
        <f>MONTH(SalesData[[#This Row],[Order Date]])</f>
        <v>9</v>
      </c>
      <c r="D1066" s="3" t="s">
        <v>1279</v>
      </c>
      <c r="E1066" s="3" t="s">
        <v>10</v>
      </c>
      <c r="F1066" s="3" t="s">
        <v>11</v>
      </c>
      <c r="G1066" s="3" t="s">
        <v>20</v>
      </c>
      <c r="H1066" s="3" t="s">
        <v>1280</v>
      </c>
      <c r="I1066" s="6">
        <v>5.18</v>
      </c>
      <c r="J1066" s="4">
        <v>5</v>
      </c>
      <c r="K1066" s="6">
        <v>-8.0299999999999994</v>
      </c>
    </row>
    <row r="1067" spans="1:11" x14ac:dyDescent="0.3">
      <c r="A1067" s="7">
        <v>41894</v>
      </c>
      <c r="B1067" s="4">
        <f>YEAR(SalesData[[#This Row],[Order Date]])</f>
        <v>2014</v>
      </c>
      <c r="C1067" s="4">
        <f>MONTH(SalesData[[#This Row],[Order Date]])</f>
        <v>9</v>
      </c>
      <c r="D1067" s="3" t="s">
        <v>643</v>
      </c>
      <c r="E1067" s="3" t="s">
        <v>78</v>
      </c>
      <c r="F1067" s="3" t="s">
        <v>11</v>
      </c>
      <c r="G1067" s="3" t="s">
        <v>20</v>
      </c>
      <c r="H1067" s="3" t="s">
        <v>1281</v>
      </c>
      <c r="I1067" s="6">
        <v>63.92</v>
      </c>
      <c r="J1067" s="4">
        <v>7</v>
      </c>
      <c r="K1067" s="6">
        <v>-46.88</v>
      </c>
    </row>
    <row r="1068" spans="1:11" x14ac:dyDescent="0.3">
      <c r="A1068" s="7">
        <v>41894</v>
      </c>
      <c r="B1068" s="4">
        <f>YEAR(SalesData[[#This Row],[Order Date]])</f>
        <v>2014</v>
      </c>
      <c r="C1068" s="4">
        <f>MONTH(SalesData[[#This Row],[Order Date]])</f>
        <v>9</v>
      </c>
      <c r="D1068" s="3" t="s">
        <v>1282</v>
      </c>
      <c r="E1068" s="3" t="s">
        <v>1283</v>
      </c>
      <c r="F1068" s="3" t="s">
        <v>11</v>
      </c>
      <c r="G1068" s="3" t="s">
        <v>200</v>
      </c>
      <c r="H1068" s="3" t="s">
        <v>201</v>
      </c>
      <c r="I1068" s="6">
        <v>357.93</v>
      </c>
      <c r="J1068" s="4">
        <v>3</v>
      </c>
      <c r="K1068" s="6">
        <v>7.16</v>
      </c>
    </row>
    <row r="1069" spans="1:11" x14ac:dyDescent="0.3">
      <c r="A1069" s="7">
        <v>41894</v>
      </c>
      <c r="B1069" s="4">
        <f>YEAR(SalesData[[#This Row],[Order Date]])</f>
        <v>2014</v>
      </c>
      <c r="C1069" s="4">
        <f>MONTH(SalesData[[#This Row],[Order Date]])</f>
        <v>9</v>
      </c>
      <c r="D1069" s="3" t="s">
        <v>1282</v>
      </c>
      <c r="E1069" s="3" t="s">
        <v>1283</v>
      </c>
      <c r="F1069" s="3" t="s">
        <v>39</v>
      </c>
      <c r="G1069" s="3" t="s">
        <v>52</v>
      </c>
      <c r="H1069" s="3" t="s">
        <v>1284</v>
      </c>
      <c r="I1069" s="6">
        <v>57.4</v>
      </c>
      <c r="J1069" s="4">
        <v>5</v>
      </c>
      <c r="K1069" s="6">
        <v>10.91</v>
      </c>
    </row>
    <row r="1070" spans="1:11" x14ac:dyDescent="0.3">
      <c r="A1070" s="7">
        <v>41894</v>
      </c>
      <c r="B1070" s="4">
        <f>YEAR(SalesData[[#This Row],[Order Date]])</f>
        <v>2014</v>
      </c>
      <c r="C1070" s="4">
        <f>MONTH(SalesData[[#This Row],[Order Date]])</f>
        <v>9</v>
      </c>
      <c r="D1070" s="3" t="s">
        <v>1282</v>
      </c>
      <c r="E1070" s="3" t="s">
        <v>1283</v>
      </c>
      <c r="F1070" s="3" t="s">
        <v>11</v>
      </c>
      <c r="G1070" s="3" t="s">
        <v>20</v>
      </c>
      <c r="H1070" s="3" t="s">
        <v>666</v>
      </c>
      <c r="I1070" s="6">
        <v>331.96</v>
      </c>
      <c r="J1070" s="4">
        <v>2</v>
      </c>
      <c r="K1070" s="6">
        <v>149.38</v>
      </c>
    </row>
    <row r="1071" spans="1:11" x14ac:dyDescent="0.3">
      <c r="A1071" s="7">
        <v>41894</v>
      </c>
      <c r="B1071" s="4">
        <f>YEAR(SalesData[[#This Row],[Order Date]])</f>
        <v>2014</v>
      </c>
      <c r="C1071" s="4">
        <f>MONTH(SalesData[[#This Row],[Order Date]])</f>
        <v>9</v>
      </c>
      <c r="D1071" s="3" t="s">
        <v>1282</v>
      </c>
      <c r="E1071" s="3" t="s">
        <v>1283</v>
      </c>
      <c r="F1071" s="3" t="s">
        <v>34</v>
      </c>
      <c r="G1071" s="3" t="s">
        <v>47</v>
      </c>
      <c r="H1071" s="3" t="s">
        <v>1285</v>
      </c>
      <c r="I1071" s="6">
        <v>40.56</v>
      </c>
      <c r="J1071" s="4">
        <v>2</v>
      </c>
      <c r="K1071" s="6">
        <v>12.98</v>
      </c>
    </row>
    <row r="1072" spans="1:11" x14ac:dyDescent="0.3">
      <c r="A1072" s="7">
        <v>41894</v>
      </c>
      <c r="B1072" s="4">
        <f>YEAR(SalesData[[#This Row],[Order Date]])</f>
        <v>2014</v>
      </c>
      <c r="C1072" s="4">
        <f>MONTH(SalesData[[#This Row],[Order Date]])</f>
        <v>9</v>
      </c>
      <c r="D1072" s="3" t="s">
        <v>1286</v>
      </c>
      <c r="E1072" s="3" t="s">
        <v>149</v>
      </c>
      <c r="F1072" s="3" t="s">
        <v>34</v>
      </c>
      <c r="G1072" s="3" t="s">
        <v>35</v>
      </c>
      <c r="H1072" s="3" t="s">
        <v>976</v>
      </c>
      <c r="I1072" s="6">
        <v>3785.29</v>
      </c>
      <c r="J1072" s="4">
        <v>6</v>
      </c>
      <c r="K1072" s="6">
        <v>420.59</v>
      </c>
    </row>
    <row r="1073" spans="1:11" x14ac:dyDescent="0.3">
      <c r="A1073" s="7">
        <v>41895</v>
      </c>
      <c r="B1073" s="4">
        <f>YEAR(SalesData[[#This Row],[Order Date]])</f>
        <v>2014</v>
      </c>
      <c r="C1073" s="4">
        <f>MONTH(SalesData[[#This Row],[Order Date]])</f>
        <v>9</v>
      </c>
      <c r="D1073" s="3" t="s">
        <v>1287</v>
      </c>
      <c r="E1073" s="3" t="s">
        <v>245</v>
      </c>
      <c r="F1073" s="3" t="s">
        <v>11</v>
      </c>
      <c r="G1073" s="3" t="s">
        <v>20</v>
      </c>
      <c r="H1073" s="3" t="s">
        <v>1030</v>
      </c>
      <c r="I1073" s="6">
        <v>18.649999999999999</v>
      </c>
      <c r="J1073" s="4">
        <v>7</v>
      </c>
      <c r="K1073" s="6">
        <v>-12.43</v>
      </c>
    </row>
    <row r="1074" spans="1:11" x14ac:dyDescent="0.3">
      <c r="A1074" s="7">
        <v>41895</v>
      </c>
      <c r="B1074" s="4">
        <f>YEAR(SalesData[[#This Row],[Order Date]])</f>
        <v>2014</v>
      </c>
      <c r="C1074" s="4">
        <f>MONTH(SalesData[[#This Row],[Order Date]])</f>
        <v>9</v>
      </c>
      <c r="D1074" s="3" t="s">
        <v>1288</v>
      </c>
      <c r="E1074" s="3" t="s">
        <v>23</v>
      </c>
      <c r="F1074" s="3" t="s">
        <v>11</v>
      </c>
      <c r="G1074" s="3" t="s">
        <v>12</v>
      </c>
      <c r="H1074" s="3" t="s">
        <v>565</v>
      </c>
      <c r="I1074" s="6">
        <v>15.55</v>
      </c>
      <c r="J1074" s="4">
        <v>3</v>
      </c>
      <c r="K1074" s="6">
        <v>5.44</v>
      </c>
    </row>
    <row r="1075" spans="1:11" x14ac:dyDescent="0.3">
      <c r="A1075" s="7">
        <v>41895</v>
      </c>
      <c r="B1075" s="4">
        <f>YEAR(SalesData[[#This Row],[Order Date]])</f>
        <v>2014</v>
      </c>
      <c r="C1075" s="4">
        <f>MONTH(SalesData[[#This Row],[Order Date]])</f>
        <v>9</v>
      </c>
      <c r="D1075" s="3" t="s">
        <v>1288</v>
      </c>
      <c r="E1075" s="3" t="s">
        <v>23</v>
      </c>
      <c r="F1075" s="3" t="s">
        <v>39</v>
      </c>
      <c r="G1075" s="3" t="s">
        <v>52</v>
      </c>
      <c r="H1075" s="3" t="s">
        <v>243</v>
      </c>
      <c r="I1075" s="6">
        <v>252</v>
      </c>
      <c r="J1075" s="4">
        <v>5</v>
      </c>
      <c r="K1075" s="6">
        <v>53.55</v>
      </c>
    </row>
    <row r="1076" spans="1:11" x14ac:dyDescent="0.3">
      <c r="A1076" s="7">
        <v>41895</v>
      </c>
      <c r="B1076" s="4">
        <f>YEAR(SalesData[[#This Row],[Order Date]])</f>
        <v>2014</v>
      </c>
      <c r="C1076" s="4">
        <f>MONTH(SalesData[[#This Row],[Order Date]])</f>
        <v>9</v>
      </c>
      <c r="D1076" s="3" t="s">
        <v>907</v>
      </c>
      <c r="E1076" s="3" t="s">
        <v>149</v>
      </c>
      <c r="F1076" s="3" t="s">
        <v>11</v>
      </c>
      <c r="G1076" s="3" t="s">
        <v>24</v>
      </c>
      <c r="H1076" s="3" t="s">
        <v>798</v>
      </c>
      <c r="I1076" s="6">
        <v>5.46</v>
      </c>
      <c r="J1076" s="4">
        <v>3</v>
      </c>
      <c r="K1076" s="6">
        <v>1.47</v>
      </c>
    </row>
    <row r="1077" spans="1:11" x14ac:dyDescent="0.3">
      <c r="A1077" s="7">
        <v>41895</v>
      </c>
      <c r="B1077" s="4">
        <f>YEAR(SalesData[[#This Row],[Order Date]])</f>
        <v>2014</v>
      </c>
      <c r="C1077" s="4">
        <f>MONTH(SalesData[[#This Row],[Order Date]])</f>
        <v>9</v>
      </c>
      <c r="D1077" s="3" t="s">
        <v>1289</v>
      </c>
      <c r="E1077" s="3" t="s">
        <v>95</v>
      </c>
      <c r="F1077" s="3" t="s">
        <v>11</v>
      </c>
      <c r="G1077" s="3" t="s">
        <v>18</v>
      </c>
      <c r="H1077" s="3" t="s">
        <v>1290</v>
      </c>
      <c r="I1077" s="6">
        <v>79.400000000000006</v>
      </c>
      <c r="J1077" s="4">
        <v>5</v>
      </c>
      <c r="K1077" s="6">
        <v>5.96</v>
      </c>
    </row>
    <row r="1078" spans="1:11" x14ac:dyDescent="0.3">
      <c r="A1078" s="7">
        <v>41895</v>
      </c>
      <c r="B1078" s="4">
        <f>YEAR(SalesData[[#This Row],[Order Date]])</f>
        <v>2014</v>
      </c>
      <c r="C1078" s="4">
        <f>MONTH(SalesData[[#This Row],[Order Date]])</f>
        <v>9</v>
      </c>
      <c r="D1078" s="3" t="s">
        <v>917</v>
      </c>
      <c r="E1078" s="3" t="s">
        <v>10</v>
      </c>
      <c r="F1078" s="3" t="s">
        <v>34</v>
      </c>
      <c r="G1078" s="3" t="s">
        <v>35</v>
      </c>
      <c r="H1078" s="3" t="s">
        <v>862</v>
      </c>
      <c r="I1078" s="6">
        <v>340.12</v>
      </c>
      <c r="J1078" s="4">
        <v>6</v>
      </c>
      <c r="K1078" s="6">
        <v>-9.7200000000000006</v>
      </c>
    </row>
    <row r="1079" spans="1:11" x14ac:dyDescent="0.3">
      <c r="A1079" s="7">
        <v>41895</v>
      </c>
      <c r="B1079" s="4">
        <f>YEAR(SalesData[[#This Row],[Order Date]])</f>
        <v>2014</v>
      </c>
      <c r="C1079" s="4">
        <f>MONTH(SalesData[[#This Row],[Order Date]])</f>
        <v>9</v>
      </c>
      <c r="D1079" s="3" t="s">
        <v>1138</v>
      </c>
      <c r="E1079" s="3" t="s">
        <v>78</v>
      </c>
      <c r="F1079" s="3" t="s">
        <v>11</v>
      </c>
      <c r="G1079" s="3" t="s">
        <v>20</v>
      </c>
      <c r="H1079" s="3" t="s">
        <v>1291</v>
      </c>
      <c r="I1079" s="6">
        <v>2.5</v>
      </c>
      <c r="J1079" s="4">
        <v>3</v>
      </c>
      <c r="K1079" s="6">
        <v>-2</v>
      </c>
    </row>
    <row r="1080" spans="1:11" x14ac:dyDescent="0.3">
      <c r="A1080" s="7">
        <v>41895</v>
      </c>
      <c r="B1080" s="4">
        <f>YEAR(SalesData[[#This Row],[Order Date]])</f>
        <v>2014</v>
      </c>
      <c r="C1080" s="4">
        <f>MONTH(SalesData[[#This Row],[Order Date]])</f>
        <v>9</v>
      </c>
      <c r="D1080" s="3" t="s">
        <v>712</v>
      </c>
      <c r="E1080" s="3" t="s">
        <v>164</v>
      </c>
      <c r="F1080" s="3" t="s">
        <v>11</v>
      </c>
      <c r="G1080" s="3" t="s">
        <v>43</v>
      </c>
      <c r="H1080" s="3" t="s">
        <v>614</v>
      </c>
      <c r="I1080" s="6">
        <v>5.7</v>
      </c>
      <c r="J1080" s="4">
        <v>5</v>
      </c>
      <c r="K1080" s="6">
        <v>2.68</v>
      </c>
    </row>
    <row r="1081" spans="1:11" x14ac:dyDescent="0.3">
      <c r="A1081" s="7">
        <v>41895</v>
      </c>
      <c r="B1081" s="4">
        <f>YEAR(SalesData[[#This Row],[Order Date]])</f>
        <v>2014</v>
      </c>
      <c r="C1081" s="4">
        <f>MONTH(SalesData[[#This Row],[Order Date]])</f>
        <v>9</v>
      </c>
      <c r="D1081" s="3" t="s">
        <v>712</v>
      </c>
      <c r="E1081" s="3" t="s">
        <v>164</v>
      </c>
      <c r="F1081" s="3" t="s">
        <v>34</v>
      </c>
      <c r="G1081" s="3" t="s">
        <v>47</v>
      </c>
      <c r="H1081" s="3" t="s">
        <v>480</v>
      </c>
      <c r="I1081" s="6">
        <v>14.19</v>
      </c>
      <c r="J1081" s="4">
        <v>3</v>
      </c>
      <c r="K1081" s="6">
        <v>5.53</v>
      </c>
    </row>
    <row r="1082" spans="1:11" x14ac:dyDescent="0.3">
      <c r="A1082" s="7">
        <v>41895</v>
      </c>
      <c r="B1082" s="4">
        <f>YEAR(SalesData[[#This Row],[Order Date]])</f>
        <v>2014</v>
      </c>
      <c r="C1082" s="4">
        <f>MONTH(SalesData[[#This Row],[Order Date]])</f>
        <v>9</v>
      </c>
      <c r="D1082" s="3" t="s">
        <v>712</v>
      </c>
      <c r="E1082" s="3" t="s">
        <v>164</v>
      </c>
      <c r="F1082" s="3" t="s">
        <v>11</v>
      </c>
      <c r="G1082" s="3" t="s">
        <v>200</v>
      </c>
      <c r="H1082" s="3" t="s">
        <v>1292</v>
      </c>
      <c r="I1082" s="6">
        <v>7.3</v>
      </c>
      <c r="J1082" s="4">
        <v>2</v>
      </c>
      <c r="K1082" s="6">
        <v>2.19</v>
      </c>
    </row>
    <row r="1083" spans="1:11" x14ac:dyDescent="0.3">
      <c r="A1083" s="7">
        <v>41895</v>
      </c>
      <c r="B1083" s="4">
        <f>YEAR(SalesData[[#This Row],[Order Date]])</f>
        <v>2014</v>
      </c>
      <c r="C1083" s="4">
        <f>MONTH(SalesData[[#This Row],[Order Date]])</f>
        <v>9</v>
      </c>
      <c r="D1083" s="3" t="s">
        <v>712</v>
      </c>
      <c r="E1083" s="3" t="s">
        <v>164</v>
      </c>
      <c r="F1083" s="3" t="s">
        <v>39</v>
      </c>
      <c r="G1083" s="3" t="s">
        <v>52</v>
      </c>
      <c r="H1083" s="3" t="s">
        <v>731</v>
      </c>
      <c r="I1083" s="6">
        <v>199.98</v>
      </c>
      <c r="J1083" s="4">
        <v>2</v>
      </c>
      <c r="K1083" s="6">
        <v>75.989999999999995</v>
      </c>
    </row>
    <row r="1084" spans="1:11" x14ac:dyDescent="0.3">
      <c r="A1084" s="7">
        <v>41895</v>
      </c>
      <c r="B1084" s="4">
        <f>YEAR(SalesData[[#This Row],[Order Date]])</f>
        <v>2014</v>
      </c>
      <c r="C1084" s="4">
        <f>MONTH(SalesData[[#This Row],[Order Date]])</f>
        <v>9</v>
      </c>
      <c r="D1084" s="3" t="s">
        <v>712</v>
      </c>
      <c r="E1084" s="3" t="s">
        <v>164</v>
      </c>
      <c r="F1084" s="3" t="s">
        <v>39</v>
      </c>
      <c r="G1084" s="3" t="s">
        <v>52</v>
      </c>
      <c r="H1084" s="3" t="s">
        <v>518</v>
      </c>
      <c r="I1084" s="6">
        <v>144.96</v>
      </c>
      <c r="J1084" s="4">
        <v>4</v>
      </c>
      <c r="K1084" s="6">
        <v>60.88</v>
      </c>
    </row>
    <row r="1085" spans="1:11" x14ac:dyDescent="0.3">
      <c r="A1085" s="7">
        <v>41895</v>
      </c>
      <c r="B1085" s="4">
        <f>YEAR(SalesData[[#This Row],[Order Date]])</f>
        <v>2014</v>
      </c>
      <c r="C1085" s="4">
        <f>MONTH(SalesData[[#This Row],[Order Date]])</f>
        <v>9</v>
      </c>
      <c r="D1085" s="3" t="s">
        <v>712</v>
      </c>
      <c r="E1085" s="3" t="s">
        <v>164</v>
      </c>
      <c r="F1085" s="3" t="s">
        <v>39</v>
      </c>
      <c r="G1085" s="3" t="s">
        <v>52</v>
      </c>
      <c r="H1085" s="3" t="s">
        <v>1293</v>
      </c>
      <c r="I1085" s="6">
        <v>118</v>
      </c>
      <c r="J1085" s="4">
        <v>2</v>
      </c>
      <c r="K1085" s="6">
        <v>20.059999999999999</v>
      </c>
    </row>
    <row r="1086" spans="1:11" x14ac:dyDescent="0.3">
      <c r="A1086" s="7">
        <v>41895</v>
      </c>
      <c r="B1086" s="4">
        <f>YEAR(SalesData[[#This Row],[Order Date]])</f>
        <v>2014</v>
      </c>
      <c r="C1086" s="4">
        <f>MONTH(SalesData[[#This Row],[Order Date]])</f>
        <v>9</v>
      </c>
      <c r="D1086" s="3" t="s">
        <v>712</v>
      </c>
      <c r="E1086" s="3" t="s">
        <v>164</v>
      </c>
      <c r="F1086" s="3" t="s">
        <v>11</v>
      </c>
      <c r="G1086" s="3" t="s">
        <v>12</v>
      </c>
      <c r="H1086" s="3" t="s">
        <v>1294</v>
      </c>
      <c r="I1086" s="6">
        <v>48.94</v>
      </c>
      <c r="J1086" s="4">
        <v>1</v>
      </c>
      <c r="K1086" s="6">
        <v>24.47</v>
      </c>
    </row>
    <row r="1087" spans="1:11" x14ac:dyDescent="0.3">
      <c r="A1087" s="7">
        <v>41895</v>
      </c>
      <c r="B1087" s="4">
        <f>YEAR(SalesData[[#This Row],[Order Date]])</f>
        <v>2014</v>
      </c>
      <c r="C1087" s="4">
        <f>MONTH(SalesData[[#This Row],[Order Date]])</f>
        <v>9</v>
      </c>
      <c r="D1087" s="3" t="s">
        <v>712</v>
      </c>
      <c r="E1087" s="3" t="s">
        <v>164</v>
      </c>
      <c r="F1087" s="3" t="s">
        <v>11</v>
      </c>
      <c r="G1087" s="3" t="s">
        <v>92</v>
      </c>
      <c r="H1087" s="3" t="s">
        <v>1244</v>
      </c>
      <c r="I1087" s="6">
        <v>22.66</v>
      </c>
      <c r="J1087" s="4">
        <v>2</v>
      </c>
      <c r="K1087" s="6">
        <v>9.74</v>
      </c>
    </row>
    <row r="1088" spans="1:11" x14ac:dyDescent="0.3">
      <c r="A1088" s="7">
        <v>41896</v>
      </c>
      <c r="B1088" s="4">
        <f>YEAR(SalesData[[#This Row],[Order Date]])</f>
        <v>2014</v>
      </c>
      <c r="C1088" s="4">
        <f>MONTH(SalesData[[#This Row],[Order Date]])</f>
        <v>9</v>
      </c>
      <c r="D1088" s="3" t="s">
        <v>1295</v>
      </c>
      <c r="E1088" s="3" t="s">
        <v>15</v>
      </c>
      <c r="F1088" s="3" t="s">
        <v>11</v>
      </c>
      <c r="G1088" s="3" t="s">
        <v>92</v>
      </c>
      <c r="H1088" s="3" t="s">
        <v>1296</v>
      </c>
      <c r="I1088" s="6">
        <v>52.45</v>
      </c>
      <c r="J1088" s="4">
        <v>2</v>
      </c>
      <c r="K1088" s="6">
        <v>-131.12</v>
      </c>
    </row>
    <row r="1089" spans="1:11" x14ac:dyDescent="0.3">
      <c r="A1089" s="7">
        <v>41896</v>
      </c>
      <c r="B1089" s="4">
        <f>YEAR(SalesData[[#This Row],[Order Date]])</f>
        <v>2014</v>
      </c>
      <c r="C1089" s="4">
        <f>MONTH(SalesData[[#This Row],[Order Date]])</f>
        <v>9</v>
      </c>
      <c r="D1089" s="3" t="s">
        <v>1295</v>
      </c>
      <c r="E1089" s="3" t="s">
        <v>15</v>
      </c>
      <c r="F1089" s="3" t="s">
        <v>11</v>
      </c>
      <c r="G1089" s="3" t="s">
        <v>16</v>
      </c>
      <c r="H1089" s="3" t="s">
        <v>1297</v>
      </c>
      <c r="I1089" s="6">
        <v>20.16</v>
      </c>
      <c r="J1089" s="4">
        <v>4</v>
      </c>
      <c r="K1089" s="6">
        <v>6.55</v>
      </c>
    </row>
    <row r="1090" spans="1:11" x14ac:dyDescent="0.3">
      <c r="A1090" s="7">
        <v>41896</v>
      </c>
      <c r="B1090" s="4">
        <f>YEAR(SalesData[[#This Row],[Order Date]])</f>
        <v>2014</v>
      </c>
      <c r="C1090" s="4">
        <f>MONTH(SalesData[[#This Row],[Order Date]])</f>
        <v>9</v>
      </c>
      <c r="D1090" s="3" t="s">
        <v>1298</v>
      </c>
      <c r="E1090" s="3" t="s">
        <v>149</v>
      </c>
      <c r="F1090" s="3" t="s">
        <v>11</v>
      </c>
      <c r="G1090" s="3" t="s">
        <v>18</v>
      </c>
      <c r="H1090" s="3" t="s">
        <v>729</v>
      </c>
      <c r="I1090" s="6">
        <v>449.15</v>
      </c>
      <c r="J1090" s="4">
        <v>5</v>
      </c>
      <c r="K1090" s="6">
        <v>8.98</v>
      </c>
    </row>
    <row r="1091" spans="1:11" x14ac:dyDescent="0.3">
      <c r="A1091" s="7">
        <v>41896</v>
      </c>
      <c r="B1091" s="4">
        <f>YEAR(SalesData[[#This Row],[Order Date]])</f>
        <v>2014</v>
      </c>
      <c r="C1091" s="4">
        <f>MONTH(SalesData[[#This Row],[Order Date]])</f>
        <v>9</v>
      </c>
      <c r="D1091" s="3" t="s">
        <v>1298</v>
      </c>
      <c r="E1091" s="3" t="s">
        <v>149</v>
      </c>
      <c r="F1091" s="3" t="s">
        <v>11</v>
      </c>
      <c r="G1091" s="3" t="s">
        <v>63</v>
      </c>
      <c r="H1091" s="3" t="s">
        <v>1299</v>
      </c>
      <c r="I1091" s="6">
        <v>11.07</v>
      </c>
      <c r="J1091" s="4">
        <v>3</v>
      </c>
      <c r="K1091" s="6">
        <v>5.09</v>
      </c>
    </row>
    <row r="1092" spans="1:11" x14ac:dyDescent="0.3">
      <c r="A1092" s="7">
        <v>41896</v>
      </c>
      <c r="B1092" s="4">
        <f>YEAR(SalesData[[#This Row],[Order Date]])</f>
        <v>2014</v>
      </c>
      <c r="C1092" s="4">
        <f>MONTH(SalesData[[#This Row],[Order Date]])</f>
        <v>9</v>
      </c>
      <c r="D1092" s="3" t="s">
        <v>879</v>
      </c>
      <c r="E1092" s="3" t="s">
        <v>123</v>
      </c>
      <c r="F1092" s="3" t="s">
        <v>11</v>
      </c>
      <c r="G1092" s="3" t="s">
        <v>92</v>
      </c>
      <c r="H1092" s="3" t="s">
        <v>1300</v>
      </c>
      <c r="I1092" s="6">
        <v>13</v>
      </c>
      <c r="J1092" s="4">
        <v>5</v>
      </c>
      <c r="K1092" s="6">
        <v>1.3</v>
      </c>
    </row>
    <row r="1093" spans="1:11" x14ac:dyDescent="0.3">
      <c r="A1093" s="7">
        <v>41896</v>
      </c>
      <c r="B1093" s="4">
        <f>YEAR(SalesData[[#This Row],[Order Date]])</f>
        <v>2014</v>
      </c>
      <c r="C1093" s="4">
        <f>MONTH(SalesData[[#This Row],[Order Date]])</f>
        <v>9</v>
      </c>
      <c r="D1093" s="3" t="s">
        <v>879</v>
      </c>
      <c r="E1093" s="3" t="s">
        <v>123</v>
      </c>
      <c r="F1093" s="3" t="s">
        <v>34</v>
      </c>
      <c r="G1093" s="3" t="s">
        <v>47</v>
      </c>
      <c r="H1093" s="3" t="s">
        <v>448</v>
      </c>
      <c r="I1093" s="6">
        <v>13.13</v>
      </c>
      <c r="J1093" s="4">
        <v>3</v>
      </c>
      <c r="K1093" s="6">
        <v>3.77</v>
      </c>
    </row>
    <row r="1094" spans="1:11" x14ac:dyDescent="0.3">
      <c r="A1094" s="7">
        <v>41896</v>
      </c>
      <c r="B1094" s="4">
        <f>YEAR(SalesData[[#This Row],[Order Date]])</f>
        <v>2014</v>
      </c>
      <c r="C1094" s="4">
        <f>MONTH(SalesData[[#This Row],[Order Date]])</f>
        <v>9</v>
      </c>
      <c r="D1094" s="3" t="s">
        <v>1301</v>
      </c>
      <c r="E1094" s="3" t="s">
        <v>30</v>
      </c>
      <c r="F1094" s="3" t="s">
        <v>34</v>
      </c>
      <c r="G1094" s="3" t="s">
        <v>47</v>
      </c>
      <c r="H1094" s="3" t="s">
        <v>775</v>
      </c>
      <c r="I1094" s="6">
        <v>142.4</v>
      </c>
      <c r="J1094" s="4">
        <v>5</v>
      </c>
      <c r="K1094" s="6">
        <v>52.69</v>
      </c>
    </row>
    <row r="1095" spans="1:11" x14ac:dyDescent="0.3">
      <c r="A1095" s="7">
        <v>41896</v>
      </c>
      <c r="B1095" s="4">
        <f>YEAR(SalesData[[#This Row],[Order Date]])</f>
        <v>2014</v>
      </c>
      <c r="C1095" s="4">
        <f>MONTH(SalesData[[#This Row],[Order Date]])</f>
        <v>9</v>
      </c>
      <c r="D1095" s="3" t="s">
        <v>1301</v>
      </c>
      <c r="E1095" s="3" t="s">
        <v>30</v>
      </c>
      <c r="F1095" s="3" t="s">
        <v>11</v>
      </c>
      <c r="G1095" s="3" t="s">
        <v>20</v>
      </c>
      <c r="H1095" s="3" t="s">
        <v>1302</v>
      </c>
      <c r="I1095" s="6">
        <v>7.16</v>
      </c>
      <c r="J1095" s="4">
        <v>2</v>
      </c>
      <c r="K1095" s="6">
        <v>3.44</v>
      </c>
    </row>
    <row r="1096" spans="1:11" x14ac:dyDescent="0.3">
      <c r="A1096" s="7">
        <v>41896</v>
      </c>
      <c r="B1096" s="4">
        <f>YEAR(SalesData[[#This Row],[Order Date]])</f>
        <v>2014</v>
      </c>
      <c r="C1096" s="4">
        <f>MONTH(SalesData[[#This Row],[Order Date]])</f>
        <v>9</v>
      </c>
      <c r="D1096" s="3" t="s">
        <v>1303</v>
      </c>
      <c r="E1096" s="3" t="s">
        <v>149</v>
      </c>
      <c r="F1096" s="3" t="s">
        <v>34</v>
      </c>
      <c r="G1096" s="3" t="s">
        <v>145</v>
      </c>
      <c r="H1096" s="3" t="s">
        <v>473</v>
      </c>
      <c r="I1096" s="6">
        <v>464.29</v>
      </c>
      <c r="J1096" s="4">
        <v>9</v>
      </c>
      <c r="K1096" s="6">
        <v>-108.33</v>
      </c>
    </row>
    <row r="1097" spans="1:11" x14ac:dyDescent="0.3">
      <c r="A1097" s="7">
        <v>41896</v>
      </c>
      <c r="B1097" s="4">
        <f>YEAR(SalesData[[#This Row],[Order Date]])</f>
        <v>2014</v>
      </c>
      <c r="C1097" s="4">
        <f>MONTH(SalesData[[#This Row],[Order Date]])</f>
        <v>9</v>
      </c>
      <c r="D1097" s="3" t="s">
        <v>1303</v>
      </c>
      <c r="E1097" s="3" t="s">
        <v>149</v>
      </c>
      <c r="F1097" s="3" t="s">
        <v>11</v>
      </c>
      <c r="G1097" s="3" t="s">
        <v>63</v>
      </c>
      <c r="H1097" s="3" t="s">
        <v>64</v>
      </c>
      <c r="I1097" s="6">
        <v>68.459999999999994</v>
      </c>
      <c r="J1097" s="4">
        <v>7</v>
      </c>
      <c r="K1097" s="6">
        <v>31.49</v>
      </c>
    </row>
    <row r="1098" spans="1:11" x14ac:dyDescent="0.3">
      <c r="A1098" s="7">
        <v>41896</v>
      </c>
      <c r="B1098" s="4">
        <f>YEAR(SalesData[[#This Row],[Order Date]])</f>
        <v>2014</v>
      </c>
      <c r="C1098" s="4">
        <f>MONTH(SalesData[[#This Row],[Order Date]])</f>
        <v>9</v>
      </c>
      <c r="D1098" s="3" t="s">
        <v>1303</v>
      </c>
      <c r="E1098" s="3" t="s">
        <v>149</v>
      </c>
      <c r="F1098" s="3" t="s">
        <v>39</v>
      </c>
      <c r="G1098" s="3" t="s">
        <v>302</v>
      </c>
      <c r="H1098" s="3" t="s">
        <v>1304</v>
      </c>
      <c r="I1098" s="6">
        <v>2799.96</v>
      </c>
      <c r="J1098" s="4">
        <v>4</v>
      </c>
      <c r="K1098" s="6">
        <v>1371.98</v>
      </c>
    </row>
    <row r="1099" spans="1:11" x14ac:dyDescent="0.3">
      <c r="A1099" s="7">
        <v>41896</v>
      </c>
      <c r="B1099" s="4">
        <f>YEAR(SalesData[[#This Row],[Order Date]])</f>
        <v>2014</v>
      </c>
      <c r="C1099" s="4">
        <f>MONTH(SalesData[[#This Row],[Order Date]])</f>
        <v>9</v>
      </c>
      <c r="D1099" s="3" t="s">
        <v>1303</v>
      </c>
      <c r="E1099" s="3" t="s">
        <v>149</v>
      </c>
      <c r="F1099" s="3" t="s">
        <v>11</v>
      </c>
      <c r="G1099" s="3" t="s">
        <v>92</v>
      </c>
      <c r="H1099" s="3" t="s">
        <v>755</v>
      </c>
      <c r="I1099" s="6">
        <v>601.29999999999995</v>
      </c>
      <c r="J1099" s="4">
        <v>2</v>
      </c>
      <c r="K1099" s="6">
        <v>198.43</v>
      </c>
    </row>
    <row r="1100" spans="1:11" x14ac:dyDescent="0.3">
      <c r="A1100" s="7">
        <v>41896</v>
      </c>
      <c r="B1100" s="4">
        <f>YEAR(SalesData[[#This Row],[Order Date]])</f>
        <v>2014</v>
      </c>
      <c r="C1100" s="4">
        <f>MONTH(SalesData[[#This Row],[Order Date]])</f>
        <v>9</v>
      </c>
      <c r="D1100" s="3" t="s">
        <v>1303</v>
      </c>
      <c r="E1100" s="3" t="s">
        <v>149</v>
      </c>
      <c r="F1100" s="3" t="s">
        <v>39</v>
      </c>
      <c r="G1100" s="3" t="s">
        <v>40</v>
      </c>
      <c r="H1100" s="3" t="s">
        <v>1305</v>
      </c>
      <c r="I1100" s="6">
        <v>16.989999999999998</v>
      </c>
      <c r="J1100" s="4">
        <v>1</v>
      </c>
      <c r="K1100" s="6">
        <v>4.42</v>
      </c>
    </row>
    <row r="1101" spans="1:11" x14ac:dyDescent="0.3">
      <c r="A1101" s="7">
        <v>41896</v>
      </c>
      <c r="B1101" s="4">
        <f>YEAR(SalesData[[#This Row],[Order Date]])</f>
        <v>2014</v>
      </c>
      <c r="C1101" s="4">
        <f>MONTH(SalesData[[#This Row],[Order Date]])</f>
        <v>9</v>
      </c>
      <c r="D1101" s="3" t="s">
        <v>1303</v>
      </c>
      <c r="E1101" s="3" t="s">
        <v>149</v>
      </c>
      <c r="F1101" s="3" t="s">
        <v>39</v>
      </c>
      <c r="G1101" s="3" t="s">
        <v>40</v>
      </c>
      <c r="H1101" s="3" t="s">
        <v>1306</v>
      </c>
      <c r="I1101" s="6">
        <v>287.97000000000003</v>
      </c>
      <c r="J1101" s="4">
        <v>3</v>
      </c>
      <c r="K1101" s="6">
        <v>80.63</v>
      </c>
    </row>
    <row r="1102" spans="1:11" x14ac:dyDescent="0.3">
      <c r="A1102" s="7">
        <v>41896</v>
      </c>
      <c r="B1102" s="4">
        <f>YEAR(SalesData[[#This Row],[Order Date]])</f>
        <v>2014</v>
      </c>
      <c r="C1102" s="4">
        <f>MONTH(SalesData[[#This Row],[Order Date]])</f>
        <v>9</v>
      </c>
      <c r="D1102" s="3" t="s">
        <v>1303</v>
      </c>
      <c r="E1102" s="3" t="s">
        <v>149</v>
      </c>
      <c r="F1102" s="3" t="s">
        <v>11</v>
      </c>
      <c r="G1102" s="3" t="s">
        <v>12</v>
      </c>
      <c r="H1102" s="3" t="s">
        <v>288</v>
      </c>
      <c r="I1102" s="6">
        <v>44.82</v>
      </c>
      <c r="J1102" s="4">
        <v>9</v>
      </c>
      <c r="K1102" s="6">
        <v>21.07</v>
      </c>
    </row>
    <row r="1103" spans="1:11" x14ac:dyDescent="0.3">
      <c r="A1103" s="7">
        <v>41896</v>
      </c>
      <c r="B1103" s="4">
        <f>YEAR(SalesData[[#This Row],[Order Date]])</f>
        <v>2014</v>
      </c>
      <c r="C1103" s="4">
        <f>MONTH(SalesData[[#This Row],[Order Date]])</f>
        <v>9</v>
      </c>
      <c r="D1103" s="3" t="s">
        <v>475</v>
      </c>
      <c r="E1103" s="3" t="s">
        <v>10</v>
      </c>
      <c r="F1103" s="3" t="s">
        <v>11</v>
      </c>
      <c r="G1103" s="3" t="s">
        <v>43</v>
      </c>
      <c r="H1103" s="3" t="s">
        <v>1307</v>
      </c>
      <c r="I1103" s="6">
        <v>6.05</v>
      </c>
      <c r="J1103" s="4">
        <v>4</v>
      </c>
      <c r="K1103" s="6">
        <v>-1.36</v>
      </c>
    </row>
    <row r="1104" spans="1:11" x14ac:dyDescent="0.3">
      <c r="A1104" s="7">
        <v>41896</v>
      </c>
      <c r="B1104" s="4">
        <f>YEAR(SalesData[[#This Row],[Order Date]])</f>
        <v>2014</v>
      </c>
      <c r="C1104" s="4">
        <f>MONTH(SalesData[[#This Row],[Order Date]])</f>
        <v>9</v>
      </c>
      <c r="D1104" s="3" t="s">
        <v>475</v>
      </c>
      <c r="E1104" s="3" t="s">
        <v>10</v>
      </c>
      <c r="F1104" s="3" t="s">
        <v>11</v>
      </c>
      <c r="G1104" s="3" t="s">
        <v>12</v>
      </c>
      <c r="H1104" s="3" t="s">
        <v>1308</v>
      </c>
      <c r="I1104" s="6">
        <v>6.85</v>
      </c>
      <c r="J1104" s="4">
        <v>2</v>
      </c>
      <c r="K1104" s="6">
        <v>2.14</v>
      </c>
    </row>
    <row r="1105" spans="1:11" x14ac:dyDescent="0.3">
      <c r="A1105" s="7">
        <v>41896</v>
      </c>
      <c r="B1105" s="4">
        <f>YEAR(SalesData[[#This Row],[Order Date]])</f>
        <v>2014</v>
      </c>
      <c r="C1105" s="4">
        <f>MONTH(SalesData[[#This Row],[Order Date]])</f>
        <v>9</v>
      </c>
      <c r="D1105" s="3" t="s">
        <v>475</v>
      </c>
      <c r="E1105" s="3" t="s">
        <v>10</v>
      </c>
      <c r="F1105" s="3" t="s">
        <v>34</v>
      </c>
      <c r="G1105" s="3" t="s">
        <v>47</v>
      </c>
      <c r="H1105" s="3" t="s">
        <v>849</v>
      </c>
      <c r="I1105" s="6">
        <v>9.9600000000000009</v>
      </c>
      <c r="J1105" s="4">
        <v>5</v>
      </c>
      <c r="K1105" s="6">
        <v>-6.72</v>
      </c>
    </row>
    <row r="1106" spans="1:11" x14ac:dyDescent="0.3">
      <c r="A1106" s="7">
        <v>41896</v>
      </c>
      <c r="B1106" s="4">
        <f>YEAR(SalesData[[#This Row],[Order Date]])</f>
        <v>2014</v>
      </c>
      <c r="C1106" s="4">
        <f>MONTH(SalesData[[#This Row],[Order Date]])</f>
        <v>9</v>
      </c>
      <c r="D1106" s="3" t="s">
        <v>475</v>
      </c>
      <c r="E1106" s="3" t="s">
        <v>10</v>
      </c>
      <c r="F1106" s="3" t="s">
        <v>11</v>
      </c>
      <c r="G1106" s="3" t="s">
        <v>20</v>
      </c>
      <c r="H1106" s="3" t="s">
        <v>1309</v>
      </c>
      <c r="I1106" s="6">
        <v>8.5500000000000007</v>
      </c>
      <c r="J1106" s="4">
        <v>2</v>
      </c>
      <c r="K1106" s="6">
        <v>-13.68</v>
      </c>
    </row>
    <row r="1107" spans="1:11" x14ac:dyDescent="0.3">
      <c r="A1107" s="7">
        <v>41897</v>
      </c>
      <c r="B1107" s="4">
        <f>YEAR(SalesData[[#This Row],[Order Date]])</f>
        <v>2014</v>
      </c>
      <c r="C1107" s="4">
        <f>MONTH(SalesData[[#This Row],[Order Date]])</f>
        <v>9</v>
      </c>
      <c r="D1107" s="3" t="s">
        <v>1310</v>
      </c>
      <c r="E1107" s="3" t="s">
        <v>23</v>
      </c>
      <c r="F1107" s="3" t="s">
        <v>34</v>
      </c>
      <c r="G1107" s="3" t="s">
        <v>47</v>
      </c>
      <c r="H1107" s="3" t="s">
        <v>1311</v>
      </c>
      <c r="I1107" s="6">
        <v>103.94</v>
      </c>
      <c r="J1107" s="4">
        <v>4</v>
      </c>
      <c r="K1107" s="6">
        <v>16.89</v>
      </c>
    </row>
    <row r="1108" spans="1:11" x14ac:dyDescent="0.3">
      <c r="A1108" s="7">
        <v>41897</v>
      </c>
      <c r="B1108" s="4">
        <f>YEAR(SalesData[[#This Row],[Order Date]])</f>
        <v>2014</v>
      </c>
      <c r="C1108" s="4">
        <f>MONTH(SalesData[[#This Row],[Order Date]])</f>
        <v>9</v>
      </c>
      <c r="D1108" s="3" t="s">
        <v>419</v>
      </c>
      <c r="E1108" s="3" t="s">
        <v>149</v>
      </c>
      <c r="F1108" s="3" t="s">
        <v>11</v>
      </c>
      <c r="G1108" s="3" t="s">
        <v>12</v>
      </c>
      <c r="H1108" s="3" t="s">
        <v>625</v>
      </c>
      <c r="I1108" s="6">
        <v>14.94</v>
      </c>
      <c r="J1108" s="4">
        <v>3</v>
      </c>
      <c r="K1108" s="6">
        <v>7.02</v>
      </c>
    </row>
    <row r="1109" spans="1:11" x14ac:dyDescent="0.3">
      <c r="A1109" s="7">
        <v>41897</v>
      </c>
      <c r="B1109" s="4">
        <f>YEAR(SalesData[[#This Row],[Order Date]])</f>
        <v>2014</v>
      </c>
      <c r="C1109" s="4">
        <f>MONTH(SalesData[[#This Row],[Order Date]])</f>
        <v>9</v>
      </c>
      <c r="D1109" s="3" t="s">
        <v>419</v>
      </c>
      <c r="E1109" s="3" t="s">
        <v>149</v>
      </c>
      <c r="F1109" s="3" t="s">
        <v>34</v>
      </c>
      <c r="G1109" s="3" t="s">
        <v>47</v>
      </c>
      <c r="H1109" s="3" t="s">
        <v>1188</v>
      </c>
      <c r="I1109" s="6">
        <v>14.56</v>
      </c>
      <c r="J1109" s="4">
        <v>2</v>
      </c>
      <c r="K1109" s="6">
        <v>6.26</v>
      </c>
    </row>
    <row r="1110" spans="1:11" x14ac:dyDescent="0.3">
      <c r="A1110" s="7">
        <v>41898</v>
      </c>
      <c r="B1110" s="4">
        <f>YEAR(SalesData[[#This Row],[Order Date]])</f>
        <v>2014</v>
      </c>
      <c r="C1110" s="4">
        <f>MONTH(SalesData[[#This Row],[Order Date]])</f>
        <v>9</v>
      </c>
      <c r="D1110" s="3" t="s">
        <v>684</v>
      </c>
      <c r="E1110" s="3" t="s">
        <v>149</v>
      </c>
      <c r="F1110" s="3" t="s">
        <v>11</v>
      </c>
      <c r="G1110" s="3" t="s">
        <v>20</v>
      </c>
      <c r="H1110" s="3" t="s">
        <v>847</v>
      </c>
      <c r="I1110" s="6">
        <v>33.549999999999997</v>
      </c>
      <c r="J1110" s="4">
        <v>1</v>
      </c>
      <c r="K1110" s="6">
        <v>12.58</v>
      </c>
    </row>
    <row r="1111" spans="1:11" x14ac:dyDescent="0.3">
      <c r="A1111" s="7">
        <v>41899</v>
      </c>
      <c r="B1111" s="4">
        <f>YEAR(SalesData[[#This Row],[Order Date]])</f>
        <v>2014</v>
      </c>
      <c r="C1111" s="4">
        <f>MONTH(SalesData[[#This Row],[Order Date]])</f>
        <v>9</v>
      </c>
      <c r="D1111" s="3" t="s">
        <v>1312</v>
      </c>
      <c r="E1111" s="3" t="s">
        <v>23</v>
      </c>
      <c r="F1111" s="3" t="s">
        <v>11</v>
      </c>
      <c r="G1111" s="3" t="s">
        <v>20</v>
      </c>
      <c r="H1111" s="3" t="s">
        <v>1313</v>
      </c>
      <c r="I1111" s="6">
        <v>5.89</v>
      </c>
      <c r="J1111" s="4">
        <v>4</v>
      </c>
      <c r="K1111" s="6">
        <v>-4.12</v>
      </c>
    </row>
    <row r="1112" spans="1:11" x14ac:dyDescent="0.3">
      <c r="A1112" s="7">
        <v>41899</v>
      </c>
      <c r="B1112" s="4">
        <f>YEAR(SalesData[[#This Row],[Order Date]])</f>
        <v>2014</v>
      </c>
      <c r="C1112" s="4">
        <f>MONTH(SalesData[[#This Row],[Order Date]])</f>
        <v>9</v>
      </c>
      <c r="D1112" s="3" t="s">
        <v>1254</v>
      </c>
      <c r="E1112" s="3" t="s">
        <v>245</v>
      </c>
      <c r="F1112" s="3" t="s">
        <v>39</v>
      </c>
      <c r="G1112" s="3" t="s">
        <v>52</v>
      </c>
      <c r="H1112" s="3" t="s">
        <v>1314</v>
      </c>
      <c r="I1112" s="6">
        <v>47.98</v>
      </c>
      <c r="J1112" s="4">
        <v>2</v>
      </c>
      <c r="K1112" s="6">
        <v>13.2</v>
      </c>
    </row>
    <row r="1113" spans="1:11" x14ac:dyDescent="0.3">
      <c r="A1113" s="7">
        <v>41899</v>
      </c>
      <c r="B1113" s="4">
        <f>YEAR(SalesData[[#This Row],[Order Date]])</f>
        <v>2014</v>
      </c>
      <c r="C1113" s="4">
        <f>MONTH(SalesData[[#This Row],[Order Date]])</f>
        <v>9</v>
      </c>
      <c r="D1113" s="3" t="s">
        <v>1254</v>
      </c>
      <c r="E1113" s="3" t="s">
        <v>245</v>
      </c>
      <c r="F1113" s="3" t="s">
        <v>11</v>
      </c>
      <c r="G1113" s="3" t="s">
        <v>12</v>
      </c>
      <c r="H1113" s="3" t="s">
        <v>1315</v>
      </c>
      <c r="I1113" s="6">
        <v>4.62</v>
      </c>
      <c r="J1113" s="4">
        <v>1</v>
      </c>
      <c r="K1113" s="6">
        <v>1.68</v>
      </c>
    </row>
    <row r="1114" spans="1:11" x14ac:dyDescent="0.3">
      <c r="A1114" s="7">
        <v>41899</v>
      </c>
      <c r="B1114" s="4">
        <f>YEAR(SalesData[[#This Row],[Order Date]])</f>
        <v>2014</v>
      </c>
      <c r="C1114" s="4">
        <f>MONTH(SalesData[[#This Row],[Order Date]])</f>
        <v>9</v>
      </c>
      <c r="D1114" s="3" t="s">
        <v>314</v>
      </c>
      <c r="E1114" s="3" t="s">
        <v>164</v>
      </c>
      <c r="F1114" s="3" t="s">
        <v>11</v>
      </c>
      <c r="G1114" s="3" t="s">
        <v>18</v>
      </c>
      <c r="H1114" s="3" t="s">
        <v>1316</v>
      </c>
      <c r="I1114" s="6">
        <v>30.28</v>
      </c>
      <c r="J1114" s="4">
        <v>2</v>
      </c>
      <c r="K1114" s="6">
        <v>1.21</v>
      </c>
    </row>
    <row r="1115" spans="1:11" x14ac:dyDescent="0.3">
      <c r="A1115" s="7">
        <v>41899</v>
      </c>
      <c r="B1115" s="4">
        <f>YEAR(SalesData[[#This Row],[Order Date]])</f>
        <v>2014</v>
      </c>
      <c r="C1115" s="4">
        <f>MONTH(SalesData[[#This Row],[Order Date]])</f>
        <v>9</v>
      </c>
      <c r="D1115" s="3" t="s">
        <v>314</v>
      </c>
      <c r="E1115" s="3" t="s">
        <v>164</v>
      </c>
      <c r="F1115" s="3" t="s">
        <v>11</v>
      </c>
      <c r="G1115" s="3" t="s">
        <v>18</v>
      </c>
      <c r="H1115" s="3" t="s">
        <v>1317</v>
      </c>
      <c r="I1115" s="6">
        <v>57.93</v>
      </c>
      <c r="J1115" s="4">
        <v>3</v>
      </c>
      <c r="K1115" s="6">
        <v>16.22</v>
      </c>
    </row>
    <row r="1116" spans="1:11" x14ac:dyDescent="0.3">
      <c r="A1116" s="7">
        <v>41899</v>
      </c>
      <c r="B1116" s="4">
        <f>YEAR(SalesData[[#This Row],[Order Date]])</f>
        <v>2014</v>
      </c>
      <c r="C1116" s="4">
        <f>MONTH(SalesData[[#This Row],[Order Date]])</f>
        <v>9</v>
      </c>
      <c r="D1116" s="3" t="s">
        <v>314</v>
      </c>
      <c r="E1116" s="3" t="s">
        <v>164</v>
      </c>
      <c r="F1116" s="3" t="s">
        <v>34</v>
      </c>
      <c r="G1116" s="3" t="s">
        <v>47</v>
      </c>
      <c r="H1116" s="3" t="s">
        <v>1318</v>
      </c>
      <c r="I1116" s="6">
        <v>35.340000000000003</v>
      </c>
      <c r="J1116" s="4">
        <v>2</v>
      </c>
      <c r="K1116" s="6">
        <v>13.43</v>
      </c>
    </row>
    <row r="1117" spans="1:11" x14ac:dyDescent="0.3">
      <c r="A1117" s="7">
        <v>41899</v>
      </c>
      <c r="B1117" s="4">
        <f>YEAR(SalesData[[#This Row],[Order Date]])</f>
        <v>2014</v>
      </c>
      <c r="C1117" s="4">
        <f>MONTH(SalesData[[#This Row],[Order Date]])</f>
        <v>9</v>
      </c>
      <c r="D1117" s="3" t="s">
        <v>314</v>
      </c>
      <c r="E1117" s="3" t="s">
        <v>164</v>
      </c>
      <c r="F1117" s="3" t="s">
        <v>11</v>
      </c>
      <c r="G1117" s="3" t="s">
        <v>20</v>
      </c>
      <c r="H1117" s="3" t="s">
        <v>368</v>
      </c>
      <c r="I1117" s="6">
        <v>137.24</v>
      </c>
      <c r="J1117" s="4">
        <v>5</v>
      </c>
      <c r="K1117" s="6">
        <v>46.32</v>
      </c>
    </row>
    <row r="1118" spans="1:11" x14ac:dyDescent="0.3">
      <c r="A1118" s="7">
        <v>41899</v>
      </c>
      <c r="B1118" s="4">
        <f>YEAR(SalesData[[#This Row],[Order Date]])</f>
        <v>2014</v>
      </c>
      <c r="C1118" s="4">
        <f>MONTH(SalesData[[#This Row],[Order Date]])</f>
        <v>9</v>
      </c>
      <c r="D1118" s="3" t="s">
        <v>789</v>
      </c>
      <c r="E1118" s="3" t="s">
        <v>27</v>
      </c>
      <c r="F1118" s="3" t="s">
        <v>11</v>
      </c>
      <c r="G1118" s="3" t="s">
        <v>63</v>
      </c>
      <c r="H1118" s="3" t="s">
        <v>1319</v>
      </c>
      <c r="I1118" s="6">
        <v>182.94</v>
      </c>
      <c r="J1118" s="4">
        <v>3</v>
      </c>
      <c r="K1118" s="6">
        <v>85.98</v>
      </c>
    </row>
    <row r="1119" spans="1:11" x14ac:dyDescent="0.3">
      <c r="A1119" s="7">
        <v>41899</v>
      </c>
      <c r="B1119" s="4">
        <f>YEAR(SalesData[[#This Row],[Order Date]])</f>
        <v>2014</v>
      </c>
      <c r="C1119" s="4">
        <f>MONTH(SalesData[[#This Row],[Order Date]])</f>
        <v>9</v>
      </c>
      <c r="D1119" s="3" t="s">
        <v>1320</v>
      </c>
      <c r="E1119" s="3" t="s">
        <v>91</v>
      </c>
      <c r="F1119" s="3" t="s">
        <v>11</v>
      </c>
      <c r="G1119" s="3" t="s">
        <v>24</v>
      </c>
      <c r="H1119" s="3" t="s">
        <v>1321</v>
      </c>
      <c r="I1119" s="6">
        <v>5.25</v>
      </c>
      <c r="J1119" s="4">
        <v>2</v>
      </c>
      <c r="K1119" s="6">
        <v>0.46</v>
      </c>
    </row>
    <row r="1120" spans="1:11" x14ac:dyDescent="0.3">
      <c r="A1120" s="7">
        <v>41899</v>
      </c>
      <c r="B1120" s="4">
        <f>YEAR(SalesData[[#This Row],[Order Date]])</f>
        <v>2014</v>
      </c>
      <c r="C1120" s="4">
        <f>MONTH(SalesData[[#This Row],[Order Date]])</f>
        <v>9</v>
      </c>
      <c r="D1120" s="3" t="s">
        <v>1320</v>
      </c>
      <c r="E1120" s="3" t="s">
        <v>91</v>
      </c>
      <c r="F1120" s="3" t="s">
        <v>11</v>
      </c>
      <c r="G1120" s="3" t="s">
        <v>24</v>
      </c>
      <c r="H1120" s="3" t="s">
        <v>1322</v>
      </c>
      <c r="I1120" s="6">
        <v>38.26</v>
      </c>
      <c r="J1120" s="4">
        <v>3</v>
      </c>
      <c r="K1120" s="6">
        <v>4.78</v>
      </c>
    </row>
    <row r="1121" spans="1:11" x14ac:dyDescent="0.3">
      <c r="A1121" s="7">
        <v>41899</v>
      </c>
      <c r="B1121" s="4">
        <f>YEAR(SalesData[[#This Row],[Order Date]])</f>
        <v>2014</v>
      </c>
      <c r="C1121" s="4">
        <f>MONTH(SalesData[[#This Row],[Order Date]])</f>
        <v>9</v>
      </c>
      <c r="D1121" s="3" t="s">
        <v>1320</v>
      </c>
      <c r="E1121" s="3" t="s">
        <v>91</v>
      </c>
      <c r="F1121" s="3" t="s">
        <v>11</v>
      </c>
      <c r="G1121" s="3" t="s">
        <v>12</v>
      </c>
      <c r="H1121" s="3" t="s">
        <v>1141</v>
      </c>
      <c r="I1121" s="6">
        <v>40.24</v>
      </c>
      <c r="J1121" s="4">
        <v>5</v>
      </c>
      <c r="K1121" s="6">
        <v>13.08</v>
      </c>
    </row>
    <row r="1122" spans="1:11" x14ac:dyDescent="0.3">
      <c r="A1122" s="7">
        <v>41899</v>
      </c>
      <c r="B1122" s="4">
        <f>YEAR(SalesData[[#This Row],[Order Date]])</f>
        <v>2014</v>
      </c>
      <c r="C1122" s="4">
        <f>MONTH(SalesData[[#This Row],[Order Date]])</f>
        <v>9</v>
      </c>
      <c r="D1122" s="3" t="s">
        <v>1320</v>
      </c>
      <c r="E1122" s="3" t="s">
        <v>91</v>
      </c>
      <c r="F1122" s="3" t="s">
        <v>39</v>
      </c>
      <c r="G1122" s="3" t="s">
        <v>302</v>
      </c>
      <c r="H1122" s="3" t="s">
        <v>1323</v>
      </c>
      <c r="I1122" s="6">
        <v>29.93</v>
      </c>
      <c r="J1122" s="4">
        <v>5</v>
      </c>
      <c r="K1122" s="6">
        <v>-21.95</v>
      </c>
    </row>
    <row r="1123" spans="1:11" x14ac:dyDescent="0.3">
      <c r="A1123" s="7">
        <v>41899</v>
      </c>
      <c r="B1123" s="4">
        <f>YEAR(SalesData[[#This Row],[Order Date]])</f>
        <v>2014</v>
      </c>
      <c r="C1123" s="4">
        <f>MONTH(SalesData[[#This Row],[Order Date]])</f>
        <v>9</v>
      </c>
      <c r="D1123" s="3" t="s">
        <v>1320</v>
      </c>
      <c r="E1123" s="3" t="s">
        <v>91</v>
      </c>
      <c r="F1123" s="3" t="s">
        <v>11</v>
      </c>
      <c r="G1123" s="3" t="s">
        <v>12</v>
      </c>
      <c r="H1123" s="3" t="s">
        <v>1324</v>
      </c>
      <c r="I1123" s="6">
        <v>148.69999999999999</v>
      </c>
      <c r="J1123" s="4">
        <v>6</v>
      </c>
      <c r="K1123" s="6">
        <v>46.47</v>
      </c>
    </row>
    <row r="1124" spans="1:11" x14ac:dyDescent="0.3">
      <c r="A1124" s="7">
        <v>41899</v>
      </c>
      <c r="B1124" s="4">
        <f>YEAR(SalesData[[#This Row],[Order Date]])</f>
        <v>2014</v>
      </c>
      <c r="C1124" s="4">
        <f>MONTH(SalesData[[#This Row],[Order Date]])</f>
        <v>9</v>
      </c>
      <c r="D1124" s="3" t="s">
        <v>1320</v>
      </c>
      <c r="E1124" s="3" t="s">
        <v>91</v>
      </c>
      <c r="F1124" s="3" t="s">
        <v>39</v>
      </c>
      <c r="G1124" s="3" t="s">
        <v>52</v>
      </c>
      <c r="H1124" s="3" t="s">
        <v>1325</v>
      </c>
      <c r="I1124" s="6">
        <v>55.92</v>
      </c>
      <c r="J1124" s="4">
        <v>10</v>
      </c>
      <c r="K1124" s="6">
        <v>16.78</v>
      </c>
    </row>
    <row r="1125" spans="1:11" x14ac:dyDescent="0.3">
      <c r="A1125" s="7">
        <v>41901</v>
      </c>
      <c r="B1125" s="4">
        <f>YEAR(SalesData[[#This Row],[Order Date]])</f>
        <v>2014</v>
      </c>
      <c r="C1125" s="4">
        <f>MONTH(SalesData[[#This Row],[Order Date]])</f>
        <v>9</v>
      </c>
      <c r="D1125" s="3" t="s">
        <v>637</v>
      </c>
      <c r="E1125" s="3" t="s">
        <v>10</v>
      </c>
      <c r="F1125" s="3" t="s">
        <v>39</v>
      </c>
      <c r="G1125" s="3" t="s">
        <v>302</v>
      </c>
      <c r="H1125" s="3" t="s">
        <v>1236</v>
      </c>
      <c r="I1125" s="6">
        <v>3059.98</v>
      </c>
      <c r="J1125" s="4">
        <v>3</v>
      </c>
      <c r="K1125" s="6">
        <v>-510</v>
      </c>
    </row>
    <row r="1126" spans="1:11" x14ac:dyDescent="0.3">
      <c r="A1126" s="7">
        <v>41901</v>
      </c>
      <c r="B1126" s="4">
        <f>YEAR(SalesData[[#This Row],[Order Date]])</f>
        <v>2014</v>
      </c>
      <c r="C1126" s="4">
        <f>MONTH(SalesData[[#This Row],[Order Date]])</f>
        <v>9</v>
      </c>
      <c r="D1126" s="3" t="s">
        <v>637</v>
      </c>
      <c r="E1126" s="3" t="s">
        <v>10</v>
      </c>
      <c r="F1126" s="3" t="s">
        <v>39</v>
      </c>
      <c r="G1126" s="3" t="s">
        <v>302</v>
      </c>
      <c r="H1126" s="3" t="s">
        <v>1326</v>
      </c>
      <c r="I1126" s="6">
        <v>2519.96</v>
      </c>
      <c r="J1126" s="4">
        <v>7</v>
      </c>
      <c r="K1126" s="6">
        <v>-252</v>
      </c>
    </row>
    <row r="1127" spans="1:11" x14ac:dyDescent="0.3">
      <c r="A1127" s="7">
        <v>41901</v>
      </c>
      <c r="B1127" s="4">
        <f>YEAR(SalesData[[#This Row],[Order Date]])</f>
        <v>2014</v>
      </c>
      <c r="C1127" s="4">
        <f>MONTH(SalesData[[#This Row],[Order Date]])</f>
        <v>9</v>
      </c>
      <c r="D1127" s="3" t="s">
        <v>1327</v>
      </c>
      <c r="E1127" s="3" t="s">
        <v>27</v>
      </c>
      <c r="F1127" s="3" t="s">
        <v>11</v>
      </c>
      <c r="G1127" s="3" t="s">
        <v>43</v>
      </c>
      <c r="H1127" s="3" t="s">
        <v>827</v>
      </c>
      <c r="I1127" s="6">
        <v>7.16</v>
      </c>
      <c r="J1127" s="4">
        <v>2</v>
      </c>
      <c r="K1127" s="6">
        <v>3.58</v>
      </c>
    </row>
    <row r="1128" spans="1:11" x14ac:dyDescent="0.3">
      <c r="A1128" s="7">
        <v>41901</v>
      </c>
      <c r="B1128" s="4">
        <f>YEAR(SalesData[[#This Row],[Order Date]])</f>
        <v>2014</v>
      </c>
      <c r="C1128" s="4">
        <f>MONTH(SalesData[[#This Row],[Order Date]])</f>
        <v>9</v>
      </c>
      <c r="D1128" s="3" t="s">
        <v>537</v>
      </c>
      <c r="E1128" s="3" t="s">
        <v>245</v>
      </c>
      <c r="F1128" s="3" t="s">
        <v>11</v>
      </c>
      <c r="G1128" s="3" t="s">
        <v>18</v>
      </c>
      <c r="H1128" s="3" t="s">
        <v>1328</v>
      </c>
      <c r="I1128" s="6">
        <v>67.34</v>
      </c>
      <c r="J1128" s="4">
        <v>6</v>
      </c>
      <c r="K1128" s="6">
        <v>7.58</v>
      </c>
    </row>
    <row r="1129" spans="1:11" x14ac:dyDescent="0.3">
      <c r="A1129" s="7">
        <v>41901</v>
      </c>
      <c r="B1129" s="4">
        <f>YEAR(SalesData[[#This Row],[Order Date]])</f>
        <v>2014</v>
      </c>
      <c r="C1129" s="4">
        <f>MONTH(SalesData[[#This Row],[Order Date]])</f>
        <v>9</v>
      </c>
      <c r="D1129" s="3" t="s">
        <v>537</v>
      </c>
      <c r="E1129" s="3" t="s">
        <v>245</v>
      </c>
      <c r="F1129" s="3" t="s">
        <v>39</v>
      </c>
      <c r="G1129" s="3" t="s">
        <v>302</v>
      </c>
      <c r="H1129" s="3" t="s">
        <v>1329</v>
      </c>
      <c r="I1129" s="6">
        <v>2624.99</v>
      </c>
      <c r="J1129" s="4">
        <v>3</v>
      </c>
      <c r="K1129" s="6">
        <v>-944.99</v>
      </c>
    </row>
    <row r="1130" spans="1:11" x14ac:dyDescent="0.3">
      <c r="A1130" s="7">
        <v>41901</v>
      </c>
      <c r="B1130" s="4">
        <f>YEAR(SalesData[[#This Row],[Order Date]])</f>
        <v>2014</v>
      </c>
      <c r="C1130" s="4">
        <f>MONTH(SalesData[[#This Row],[Order Date]])</f>
        <v>9</v>
      </c>
      <c r="D1130" s="3" t="s">
        <v>615</v>
      </c>
      <c r="E1130" s="3" t="s">
        <v>149</v>
      </c>
      <c r="F1130" s="3" t="s">
        <v>34</v>
      </c>
      <c r="G1130" s="3" t="s">
        <v>35</v>
      </c>
      <c r="H1130" s="3" t="s">
        <v>723</v>
      </c>
      <c r="I1130" s="6">
        <v>887.1</v>
      </c>
      <c r="J1130" s="4">
        <v>7</v>
      </c>
      <c r="K1130" s="6">
        <v>177.42</v>
      </c>
    </row>
    <row r="1131" spans="1:11" x14ac:dyDescent="0.3">
      <c r="A1131" s="7">
        <v>41901</v>
      </c>
      <c r="B1131" s="4">
        <f>YEAR(SalesData[[#This Row],[Order Date]])</f>
        <v>2014</v>
      </c>
      <c r="C1131" s="4">
        <f>MONTH(SalesData[[#This Row],[Order Date]])</f>
        <v>9</v>
      </c>
      <c r="D1131" s="3" t="s">
        <v>1330</v>
      </c>
      <c r="E1131" s="3" t="s">
        <v>164</v>
      </c>
      <c r="F1131" s="3" t="s">
        <v>11</v>
      </c>
      <c r="G1131" s="3" t="s">
        <v>18</v>
      </c>
      <c r="H1131" s="3" t="s">
        <v>1331</v>
      </c>
      <c r="I1131" s="6">
        <v>92.52</v>
      </c>
      <c r="J1131" s="4">
        <v>6</v>
      </c>
      <c r="K1131" s="6">
        <v>24.98</v>
      </c>
    </row>
    <row r="1132" spans="1:11" x14ac:dyDescent="0.3">
      <c r="A1132" s="7">
        <v>41901</v>
      </c>
      <c r="B1132" s="4">
        <f>YEAR(SalesData[[#This Row],[Order Date]])</f>
        <v>2014</v>
      </c>
      <c r="C1132" s="4">
        <f>MONTH(SalesData[[#This Row],[Order Date]])</f>
        <v>9</v>
      </c>
      <c r="D1132" s="3" t="s">
        <v>1332</v>
      </c>
      <c r="E1132" s="3" t="s">
        <v>27</v>
      </c>
      <c r="F1132" s="3" t="s">
        <v>11</v>
      </c>
      <c r="G1132" s="3" t="s">
        <v>43</v>
      </c>
      <c r="H1132" s="3" t="s">
        <v>1307</v>
      </c>
      <c r="I1132" s="6">
        <v>5.67</v>
      </c>
      <c r="J1132" s="4">
        <v>3</v>
      </c>
      <c r="K1132" s="6">
        <v>0.11</v>
      </c>
    </row>
    <row r="1133" spans="1:11" x14ac:dyDescent="0.3">
      <c r="A1133" s="7">
        <v>41901</v>
      </c>
      <c r="B1133" s="4">
        <f>YEAR(SalesData[[#This Row],[Order Date]])</f>
        <v>2014</v>
      </c>
      <c r="C1133" s="4">
        <f>MONTH(SalesData[[#This Row],[Order Date]])</f>
        <v>9</v>
      </c>
      <c r="D1133" s="3" t="s">
        <v>171</v>
      </c>
      <c r="E1133" s="3" t="s">
        <v>95</v>
      </c>
      <c r="F1133" s="3" t="s">
        <v>34</v>
      </c>
      <c r="G1133" s="3" t="s">
        <v>145</v>
      </c>
      <c r="H1133" s="3" t="s">
        <v>1333</v>
      </c>
      <c r="I1133" s="6">
        <v>73.92</v>
      </c>
      <c r="J1133" s="4">
        <v>1</v>
      </c>
      <c r="K1133" s="6">
        <v>-45.83</v>
      </c>
    </row>
    <row r="1134" spans="1:11" x14ac:dyDescent="0.3">
      <c r="A1134" s="7">
        <v>41902</v>
      </c>
      <c r="B1134" s="4">
        <f>YEAR(SalesData[[#This Row],[Order Date]])</f>
        <v>2014</v>
      </c>
      <c r="C1134" s="4">
        <f>MONTH(SalesData[[#This Row],[Order Date]])</f>
        <v>9</v>
      </c>
      <c r="D1134" s="3" t="s">
        <v>1334</v>
      </c>
      <c r="E1134" s="3" t="s">
        <v>15</v>
      </c>
      <c r="F1134" s="3" t="s">
        <v>34</v>
      </c>
      <c r="G1134" s="3" t="s">
        <v>145</v>
      </c>
      <c r="H1134" s="3" t="s">
        <v>810</v>
      </c>
      <c r="I1134" s="6">
        <v>617.70000000000005</v>
      </c>
      <c r="J1134" s="4">
        <v>6</v>
      </c>
      <c r="K1134" s="6">
        <v>-407.68</v>
      </c>
    </row>
    <row r="1135" spans="1:11" x14ac:dyDescent="0.3">
      <c r="A1135" s="7">
        <v>41902</v>
      </c>
      <c r="B1135" s="4">
        <f>YEAR(SalesData[[#This Row],[Order Date]])</f>
        <v>2014</v>
      </c>
      <c r="C1135" s="4">
        <f>MONTH(SalesData[[#This Row],[Order Date]])</f>
        <v>9</v>
      </c>
      <c r="D1135" s="3" t="s">
        <v>1335</v>
      </c>
      <c r="E1135" s="3" t="s">
        <v>27</v>
      </c>
      <c r="F1135" s="3" t="s">
        <v>11</v>
      </c>
      <c r="G1135" s="3" t="s">
        <v>16</v>
      </c>
      <c r="H1135" s="3" t="s">
        <v>1336</v>
      </c>
      <c r="I1135" s="6">
        <v>9.9600000000000009</v>
      </c>
      <c r="J1135" s="4">
        <v>2</v>
      </c>
      <c r="K1135" s="6">
        <v>4.58</v>
      </c>
    </row>
    <row r="1136" spans="1:11" x14ac:dyDescent="0.3">
      <c r="A1136" s="7">
        <v>41902</v>
      </c>
      <c r="B1136" s="4">
        <f>YEAR(SalesData[[#This Row],[Order Date]])</f>
        <v>2014</v>
      </c>
      <c r="C1136" s="4">
        <f>MONTH(SalesData[[#This Row],[Order Date]])</f>
        <v>9</v>
      </c>
      <c r="D1136" s="3" t="s">
        <v>1335</v>
      </c>
      <c r="E1136" s="3" t="s">
        <v>27</v>
      </c>
      <c r="F1136" s="3" t="s">
        <v>11</v>
      </c>
      <c r="G1136" s="3" t="s">
        <v>12</v>
      </c>
      <c r="H1136" s="3" t="s">
        <v>1337</v>
      </c>
      <c r="I1136" s="6">
        <v>21.72</v>
      </c>
      <c r="J1136" s="4">
        <v>4</v>
      </c>
      <c r="K1136" s="6">
        <v>10.64</v>
      </c>
    </row>
    <row r="1137" spans="1:11" x14ac:dyDescent="0.3">
      <c r="A1137" s="7">
        <v>41902</v>
      </c>
      <c r="B1137" s="4">
        <f>YEAR(SalesData[[#This Row],[Order Date]])</f>
        <v>2014</v>
      </c>
      <c r="C1137" s="4">
        <f>MONTH(SalesData[[#This Row],[Order Date]])</f>
        <v>9</v>
      </c>
      <c r="D1137" s="3" t="s">
        <v>556</v>
      </c>
      <c r="E1137" s="3" t="s">
        <v>123</v>
      </c>
      <c r="F1137" s="3" t="s">
        <v>11</v>
      </c>
      <c r="G1137" s="3" t="s">
        <v>24</v>
      </c>
      <c r="H1137" s="3" t="s">
        <v>841</v>
      </c>
      <c r="I1137" s="6">
        <v>2.82</v>
      </c>
      <c r="J1137" s="4">
        <v>2</v>
      </c>
      <c r="K1137" s="6">
        <v>0.99</v>
      </c>
    </row>
    <row r="1138" spans="1:11" x14ac:dyDescent="0.3">
      <c r="A1138" s="7">
        <v>41902</v>
      </c>
      <c r="B1138" s="4">
        <f>YEAR(SalesData[[#This Row],[Order Date]])</f>
        <v>2014</v>
      </c>
      <c r="C1138" s="4">
        <f>MONTH(SalesData[[#This Row],[Order Date]])</f>
        <v>9</v>
      </c>
      <c r="D1138" s="3" t="s">
        <v>1338</v>
      </c>
      <c r="E1138" s="3" t="s">
        <v>27</v>
      </c>
      <c r="F1138" s="3" t="s">
        <v>11</v>
      </c>
      <c r="G1138" s="3" t="s">
        <v>92</v>
      </c>
      <c r="H1138" s="3" t="s">
        <v>658</v>
      </c>
      <c r="I1138" s="6">
        <v>43.92</v>
      </c>
      <c r="J1138" s="4">
        <v>4</v>
      </c>
      <c r="K1138" s="6">
        <v>11.86</v>
      </c>
    </row>
    <row r="1139" spans="1:11" x14ac:dyDescent="0.3">
      <c r="A1139" s="7">
        <v>41902</v>
      </c>
      <c r="B1139" s="4">
        <f>YEAR(SalesData[[#This Row],[Order Date]])</f>
        <v>2014</v>
      </c>
      <c r="C1139" s="4">
        <f>MONTH(SalesData[[#This Row],[Order Date]])</f>
        <v>9</v>
      </c>
      <c r="D1139" s="3" t="s">
        <v>1338</v>
      </c>
      <c r="E1139" s="3" t="s">
        <v>27</v>
      </c>
      <c r="F1139" s="3" t="s">
        <v>11</v>
      </c>
      <c r="G1139" s="3" t="s">
        <v>20</v>
      </c>
      <c r="H1139" s="3" t="s">
        <v>431</v>
      </c>
      <c r="I1139" s="6">
        <v>20.23</v>
      </c>
      <c r="J1139" s="4">
        <v>3</v>
      </c>
      <c r="K1139" s="6">
        <v>6.58</v>
      </c>
    </row>
    <row r="1140" spans="1:11" x14ac:dyDescent="0.3">
      <c r="A1140" s="7">
        <v>41902</v>
      </c>
      <c r="B1140" s="4">
        <f>YEAR(SalesData[[#This Row],[Order Date]])</f>
        <v>2014</v>
      </c>
      <c r="C1140" s="4">
        <f>MONTH(SalesData[[#This Row],[Order Date]])</f>
        <v>9</v>
      </c>
      <c r="D1140" s="3" t="s">
        <v>1339</v>
      </c>
      <c r="E1140" s="3" t="s">
        <v>531</v>
      </c>
      <c r="F1140" s="3" t="s">
        <v>34</v>
      </c>
      <c r="G1140" s="3" t="s">
        <v>47</v>
      </c>
      <c r="H1140" s="3" t="s">
        <v>1340</v>
      </c>
      <c r="I1140" s="6">
        <v>164.22</v>
      </c>
      <c r="J1140" s="4">
        <v>3</v>
      </c>
      <c r="K1140" s="6">
        <v>50.91</v>
      </c>
    </row>
    <row r="1141" spans="1:11" x14ac:dyDescent="0.3">
      <c r="A1141" s="7">
        <v>41902</v>
      </c>
      <c r="B1141" s="4">
        <f>YEAR(SalesData[[#This Row],[Order Date]])</f>
        <v>2014</v>
      </c>
      <c r="C1141" s="4">
        <f>MONTH(SalesData[[#This Row],[Order Date]])</f>
        <v>9</v>
      </c>
      <c r="D1141" s="3" t="s">
        <v>1339</v>
      </c>
      <c r="E1141" s="3" t="s">
        <v>531</v>
      </c>
      <c r="F1141" s="3" t="s">
        <v>34</v>
      </c>
      <c r="G1141" s="3" t="s">
        <v>74</v>
      </c>
      <c r="H1141" s="3" t="s">
        <v>412</v>
      </c>
      <c r="I1141" s="6">
        <v>362.94</v>
      </c>
      <c r="J1141" s="4">
        <v>3</v>
      </c>
      <c r="K1141" s="6">
        <v>36.29</v>
      </c>
    </row>
    <row r="1142" spans="1:11" x14ac:dyDescent="0.3">
      <c r="A1142" s="7">
        <v>41902</v>
      </c>
      <c r="B1142" s="4">
        <f>YEAR(SalesData[[#This Row],[Order Date]])</f>
        <v>2014</v>
      </c>
      <c r="C1142" s="4">
        <f>MONTH(SalesData[[#This Row],[Order Date]])</f>
        <v>9</v>
      </c>
      <c r="D1142" s="3" t="s">
        <v>1339</v>
      </c>
      <c r="E1142" s="3" t="s">
        <v>531</v>
      </c>
      <c r="F1142" s="3" t="s">
        <v>39</v>
      </c>
      <c r="G1142" s="3" t="s">
        <v>52</v>
      </c>
      <c r="H1142" s="3" t="s">
        <v>84</v>
      </c>
      <c r="I1142" s="6">
        <v>59.98</v>
      </c>
      <c r="J1142" s="4">
        <v>2</v>
      </c>
      <c r="K1142" s="6">
        <v>26.39</v>
      </c>
    </row>
    <row r="1143" spans="1:11" x14ac:dyDescent="0.3">
      <c r="A1143" s="7">
        <v>41902</v>
      </c>
      <c r="B1143" s="4">
        <f>YEAR(SalesData[[#This Row],[Order Date]])</f>
        <v>2014</v>
      </c>
      <c r="C1143" s="4">
        <f>MONTH(SalesData[[#This Row],[Order Date]])</f>
        <v>9</v>
      </c>
      <c r="D1143" s="3" t="s">
        <v>1341</v>
      </c>
      <c r="E1143" s="3" t="s">
        <v>15</v>
      </c>
      <c r="F1143" s="3" t="s">
        <v>34</v>
      </c>
      <c r="G1143" s="3" t="s">
        <v>74</v>
      </c>
      <c r="H1143" s="3" t="s">
        <v>342</v>
      </c>
      <c r="I1143" s="6">
        <v>493.43</v>
      </c>
      <c r="J1143" s="4">
        <v>5</v>
      </c>
      <c r="K1143" s="6">
        <v>-70.489999999999995</v>
      </c>
    </row>
    <row r="1144" spans="1:11" x14ac:dyDescent="0.3">
      <c r="A1144" s="7">
        <v>41902</v>
      </c>
      <c r="B1144" s="4">
        <f>YEAR(SalesData[[#This Row],[Order Date]])</f>
        <v>2014</v>
      </c>
      <c r="C1144" s="4">
        <f>MONTH(SalesData[[#This Row],[Order Date]])</f>
        <v>9</v>
      </c>
      <c r="D1144" s="3" t="s">
        <v>1341</v>
      </c>
      <c r="E1144" s="3" t="s">
        <v>15</v>
      </c>
      <c r="F1144" s="3" t="s">
        <v>39</v>
      </c>
      <c r="G1144" s="3" t="s">
        <v>40</v>
      </c>
      <c r="H1144" s="3" t="s">
        <v>1342</v>
      </c>
      <c r="I1144" s="6">
        <v>11.12</v>
      </c>
      <c r="J1144" s="4">
        <v>2</v>
      </c>
      <c r="K1144" s="6">
        <v>3.48</v>
      </c>
    </row>
    <row r="1145" spans="1:11" x14ac:dyDescent="0.3">
      <c r="A1145" s="7">
        <v>41902</v>
      </c>
      <c r="B1145" s="4">
        <f>YEAR(SalesData[[#This Row],[Order Date]])</f>
        <v>2014</v>
      </c>
      <c r="C1145" s="4">
        <f>MONTH(SalesData[[#This Row],[Order Date]])</f>
        <v>9</v>
      </c>
      <c r="D1145" s="3" t="s">
        <v>1343</v>
      </c>
      <c r="E1145" s="3" t="s">
        <v>27</v>
      </c>
      <c r="F1145" s="3" t="s">
        <v>11</v>
      </c>
      <c r="G1145" s="3" t="s">
        <v>12</v>
      </c>
      <c r="H1145" s="3" t="s">
        <v>1308</v>
      </c>
      <c r="I1145" s="6">
        <v>8.56</v>
      </c>
      <c r="J1145" s="4">
        <v>2</v>
      </c>
      <c r="K1145" s="6">
        <v>3.85</v>
      </c>
    </row>
    <row r="1146" spans="1:11" x14ac:dyDescent="0.3">
      <c r="A1146" s="7">
        <v>41902</v>
      </c>
      <c r="B1146" s="4">
        <f>YEAR(SalesData[[#This Row],[Order Date]])</f>
        <v>2014</v>
      </c>
      <c r="C1146" s="4">
        <f>MONTH(SalesData[[#This Row],[Order Date]])</f>
        <v>9</v>
      </c>
      <c r="D1146" s="3" t="s">
        <v>1172</v>
      </c>
      <c r="E1146" s="3" t="s">
        <v>149</v>
      </c>
      <c r="F1146" s="3" t="s">
        <v>39</v>
      </c>
      <c r="G1146" s="3" t="s">
        <v>40</v>
      </c>
      <c r="H1146" s="3" t="s">
        <v>375</v>
      </c>
      <c r="I1146" s="6">
        <v>629.95000000000005</v>
      </c>
      <c r="J1146" s="4">
        <v>5</v>
      </c>
      <c r="K1146" s="6">
        <v>157.49</v>
      </c>
    </row>
    <row r="1147" spans="1:11" x14ac:dyDescent="0.3">
      <c r="A1147" s="7">
        <v>41902</v>
      </c>
      <c r="B1147" s="4">
        <f>YEAR(SalesData[[#This Row],[Order Date]])</f>
        <v>2014</v>
      </c>
      <c r="C1147" s="4">
        <f>MONTH(SalesData[[#This Row],[Order Date]])</f>
        <v>9</v>
      </c>
      <c r="D1147" s="3" t="s">
        <v>1172</v>
      </c>
      <c r="E1147" s="3" t="s">
        <v>149</v>
      </c>
      <c r="F1147" s="3" t="s">
        <v>34</v>
      </c>
      <c r="G1147" s="3" t="s">
        <v>35</v>
      </c>
      <c r="H1147" s="3" t="s">
        <v>594</v>
      </c>
      <c r="I1147" s="6">
        <v>631.78</v>
      </c>
      <c r="J1147" s="4">
        <v>2</v>
      </c>
      <c r="K1147" s="6">
        <v>140.4</v>
      </c>
    </row>
    <row r="1148" spans="1:11" x14ac:dyDescent="0.3">
      <c r="A1148" s="7">
        <v>41902</v>
      </c>
      <c r="B1148" s="4">
        <f>YEAR(SalesData[[#This Row],[Order Date]])</f>
        <v>2014</v>
      </c>
      <c r="C1148" s="4">
        <f>MONTH(SalesData[[#This Row],[Order Date]])</f>
        <v>9</v>
      </c>
      <c r="D1148" s="3" t="s">
        <v>1172</v>
      </c>
      <c r="E1148" s="3" t="s">
        <v>149</v>
      </c>
      <c r="F1148" s="3" t="s">
        <v>34</v>
      </c>
      <c r="G1148" s="3" t="s">
        <v>74</v>
      </c>
      <c r="H1148" s="3" t="s">
        <v>1344</v>
      </c>
      <c r="I1148" s="6">
        <v>801.57</v>
      </c>
      <c r="J1148" s="4">
        <v>2</v>
      </c>
      <c r="K1148" s="6">
        <v>-10.02</v>
      </c>
    </row>
    <row r="1149" spans="1:11" x14ac:dyDescent="0.3">
      <c r="A1149" s="7">
        <v>41902</v>
      </c>
      <c r="B1149" s="4">
        <f>YEAR(SalesData[[#This Row],[Order Date]])</f>
        <v>2014</v>
      </c>
      <c r="C1149" s="4">
        <f>MONTH(SalesData[[#This Row],[Order Date]])</f>
        <v>9</v>
      </c>
      <c r="D1149" s="3" t="s">
        <v>1172</v>
      </c>
      <c r="E1149" s="3" t="s">
        <v>149</v>
      </c>
      <c r="F1149" s="3" t="s">
        <v>11</v>
      </c>
      <c r="G1149" s="3" t="s">
        <v>16</v>
      </c>
      <c r="H1149" s="3" t="s">
        <v>1025</v>
      </c>
      <c r="I1149" s="6">
        <v>75.180000000000007</v>
      </c>
      <c r="J1149" s="4">
        <v>6</v>
      </c>
      <c r="K1149" s="6">
        <v>35.33</v>
      </c>
    </row>
    <row r="1150" spans="1:11" x14ac:dyDescent="0.3">
      <c r="A1150" s="7">
        <v>41902</v>
      </c>
      <c r="B1150" s="4">
        <f>YEAR(SalesData[[#This Row],[Order Date]])</f>
        <v>2014</v>
      </c>
      <c r="C1150" s="4">
        <f>MONTH(SalesData[[#This Row],[Order Date]])</f>
        <v>9</v>
      </c>
      <c r="D1150" s="3" t="s">
        <v>1172</v>
      </c>
      <c r="E1150" s="3" t="s">
        <v>149</v>
      </c>
      <c r="F1150" s="3" t="s">
        <v>11</v>
      </c>
      <c r="G1150" s="3" t="s">
        <v>92</v>
      </c>
      <c r="H1150" s="3" t="s">
        <v>440</v>
      </c>
      <c r="I1150" s="6">
        <v>30.98</v>
      </c>
      <c r="J1150" s="4">
        <v>1</v>
      </c>
      <c r="K1150" s="6">
        <v>8.0500000000000007</v>
      </c>
    </row>
    <row r="1151" spans="1:11" x14ac:dyDescent="0.3">
      <c r="A1151" s="7">
        <v>41902</v>
      </c>
      <c r="B1151" s="4">
        <f>YEAR(SalesData[[#This Row],[Order Date]])</f>
        <v>2014</v>
      </c>
      <c r="C1151" s="4">
        <f>MONTH(SalesData[[#This Row],[Order Date]])</f>
        <v>9</v>
      </c>
      <c r="D1151" s="3" t="s">
        <v>1172</v>
      </c>
      <c r="E1151" s="3" t="s">
        <v>149</v>
      </c>
      <c r="F1151" s="3" t="s">
        <v>39</v>
      </c>
      <c r="G1151" s="3" t="s">
        <v>40</v>
      </c>
      <c r="H1151" s="3" t="s">
        <v>1345</v>
      </c>
      <c r="I1151" s="6">
        <v>1349.91</v>
      </c>
      <c r="J1151" s="4">
        <v>9</v>
      </c>
      <c r="K1151" s="6">
        <v>661.46</v>
      </c>
    </row>
    <row r="1152" spans="1:11" x14ac:dyDescent="0.3">
      <c r="A1152" s="7">
        <v>41903</v>
      </c>
      <c r="B1152" s="4">
        <f>YEAR(SalesData[[#This Row],[Order Date]])</f>
        <v>2014</v>
      </c>
      <c r="C1152" s="4">
        <f>MONTH(SalesData[[#This Row],[Order Date]])</f>
        <v>9</v>
      </c>
      <c r="D1152" s="3" t="s">
        <v>1346</v>
      </c>
      <c r="E1152" s="3" t="s">
        <v>164</v>
      </c>
      <c r="F1152" s="3" t="s">
        <v>39</v>
      </c>
      <c r="G1152" s="3" t="s">
        <v>40</v>
      </c>
      <c r="H1152" s="3" t="s">
        <v>1347</v>
      </c>
      <c r="I1152" s="6">
        <v>246.38</v>
      </c>
      <c r="J1152" s="4">
        <v>2</v>
      </c>
      <c r="K1152" s="6">
        <v>27.72</v>
      </c>
    </row>
    <row r="1153" spans="1:11" x14ac:dyDescent="0.3">
      <c r="A1153" s="7">
        <v>41903</v>
      </c>
      <c r="B1153" s="4">
        <f>YEAR(SalesData[[#This Row],[Order Date]])</f>
        <v>2014</v>
      </c>
      <c r="C1153" s="4">
        <f>MONTH(SalesData[[#This Row],[Order Date]])</f>
        <v>9</v>
      </c>
      <c r="D1153" s="3" t="s">
        <v>1346</v>
      </c>
      <c r="E1153" s="3" t="s">
        <v>164</v>
      </c>
      <c r="F1153" s="3" t="s">
        <v>39</v>
      </c>
      <c r="G1153" s="3" t="s">
        <v>603</v>
      </c>
      <c r="H1153" s="3" t="s">
        <v>1348</v>
      </c>
      <c r="I1153" s="6">
        <v>1799.97</v>
      </c>
      <c r="J1153" s="4">
        <v>3</v>
      </c>
      <c r="K1153" s="6">
        <v>701.99</v>
      </c>
    </row>
    <row r="1154" spans="1:11" x14ac:dyDescent="0.3">
      <c r="A1154" s="7">
        <v>41903</v>
      </c>
      <c r="B1154" s="4">
        <f>YEAR(SalesData[[#This Row],[Order Date]])</f>
        <v>2014</v>
      </c>
      <c r="C1154" s="4">
        <f>MONTH(SalesData[[#This Row],[Order Date]])</f>
        <v>9</v>
      </c>
      <c r="D1154" s="3" t="s">
        <v>923</v>
      </c>
      <c r="E1154" s="3" t="s">
        <v>996</v>
      </c>
      <c r="F1154" s="3" t="s">
        <v>11</v>
      </c>
      <c r="G1154" s="3" t="s">
        <v>92</v>
      </c>
      <c r="H1154" s="3" t="s">
        <v>1349</v>
      </c>
      <c r="I1154" s="6">
        <v>25.96</v>
      </c>
      <c r="J1154" s="4">
        <v>2</v>
      </c>
      <c r="K1154" s="6">
        <v>7.53</v>
      </c>
    </row>
    <row r="1155" spans="1:11" x14ac:dyDescent="0.3">
      <c r="A1155" s="7">
        <v>41903</v>
      </c>
      <c r="B1155" s="4">
        <f>YEAR(SalesData[[#This Row],[Order Date]])</f>
        <v>2014</v>
      </c>
      <c r="C1155" s="4">
        <f>MONTH(SalesData[[#This Row],[Order Date]])</f>
        <v>9</v>
      </c>
      <c r="D1155" s="3" t="s">
        <v>923</v>
      </c>
      <c r="E1155" s="3" t="s">
        <v>996</v>
      </c>
      <c r="F1155" s="3" t="s">
        <v>11</v>
      </c>
      <c r="G1155" s="3" t="s">
        <v>92</v>
      </c>
      <c r="H1155" s="3" t="s">
        <v>1031</v>
      </c>
      <c r="I1155" s="6">
        <v>36.270000000000003</v>
      </c>
      <c r="J1155" s="4">
        <v>3</v>
      </c>
      <c r="K1155" s="6">
        <v>10.88</v>
      </c>
    </row>
    <row r="1156" spans="1:11" x14ac:dyDescent="0.3">
      <c r="A1156" s="7">
        <v>41903</v>
      </c>
      <c r="B1156" s="4">
        <f>YEAR(SalesData[[#This Row],[Order Date]])</f>
        <v>2014</v>
      </c>
      <c r="C1156" s="4">
        <f>MONTH(SalesData[[#This Row],[Order Date]])</f>
        <v>9</v>
      </c>
      <c r="D1156" s="3" t="s">
        <v>923</v>
      </c>
      <c r="E1156" s="3" t="s">
        <v>996</v>
      </c>
      <c r="F1156" s="3" t="s">
        <v>11</v>
      </c>
      <c r="G1156" s="3" t="s">
        <v>12</v>
      </c>
      <c r="H1156" s="3" t="s">
        <v>507</v>
      </c>
      <c r="I1156" s="6">
        <v>6.48</v>
      </c>
      <c r="J1156" s="4">
        <v>1</v>
      </c>
      <c r="K1156" s="6">
        <v>3.11</v>
      </c>
    </row>
    <row r="1157" spans="1:11" x14ac:dyDescent="0.3">
      <c r="A1157" s="7">
        <v>41903</v>
      </c>
      <c r="B1157" s="4">
        <f>YEAR(SalesData[[#This Row],[Order Date]])</f>
        <v>2014</v>
      </c>
      <c r="C1157" s="4">
        <f>MONTH(SalesData[[#This Row],[Order Date]])</f>
        <v>9</v>
      </c>
      <c r="D1157" s="3" t="s">
        <v>722</v>
      </c>
      <c r="E1157" s="3" t="s">
        <v>27</v>
      </c>
      <c r="F1157" s="3" t="s">
        <v>11</v>
      </c>
      <c r="G1157" s="3" t="s">
        <v>63</v>
      </c>
      <c r="H1157" s="3" t="s">
        <v>64</v>
      </c>
      <c r="I1157" s="6">
        <v>15.56</v>
      </c>
      <c r="J1157" s="4">
        <v>2</v>
      </c>
      <c r="K1157" s="6">
        <v>7.31</v>
      </c>
    </row>
    <row r="1158" spans="1:11" x14ac:dyDescent="0.3">
      <c r="A1158" s="7">
        <v>41903</v>
      </c>
      <c r="B1158" s="4">
        <f>YEAR(SalesData[[#This Row],[Order Date]])</f>
        <v>2014</v>
      </c>
      <c r="C1158" s="4">
        <f>MONTH(SalesData[[#This Row],[Order Date]])</f>
        <v>9</v>
      </c>
      <c r="D1158" s="3" t="s">
        <v>722</v>
      </c>
      <c r="E1158" s="3" t="s">
        <v>27</v>
      </c>
      <c r="F1158" s="3" t="s">
        <v>11</v>
      </c>
      <c r="G1158" s="3" t="s">
        <v>63</v>
      </c>
      <c r="H1158" s="3" t="s">
        <v>1350</v>
      </c>
      <c r="I1158" s="6">
        <v>78.349999999999994</v>
      </c>
      <c r="J1158" s="4">
        <v>5</v>
      </c>
      <c r="K1158" s="6">
        <v>36.82</v>
      </c>
    </row>
    <row r="1159" spans="1:11" x14ac:dyDescent="0.3">
      <c r="A1159" s="7">
        <v>41903</v>
      </c>
      <c r="B1159" s="4">
        <f>YEAR(SalesData[[#This Row],[Order Date]])</f>
        <v>2014</v>
      </c>
      <c r="C1159" s="4">
        <f>MONTH(SalesData[[#This Row],[Order Date]])</f>
        <v>9</v>
      </c>
      <c r="D1159" s="3" t="s">
        <v>722</v>
      </c>
      <c r="E1159" s="3" t="s">
        <v>27</v>
      </c>
      <c r="F1159" s="3" t="s">
        <v>11</v>
      </c>
      <c r="G1159" s="3" t="s">
        <v>24</v>
      </c>
      <c r="H1159" s="3" t="s">
        <v>1351</v>
      </c>
      <c r="I1159" s="6">
        <v>59.52</v>
      </c>
      <c r="J1159" s="4">
        <v>3</v>
      </c>
      <c r="K1159" s="6">
        <v>15.48</v>
      </c>
    </row>
    <row r="1160" spans="1:11" x14ac:dyDescent="0.3">
      <c r="A1160" s="7">
        <v>41903</v>
      </c>
      <c r="B1160" s="4">
        <f>YEAR(SalesData[[#This Row],[Order Date]])</f>
        <v>2014</v>
      </c>
      <c r="C1160" s="4">
        <f>MONTH(SalesData[[#This Row],[Order Date]])</f>
        <v>9</v>
      </c>
      <c r="D1160" s="3" t="s">
        <v>722</v>
      </c>
      <c r="E1160" s="3" t="s">
        <v>27</v>
      </c>
      <c r="F1160" s="3" t="s">
        <v>11</v>
      </c>
      <c r="G1160" s="3" t="s">
        <v>12</v>
      </c>
      <c r="H1160" s="3" t="s">
        <v>242</v>
      </c>
      <c r="I1160" s="6">
        <v>38.520000000000003</v>
      </c>
      <c r="J1160" s="4">
        <v>9</v>
      </c>
      <c r="K1160" s="6">
        <v>17.329999999999998</v>
      </c>
    </row>
    <row r="1161" spans="1:11" x14ac:dyDescent="0.3">
      <c r="A1161" s="7">
        <v>41903</v>
      </c>
      <c r="B1161" s="4">
        <f>YEAR(SalesData[[#This Row],[Order Date]])</f>
        <v>2014</v>
      </c>
      <c r="C1161" s="4">
        <f>MONTH(SalesData[[#This Row],[Order Date]])</f>
        <v>9</v>
      </c>
      <c r="D1161" s="3" t="s">
        <v>722</v>
      </c>
      <c r="E1161" s="3" t="s">
        <v>27</v>
      </c>
      <c r="F1161" s="3" t="s">
        <v>39</v>
      </c>
      <c r="G1161" s="3" t="s">
        <v>40</v>
      </c>
      <c r="H1161" s="3" t="s">
        <v>1352</v>
      </c>
      <c r="I1161" s="6">
        <v>239.98</v>
      </c>
      <c r="J1161" s="4">
        <v>2</v>
      </c>
      <c r="K1161" s="6">
        <v>24</v>
      </c>
    </row>
    <row r="1162" spans="1:11" x14ac:dyDescent="0.3">
      <c r="A1162" s="7">
        <v>41903</v>
      </c>
      <c r="B1162" s="4">
        <f>YEAR(SalesData[[#This Row],[Order Date]])</f>
        <v>2014</v>
      </c>
      <c r="C1162" s="4">
        <f>MONTH(SalesData[[#This Row],[Order Date]])</f>
        <v>9</v>
      </c>
      <c r="D1162" s="3" t="s">
        <v>722</v>
      </c>
      <c r="E1162" s="3" t="s">
        <v>27</v>
      </c>
      <c r="F1162" s="3" t="s">
        <v>11</v>
      </c>
      <c r="G1162" s="3" t="s">
        <v>12</v>
      </c>
      <c r="H1162" s="3" t="s">
        <v>1353</v>
      </c>
      <c r="I1162" s="6">
        <v>19.350000000000001</v>
      </c>
      <c r="J1162" s="4">
        <v>3</v>
      </c>
      <c r="K1162" s="6">
        <v>9.48</v>
      </c>
    </row>
    <row r="1163" spans="1:11" x14ac:dyDescent="0.3">
      <c r="A1163" s="7">
        <v>41903</v>
      </c>
      <c r="B1163" s="4">
        <f>YEAR(SalesData[[#This Row],[Order Date]])</f>
        <v>2014</v>
      </c>
      <c r="C1163" s="4">
        <f>MONTH(SalesData[[#This Row],[Order Date]])</f>
        <v>9</v>
      </c>
      <c r="D1163" s="3" t="s">
        <v>1088</v>
      </c>
      <c r="E1163" s="3" t="s">
        <v>23</v>
      </c>
      <c r="F1163" s="3" t="s">
        <v>11</v>
      </c>
      <c r="G1163" s="3" t="s">
        <v>12</v>
      </c>
      <c r="H1163" s="3" t="s">
        <v>1354</v>
      </c>
      <c r="I1163" s="6">
        <v>11.35</v>
      </c>
      <c r="J1163" s="4">
        <v>3</v>
      </c>
      <c r="K1163" s="6">
        <v>4.12</v>
      </c>
    </row>
    <row r="1164" spans="1:11" x14ac:dyDescent="0.3">
      <c r="A1164" s="7">
        <v>41903</v>
      </c>
      <c r="B1164" s="4">
        <f>YEAR(SalesData[[#This Row],[Order Date]])</f>
        <v>2014</v>
      </c>
      <c r="C1164" s="4">
        <f>MONTH(SalesData[[#This Row],[Order Date]])</f>
        <v>9</v>
      </c>
      <c r="D1164" s="3" t="s">
        <v>1088</v>
      </c>
      <c r="E1164" s="3" t="s">
        <v>23</v>
      </c>
      <c r="F1164" s="3" t="s">
        <v>11</v>
      </c>
      <c r="G1164" s="3" t="s">
        <v>16</v>
      </c>
      <c r="H1164" s="3" t="s">
        <v>221</v>
      </c>
      <c r="I1164" s="6">
        <v>20.81</v>
      </c>
      <c r="J1164" s="4">
        <v>9</v>
      </c>
      <c r="K1164" s="6">
        <v>7.02</v>
      </c>
    </row>
    <row r="1165" spans="1:11" x14ac:dyDescent="0.3">
      <c r="A1165" s="7">
        <v>41903</v>
      </c>
      <c r="B1165" s="4">
        <f>YEAR(SalesData[[#This Row],[Order Date]])</f>
        <v>2014</v>
      </c>
      <c r="C1165" s="4">
        <f>MONTH(SalesData[[#This Row],[Order Date]])</f>
        <v>9</v>
      </c>
      <c r="D1165" s="3" t="s">
        <v>605</v>
      </c>
      <c r="E1165" s="3" t="s">
        <v>10</v>
      </c>
      <c r="F1165" s="3" t="s">
        <v>34</v>
      </c>
      <c r="G1165" s="3" t="s">
        <v>47</v>
      </c>
      <c r="H1165" s="3" t="s">
        <v>1355</v>
      </c>
      <c r="I1165" s="6">
        <v>8.5399999999999991</v>
      </c>
      <c r="J1165" s="4">
        <v>2</v>
      </c>
      <c r="K1165" s="6">
        <v>-7.48</v>
      </c>
    </row>
    <row r="1166" spans="1:11" x14ac:dyDescent="0.3">
      <c r="A1166" s="7">
        <v>41903</v>
      </c>
      <c r="B1166" s="4">
        <f>YEAR(SalesData[[#This Row],[Order Date]])</f>
        <v>2014</v>
      </c>
      <c r="C1166" s="4">
        <f>MONTH(SalesData[[#This Row],[Order Date]])</f>
        <v>9</v>
      </c>
      <c r="D1166" s="3" t="s">
        <v>1356</v>
      </c>
      <c r="E1166" s="3" t="s">
        <v>23</v>
      </c>
      <c r="F1166" s="3" t="s">
        <v>11</v>
      </c>
      <c r="G1166" s="3" t="s">
        <v>20</v>
      </c>
      <c r="H1166" s="3" t="s">
        <v>1225</v>
      </c>
      <c r="I1166" s="6">
        <v>6.57</v>
      </c>
      <c r="J1166" s="4">
        <v>3</v>
      </c>
      <c r="K1166" s="6">
        <v>-5.04</v>
      </c>
    </row>
    <row r="1167" spans="1:11" x14ac:dyDescent="0.3">
      <c r="A1167" s="7">
        <v>41903</v>
      </c>
      <c r="B1167" s="4">
        <f>YEAR(SalesData[[#This Row],[Order Date]])</f>
        <v>2014</v>
      </c>
      <c r="C1167" s="4">
        <f>MONTH(SalesData[[#This Row],[Order Date]])</f>
        <v>9</v>
      </c>
      <c r="D1167" s="3" t="s">
        <v>1357</v>
      </c>
      <c r="E1167" s="3" t="s">
        <v>149</v>
      </c>
      <c r="F1167" s="3" t="s">
        <v>11</v>
      </c>
      <c r="G1167" s="3" t="s">
        <v>24</v>
      </c>
      <c r="H1167" s="3" t="s">
        <v>1358</v>
      </c>
      <c r="I1167" s="6">
        <v>66.03</v>
      </c>
      <c r="J1167" s="4">
        <v>3</v>
      </c>
      <c r="K1167" s="6">
        <v>17.170000000000002</v>
      </c>
    </row>
    <row r="1168" spans="1:11" x14ac:dyDescent="0.3">
      <c r="A1168" s="7">
        <v>41904</v>
      </c>
      <c r="B1168" s="4">
        <f>YEAR(SalesData[[#This Row],[Order Date]])</f>
        <v>2014</v>
      </c>
      <c r="C1168" s="4">
        <f>MONTH(SalesData[[#This Row],[Order Date]])</f>
        <v>9</v>
      </c>
      <c r="D1168" s="3" t="s">
        <v>1258</v>
      </c>
      <c r="E1168" s="3" t="s">
        <v>123</v>
      </c>
      <c r="F1168" s="3" t="s">
        <v>11</v>
      </c>
      <c r="G1168" s="3" t="s">
        <v>16</v>
      </c>
      <c r="H1168" s="3" t="s">
        <v>584</v>
      </c>
      <c r="I1168" s="6">
        <v>4.6100000000000003</v>
      </c>
      <c r="J1168" s="4">
        <v>2</v>
      </c>
      <c r="K1168" s="6">
        <v>1.67</v>
      </c>
    </row>
    <row r="1169" spans="1:11" x14ac:dyDescent="0.3">
      <c r="A1169" s="7">
        <v>41904</v>
      </c>
      <c r="B1169" s="4">
        <f>YEAR(SalesData[[#This Row],[Order Date]])</f>
        <v>2014</v>
      </c>
      <c r="C1169" s="4">
        <f>MONTH(SalesData[[#This Row],[Order Date]])</f>
        <v>9</v>
      </c>
      <c r="D1169" s="3" t="s">
        <v>1359</v>
      </c>
      <c r="E1169" s="3" t="s">
        <v>15</v>
      </c>
      <c r="F1169" s="3" t="s">
        <v>11</v>
      </c>
      <c r="G1169" s="3" t="s">
        <v>18</v>
      </c>
      <c r="H1169" s="3" t="s">
        <v>557</v>
      </c>
      <c r="I1169" s="6">
        <v>331.54</v>
      </c>
      <c r="J1169" s="4">
        <v>3</v>
      </c>
      <c r="K1169" s="6">
        <v>-82.88</v>
      </c>
    </row>
    <row r="1170" spans="1:11" x14ac:dyDescent="0.3">
      <c r="A1170" s="7">
        <v>41904</v>
      </c>
      <c r="B1170" s="4">
        <f>YEAR(SalesData[[#This Row],[Order Date]])</f>
        <v>2014</v>
      </c>
      <c r="C1170" s="4">
        <f>MONTH(SalesData[[#This Row],[Order Date]])</f>
        <v>9</v>
      </c>
      <c r="D1170" s="3" t="s">
        <v>509</v>
      </c>
      <c r="E1170" s="3" t="s">
        <v>27</v>
      </c>
      <c r="F1170" s="3" t="s">
        <v>11</v>
      </c>
      <c r="G1170" s="3" t="s">
        <v>18</v>
      </c>
      <c r="H1170" s="3" t="s">
        <v>1360</v>
      </c>
      <c r="I1170" s="6">
        <v>169.45</v>
      </c>
      <c r="J1170" s="4">
        <v>5</v>
      </c>
      <c r="K1170" s="6">
        <v>42.36</v>
      </c>
    </row>
    <row r="1171" spans="1:11" x14ac:dyDescent="0.3">
      <c r="A1171" s="7">
        <v>41904</v>
      </c>
      <c r="B1171" s="4">
        <f>YEAR(SalesData[[#This Row],[Order Date]])</f>
        <v>2014</v>
      </c>
      <c r="C1171" s="4">
        <f>MONTH(SalesData[[#This Row],[Order Date]])</f>
        <v>9</v>
      </c>
      <c r="D1171" s="3" t="s">
        <v>509</v>
      </c>
      <c r="E1171" s="3" t="s">
        <v>27</v>
      </c>
      <c r="F1171" s="3" t="s">
        <v>11</v>
      </c>
      <c r="G1171" s="3" t="s">
        <v>18</v>
      </c>
      <c r="H1171" s="3" t="s">
        <v>356</v>
      </c>
      <c r="I1171" s="6">
        <v>40.68</v>
      </c>
      <c r="J1171" s="4">
        <v>2</v>
      </c>
      <c r="K1171" s="6">
        <v>0.41</v>
      </c>
    </row>
    <row r="1172" spans="1:11" x14ac:dyDescent="0.3">
      <c r="A1172" s="7">
        <v>41904</v>
      </c>
      <c r="B1172" s="4">
        <f>YEAR(SalesData[[#This Row],[Order Date]])</f>
        <v>2014</v>
      </c>
      <c r="C1172" s="4">
        <f>MONTH(SalesData[[#This Row],[Order Date]])</f>
        <v>9</v>
      </c>
      <c r="D1172" s="3" t="s">
        <v>1361</v>
      </c>
      <c r="E1172" s="3" t="s">
        <v>149</v>
      </c>
      <c r="F1172" s="3" t="s">
        <v>34</v>
      </c>
      <c r="G1172" s="3" t="s">
        <v>47</v>
      </c>
      <c r="H1172" s="3" t="s">
        <v>1362</v>
      </c>
      <c r="I1172" s="6">
        <v>97.44</v>
      </c>
      <c r="J1172" s="4">
        <v>3</v>
      </c>
      <c r="K1172" s="6">
        <v>35.08</v>
      </c>
    </row>
    <row r="1173" spans="1:11" x14ac:dyDescent="0.3">
      <c r="A1173" s="7">
        <v>41904</v>
      </c>
      <c r="B1173" s="4">
        <f>YEAR(SalesData[[#This Row],[Order Date]])</f>
        <v>2014</v>
      </c>
      <c r="C1173" s="4">
        <f>MONTH(SalesData[[#This Row],[Order Date]])</f>
        <v>9</v>
      </c>
      <c r="D1173" s="3" t="s">
        <v>1361</v>
      </c>
      <c r="E1173" s="3" t="s">
        <v>149</v>
      </c>
      <c r="F1173" s="3" t="s">
        <v>11</v>
      </c>
      <c r="G1173" s="3" t="s">
        <v>20</v>
      </c>
      <c r="H1173" s="3" t="s">
        <v>897</v>
      </c>
      <c r="I1173" s="6">
        <v>3.98</v>
      </c>
      <c r="J1173" s="4">
        <v>1</v>
      </c>
      <c r="K1173" s="6">
        <v>1.39</v>
      </c>
    </row>
    <row r="1174" spans="1:11" x14ac:dyDescent="0.3">
      <c r="A1174" s="7">
        <v>41904</v>
      </c>
      <c r="B1174" s="4">
        <f>YEAR(SalesData[[#This Row],[Order Date]])</f>
        <v>2014</v>
      </c>
      <c r="C1174" s="4">
        <f>MONTH(SalesData[[#This Row],[Order Date]])</f>
        <v>9</v>
      </c>
      <c r="D1174" s="3" t="s">
        <v>1361</v>
      </c>
      <c r="E1174" s="3" t="s">
        <v>149</v>
      </c>
      <c r="F1174" s="3" t="s">
        <v>11</v>
      </c>
      <c r="G1174" s="3" t="s">
        <v>24</v>
      </c>
      <c r="H1174" s="3" t="s">
        <v>1363</v>
      </c>
      <c r="I1174" s="6">
        <v>13.04</v>
      </c>
      <c r="J1174" s="4">
        <v>4</v>
      </c>
      <c r="K1174" s="6">
        <v>5.74</v>
      </c>
    </row>
    <row r="1175" spans="1:11" x14ac:dyDescent="0.3">
      <c r="A1175" s="7">
        <v>41904</v>
      </c>
      <c r="B1175" s="4">
        <f>YEAR(SalesData[[#This Row],[Order Date]])</f>
        <v>2014</v>
      </c>
      <c r="C1175" s="4">
        <f>MONTH(SalesData[[#This Row],[Order Date]])</f>
        <v>9</v>
      </c>
      <c r="D1175" s="3" t="s">
        <v>1361</v>
      </c>
      <c r="E1175" s="3" t="s">
        <v>149</v>
      </c>
      <c r="F1175" s="3" t="s">
        <v>34</v>
      </c>
      <c r="G1175" s="3" t="s">
        <v>35</v>
      </c>
      <c r="H1175" s="3" t="s">
        <v>1364</v>
      </c>
      <c r="I1175" s="6">
        <v>579.53</v>
      </c>
      <c r="J1175" s="4">
        <v>4</v>
      </c>
      <c r="K1175" s="6">
        <v>83.71</v>
      </c>
    </row>
    <row r="1176" spans="1:11" x14ac:dyDescent="0.3">
      <c r="A1176" s="7">
        <v>41905</v>
      </c>
      <c r="B1176" s="4">
        <f>YEAR(SalesData[[#This Row],[Order Date]])</f>
        <v>2014</v>
      </c>
      <c r="C1176" s="4">
        <f>MONTH(SalesData[[#This Row],[Order Date]])</f>
        <v>9</v>
      </c>
      <c r="D1176" s="3" t="s">
        <v>923</v>
      </c>
      <c r="E1176" s="3" t="s">
        <v>27</v>
      </c>
      <c r="F1176" s="3" t="s">
        <v>34</v>
      </c>
      <c r="G1176" s="3" t="s">
        <v>74</v>
      </c>
      <c r="H1176" s="3" t="s">
        <v>1039</v>
      </c>
      <c r="I1176" s="6">
        <v>436</v>
      </c>
      <c r="J1176" s="4">
        <v>3</v>
      </c>
      <c r="K1176" s="6">
        <v>20.52</v>
      </c>
    </row>
    <row r="1177" spans="1:11" x14ac:dyDescent="0.3">
      <c r="A1177" s="7">
        <v>41905</v>
      </c>
      <c r="B1177" s="4">
        <f>YEAR(SalesData[[#This Row],[Order Date]])</f>
        <v>2014</v>
      </c>
      <c r="C1177" s="4">
        <f>MONTH(SalesData[[#This Row],[Order Date]])</f>
        <v>9</v>
      </c>
      <c r="D1177" s="3" t="s">
        <v>923</v>
      </c>
      <c r="E1177" s="3" t="s">
        <v>27</v>
      </c>
      <c r="F1177" s="3" t="s">
        <v>39</v>
      </c>
      <c r="G1177" s="3" t="s">
        <v>40</v>
      </c>
      <c r="H1177" s="3" t="s">
        <v>721</v>
      </c>
      <c r="I1177" s="6">
        <v>83.98</v>
      </c>
      <c r="J1177" s="4">
        <v>2</v>
      </c>
      <c r="K1177" s="6">
        <v>31.49</v>
      </c>
    </row>
    <row r="1178" spans="1:11" x14ac:dyDescent="0.3">
      <c r="A1178" s="7">
        <v>41905</v>
      </c>
      <c r="B1178" s="4">
        <f>YEAR(SalesData[[#This Row],[Order Date]])</f>
        <v>2014</v>
      </c>
      <c r="C1178" s="4">
        <f>MONTH(SalesData[[#This Row],[Order Date]])</f>
        <v>9</v>
      </c>
      <c r="D1178" s="3" t="s">
        <v>195</v>
      </c>
      <c r="E1178" s="3" t="s">
        <v>149</v>
      </c>
      <c r="F1178" s="3" t="s">
        <v>11</v>
      </c>
      <c r="G1178" s="3" t="s">
        <v>20</v>
      </c>
      <c r="H1178" s="3" t="s">
        <v>662</v>
      </c>
      <c r="I1178" s="6">
        <v>139.44</v>
      </c>
      <c r="J1178" s="4">
        <v>3</v>
      </c>
      <c r="K1178" s="6">
        <v>47.06</v>
      </c>
    </row>
    <row r="1179" spans="1:11" x14ac:dyDescent="0.3">
      <c r="A1179" s="7">
        <v>41905</v>
      </c>
      <c r="B1179" s="4">
        <f>YEAR(SalesData[[#This Row],[Order Date]])</f>
        <v>2014</v>
      </c>
      <c r="C1179" s="4">
        <f>MONTH(SalesData[[#This Row],[Order Date]])</f>
        <v>9</v>
      </c>
      <c r="D1179" s="3" t="s">
        <v>193</v>
      </c>
      <c r="E1179" s="3" t="s">
        <v>315</v>
      </c>
      <c r="F1179" s="3" t="s">
        <v>11</v>
      </c>
      <c r="G1179" s="3" t="s">
        <v>12</v>
      </c>
      <c r="H1179" s="3" t="s">
        <v>1365</v>
      </c>
      <c r="I1179" s="6">
        <v>32.4</v>
      </c>
      <c r="J1179" s="4">
        <v>5</v>
      </c>
      <c r="K1179" s="6">
        <v>15.55</v>
      </c>
    </row>
    <row r="1180" spans="1:11" x14ac:dyDescent="0.3">
      <c r="A1180" s="7">
        <v>41905</v>
      </c>
      <c r="B1180" s="4">
        <f>YEAR(SalesData[[#This Row],[Order Date]])</f>
        <v>2014</v>
      </c>
      <c r="C1180" s="4">
        <f>MONTH(SalesData[[#This Row],[Order Date]])</f>
        <v>9</v>
      </c>
      <c r="D1180" s="3" t="s">
        <v>193</v>
      </c>
      <c r="E1180" s="3" t="s">
        <v>315</v>
      </c>
      <c r="F1180" s="3" t="s">
        <v>11</v>
      </c>
      <c r="G1180" s="3" t="s">
        <v>18</v>
      </c>
      <c r="H1180" s="3" t="s">
        <v>297</v>
      </c>
      <c r="I1180" s="6">
        <v>404.9</v>
      </c>
      <c r="J1180" s="4">
        <v>5</v>
      </c>
      <c r="K1180" s="6">
        <v>16.2</v>
      </c>
    </row>
    <row r="1181" spans="1:11" x14ac:dyDescent="0.3">
      <c r="A1181" s="7">
        <v>41905</v>
      </c>
      <c r="B1181" s="4">
        <f>YEAR(SalesData[[#This Row],[Order Date]])</f>
        <v>2014</v>
      </c>
      <c r="C1181" s="4">
        <f>MONTH(SalesData[[#This Row],[Order Date]])</f>
        <v>9</v>
      </c>
      <c r="D1181" s="3" t="s">
        <v>193</v>
      </c>
      <c r="E1181" s="3" t="s">
        <v>315</v>
      </c>
      <c r="F1181" s="3" t="s">
        <v>11</v>
      </c>
      <c r="G1181" s="3" t="s">
        <v>20</v>
      </c>
      <c r="H1181" s="3" t="s">
        <v>1366</v>
      </c>
      <c r="I1181" s="6">
        <v>9449.9500000000007</v>
      </c>
      <c r="J1181" s="4">
        <v>5</v>
      </c>
      <c r="K1181" s="6">
        <v>4630.4799999999996</v>
      </c>
    </row>
    <row r="1182" spans="1:11" x14ac:dyDescent="0.3">
      <c r="A1182" s="7">
        <v>41905</v>
      </c>
      <c r="B1182" s="4">
        <f>YEAR(SalesData[[#This Row],[Order Date]])</f>
        <v>2014</v>
      </c>
      <c r="C1182" s="4">
        <f>MONTH(SalesData[[#This Row],[Order Date]])</f>
        <v>9</v>
      </c>
      <c r="D1182" s="3" t="s">
        <v>193</v>
      </c>
      <c r="E1182" s="3" t="s">
        <v>315</v>
      </c>
      <c r="F1182" s="3" t="s">
        <v>11</v>
      </c>
      <c r="G1182" s="3" t="s">
        <v>20</v>
      </c>
      <c r="H1182" s="3" t="s">
        <v>1367</v>
      </c>
      <c r="I1182" s="6">
        <v>12.94</v>
      </c>
      <c r="J1182" s="4">
        <v>2</v>
      </c>
      <c r="K1182" s="6">
        <v>6.47</v>
      </c>
    </row>
    <row r="1183" spans="1:11" x14ac:dyDescent="0.3">
      <c r="A1183" s="7">
        <v>41905</v>
      </c>
      <c r="B1183" s="4">
        <f>YEAR(SalesData[[#This Row],[Order Date]])</f>
        <v>2014</v>
      </c>
      <c r="C1183" s="4">
        <f>MONTH(SalesData[[#This Row],[Order Date]])</f>
        <v>9</v>
      </c>
      <c r="D1183" s="3" t="s">
        <v>1332</v>
      </c>
      <c r="E1183" s="3" t="s">
        <v>78</v>
      </c>
      <c r="F1183" s="3" t="s">
        <v>11</v>
      </c>
      <c r="G1183" s="3" t="s">
        <v>12</v>
      </c>
      <c r="H1183" s="3" t="s">
        <v>332</v>
      </c>
      <c r="I1183" s="6">
        <v>28.8</v>
      </c>
      <c r="J1183" s="4">
        <v>9</v>
      </c>
      <c r="K1183" s="6">
        <v>10.08</v>
      </c>
    </row>
    <row r="1184" spans="1:11" x14ac:dyDescent="0.3">
      <c r="A1184" s="7">
        <v>41905</v>
      </c>
      <c r="B1184" s="4">
        <f>YEAR(SalesData[[#This Row],[Order Date]])</f>
        <v>2014</v>
      </c>
      <c r="C1184" s="4">
        <f>MONTH(SalesData[[#This Row],[Order Date]])</f>
        <v>9</v>
      </c>
      <c r="D1184" s="3" t="s">
        <v>1368</v>
      </c>
      <c r="E1184" s="3" t="s">
        <v>59</v>
      </c>
      <c r="F1184" s="3" t="s">
        <v>11</v>
      </c>
      <c r="G1184" s="3" t="s">
        <v>20</v>
      </c>
      <c r="H1184" s="3" t="s">
        <v>561</v>
      </c>
      <c r="I1184" s="6">
        <v>11.12</v>
      </c>
      <c r="J1184" s="4">
        <v>4</v>
      </c>
      <c r="K1184" s="6">
        <v>5.45</v>
      </c>
    </row>
    <row r="1185" spans="1:11" x14ac:dyDescent="0.3">
      <c r="A1185" s="7">
        <v>41905</v>
      </c>
      <c r="B1185" s="4">
        <f>YEAR(SalesData[[#This Row],[Order Date]])</f>
        <v>2014</v>
      </c>
      <c r="C1185" s="4">
        <f>MONTH(SalesData[[#This Row],[Order Date]])</f>
        <v>9</v>
      </c>
      <c r="D1185" s="3" t="s">
        <v>1369</v>
      </c>
      <c r="E1185" s="3" t="s">
        <v>149</v>
      </c>
      <c r="F1185" s="3" t="s">
        <v>11</v>
      </c>
      <c r="G1185" s="3" t="s">
        <v>20</v>
      </c>
      <c r="H1185" s="3" t="s">
        <v>1370</v>
      </c>
      <c r="I1185" s="6">
        <v>18.46</v>
      </c>
      <c r="J1185" s="4">
        <v>4</v>
      </c>
      <c r="K1185" s="6">
        <v>6.92</v>
      </c>
    </row>
    <row r="1186" spans="1:11" x14ac:dyDescent="0.3">
      <c r="A1186" s="7">
        <v>41905</v>
      </c>
      <c r="B1186" s="4">
        <f>YEAR(SalesData[[#This Row],[Order Date]])</f>
        <v>2014</v>
      </c>
      <c r="C1186" s="4">
        <f>MONTH(SalesData[[#This Row],[Order Date]])</f>
        <v>9</v>
      </c>
      <c r="D1186" s="3" t="s">
        <v>1371</v>
      </c>
      <c r="E1186" s="3" t="s">
        <v>59</v>
      </c>
      <c r="F1186" s="3" t="s">
        <v>11</v>
      </c>
      <c r="G1186" s="3" t="s">
        <v>24</v>
      </c>
      <c r="H1186" s="3" t="s">
        <v>103</v>
      </c>
      <c r="I1186" s="6">
        <v>9.84</v>
      </c>
      <c r="J1186" s="4">
        <v>3</v>
      </c>
      <c r="K1186" s="6">
        <v>2.85</v>
      </c>
    </row>
    <row r="1187" spans="1:11" x14ac:dyDescent="0.3">
      <c r="A1187" s="7">
        <v>41905</v>
      </c>
      <c r="B1187" s="4">
        <f>YEAR(SalesData[[#This Row],[Order Date]])</f>
        <v>2014</v>
      </c>
      <c r="C1187" s="4">
        <f>MONTH(SalesData[[#This Row],[Order Date]])</f>
        <v>9</v>
      </c>
      <c r="D1187" s="3" t="s">
        <v>1371</v>
      </c>
      <c r="E1187" s="3" t="s">
        <v>59</v>
      </c>
      <c r="F1187" s="3" t="s">
        <v>11</v>
      </c>
      <c r="G1187" s="3" t="s">
        <v>20</v>
      </c>
      <c r="H1187" s="3" t="s">
        <v>1372</v>
      </c>
      <c r="I1187" s="6">
        <v>34.5</v>
      </c>
      <c r="J1187" s="4">
        <v>3</v>
      </c>
      <c r="K1187" s="6">
        <v>15.53</v>
      </c>
    </row>
    <row r="1188" spans="1:11" x14ac:dyDescent="0.3">
      <c r="A1188" s="7">
        <v>41906</v>
      </c>
      <c r="B1188" s="4">
        <f>YEAR(SalesData[[#This Row],[Order Date]])</f>
        <v>2014</v>
      </c>
      <c r="C1188" s="4">
        <f>MONTH(SalesData[[#This Row],[Order Date]])</f>
        <v>9</v>
      </c>
      <c r="D1188" s="3" t="s">
        <v>1373</v>
      </c>
      <c r="E1188" s="3" t="s">
        <v>27</v>
      </c>
      <c r="F1188" s="3" t="s">
        <v>11</v>
      </c>
      <c r="G1188" s="3" t="s">
        <v>18</v>
      </c>
      <c r="H1188" s="3" t="s">
        <v>1374</v>
      </c>
      <c r="I1188" s="6">
        <v>211.96</v>
      </c>
      <c r="J1188" s="4">
        <v>4</v>
      </c>
      <c r="K1188" s="6">
        <v>8.48</v>
      </c>
    </row>
    <row r="1189" spans="1:11" x14ac:dyDescent="0.3">
      <c r="A1189" s="7">
        <v>41907</v>
      </c>
      <c r="B1189" s="4">
        <f>YEAR(SalesData[[#This Row],[Order Date]])</f>
        <v>2014</v>
      </c>
      <c r="C1189" s="4">
        <f>MONTH(SalesData[[#This Row],[Order Date]])</f>
        <v>9</v>
      </c>
      <c r="D1189" s="3" t="s">
        <v>1375</v>
      </c>
      <c r="E1189" s="3" t="s">
        <v>10</v>
      </c>
      <c r="F1189" s="3" t="s">
        <v>11</v>
      </c>
      <c r="G1189" s="3" t="s">
        <v>12</v>
      </c>
      <c r="H1189" s="3" t="s">
        <v>1376</v>
      </c>
      <c r="I1189" s="6">
        <v>33.79</v>
      </c>
      <c r="J1189" s="4">
        <v>8</v>
      </c>
      <c r="K1189" s="6">
        <v>10.56</v>
      </c>
    </row>
    <row r="1190" spans="1:11" x14ac:dyDescent="0.3">
      <c r="A1190" s="7">
        <v>41907</v>
      </c>
      <c r="B1190" s="4">
        <f>YEAR(SalesData[[#This Row],[Order Date]])</f>
        <v>2014</v>
      </c>
      <c r="C1190" s="4">
        <f>MONTH(SalesData[[#This Row],[Order Date]])</f>
        <v>9</v>
      </c>
      <c r="D1190" s="3" t="s">
        <v>1375</v>
      </c>
      <c r="E1190" s="3" t="s">
        <v>10</v>
      </c>
      <c r="F1190" s="3" t="s">
        <v>34</v>
      </c>
      <c r="G1190" s="3" t="s">
        <v>74</v>
      </c>
      <c r="H1190" s="3" t="s">
        <v>777</v>
      </c>
      <c r="I1190" s="6">
        <v>300.52999999999997</v>
      </c>
      <c r="J1190" s="4">
        <v>2</v>
      </c>
      <c r="K1190" s="6">
        <v>-97.23</v>
      </c>
    </row>
    <row r="1191" spans="1:11" x14ac:dyDescent="0.3">
      <c r="A1191" s="7">
        <v>41907</v>
      </c>
      <c r="B1191" s="4">
        <f>YEAR(SalesData[[#This Row],[Order Date]])</f>
        <v>2014</v>
      </c>
      <c r="C1191" s="4">
        <f>MONTH(SalesData[[#This Row],[Order Date]])</f>
        <v>9</v>
      </c>
      <c r="D1191" s="3" t="s">
        <v>1375</v>
      </c>
      <c r="E1191" s="3" t="s">
        <v>10</v>
      </c>
      <c r="F1191" s="3" t="s">
        <v>11</v>
      </c>
      <c r="G1191" s="3" t="s">
        <v>20</v>
      </c>
      <c r="H1191" s="3" t="s">
        <v>1377</v>
      </c>
      <c r="I1191" s="6">
        <v>2.72</v>
      </c>
      <c r="J1191" s="4">
        <v>2</v>
      </c>
      <c r="K1191" s="6">
        <v>-4.3600000000000003</v>
      </c>
    </row>
    <row r="1192" spans="1:11" x14ac:dyDescent="0.3">
      <c r="A1192" s="7">
        <v>41907</v>
      </c>
      <c r="B1192" s="4">
        <f>YEAR(SalesData[[#This Row],[Order Date]])</f>
        <v>2014</v>
      </c>
      <c r="C1192" s="4">
        <f>MONTH(SalesData[[#This Row],[Order Date]])</f>
        <v>9</v>
      </c>
      <c r="D1192" s="3" t="s">
        <v>1375</v>
      </c>
      <c r="E1192" s="3" t="s">
        <v>10</v>
      </c>
      <c r="F1192" s="3" t="s">
        <v>11</v>
      </c>
      <c r="G1192" s="3" t="s">
        <v>63</v>
      </c>
      <c r="H1192" s="3" t="s">
        <v>396</v>
      </c>
      <c r="I1192" s="6">
        <v>3.26</v>
      </c>
      <c r="J1192" s="4">
        <v>2</v>
      </c>
      <c r="K1192" s="6">
        <v>1.1000000000000001</v>
      </c>
    </row>
    <row r="1193" spans="1:11" x14ac:dyDescent="0.3">
      <c r="A1193" s="7">
        <v>41907</v>
      </c>
      <c r="B1193" s="4">
        <f>YEAR(SalesData[[#This Row],[Order Date]])</f>
        <v>2014</v>
      </c>
      <c r="C1193" s="4">
        <f>MONTH(SalesData[[#This Row],[Order Date]])</f>
        <v>9</v>
      </c>
      <c r="D1193" s="3" t="s">
        <v>1378</v>
      </c>
      <c r="E1193" s="3" t="s">
        <v>278</v>
      </c>
      <c r="F1193" s="3" t="s">
        <v>11</v>
      </c>
      <c r="G1193" s="3" t="s">
        <v>24</v>
      </c>
      <c r="H1193" s="3" t="s">
        <v>147</v>
      </c>
      <c r="I1193" s="6">
        <v>14.58</v>
      </c>
      <c r="J1193" s="4">
        <v>2</v>
      </c>
      <c r="K1193" s="6">
        <v>2.37</v>
      </c>
    </row>
    <row r="1194" spans="1:11" x14ac:dyDescent="0.3">
      <c r="A1194" s="7">
        <v>41908</v>
      </c>
      <c r="B1194" s="4">
        <f>YEAR(SalesData[[#This Row],[Order Date]])</f>
        <v>2014</v>
      </c>
      <c r="C1194" s="4">
        <f>MONTH(SalesData[[#This Row],[Order Date]])</f>
        <v>9</v>
      </c>
      <c r="D1194" s="3" t="s">
        <v>1254</v>
      </c>
      <c r="E1194" s="3" t="s">
        <v>27</v>
      </c>
      <c r="F1194" s="3" t="s">
        <v>34</v>
      </c>
      <c r="G1194" s="3" t="s">
        <v>35</v>
      </c>
      <c r="H1194" s="3" t="s">
        <v>1379</v>
      </c>
      <c r="I1194" s="6">
        <v>145.57</v>
      </c>
      <c r="J1194" s="4">
        <v>2</v>
      </c>
      <c r="K1194" s="6">
        <v>0</v>
      </c>
    </row>
    <row r="1195" spans="1:11" x14ac:dyDescent="0.3">
      <c r="A1195" s="7">
        <v>41908</v>
      </c>
      <c r="B1195" s="4">
        <f>YEAR(SalesData[[#This Row],[Order Date]])</f>
        <v>2014</v>
      </c>
      <c r="C1195" s="4">
        <f>MONTH(SalesData[[#This Row],[Order Date]])</f>
        <v>9</v>
      </c>
      <c r="D1195" s="3" t="s">
        <v>1343</v>
      </c>
      <c r="E1195" s="3" t="s">
        <v>10</v>
      </c>
      <c r="F1195" s="3" t="s">
        <v>11</v>
      </c>
      <c r="G1195" s="3" t="s">
        <v>20</v>
      </c>
      <c r="H1195" s="3" t="s">
        <v>1380</v>
      </c>
      <c r="I1195" s="6">
        <v>0.88</v>
      </c>
      <c r="J1195" s="4">
        <v>1</v>
      </c>
      <c r="K1195" s="6">
        <v>-1.4</v>
      </c>
    </row>
    <row r="1196" spans="1:11" x14ac:dyDescent="0.3">
      <c r="A1196" s="7">
        <v>41908</v>
      </c>
      <c r="B1196" s="4">
        <f>YEAR(SalesData[[#This Row],[Order Date]])</f>
        <v>2014</v>
      </c>
      <c r="C1196" s="4">
        <f>MONTH(SalesData[[#This Row],[Order Date]])</f>
        <v>9</v>
      </c>
      <c r="D1196" s="3" t="s">
        <v>1381</v>
      </c>
      <c r="E1196" s="3" t="s">
        <v>23</v>
      </c>
      <c r="F1196" s="3" t="s">
        <v>11</v>
      </c>
      <c r="G1196" s="3" t="s">
        <v>92</v>
      </c>
      <c r="H1196" s="3" t="s">
        <v>1382</v>
      </c>
      <c r="I1196" s="6">
        <v>143.94999999999999</v>
      </c>
      <c r="J1196" s="4">
        <v>3</v>
      </c>
      <c r="K1196" s="6">
        <v>14.4</v>
      </c>
    </row>
    <row r="1197" spans="1:11" x14ac:dyDescent="0.3">
      <c r="A1197" s="7">
        <v>41908</v>
      </c>
      <c r="B1197" s="4">
        <f>YEAR(SalesData[[#This Row],[Order Date]])</f>
        <v>2014</v>
      </c>
      <c r="C1197" s="4">
        <f>MONTH(SalesData[[#This Row],[Order Date]])</f>
        <v>9</v>
      </c>
      <c r="D1197" s="3" t="s">
        <v>1383</v>
      </c>
      <c r="E1197" s="3" t="s">
        <v>164</v>
      </c>
      <c r="F1197" s="3" t="s">
        <v>11</v>
      </c>
      <c r="G1197" s="3" t="s">
        <v>18</v>
      </c>
      <c r="H1197" s="3" t="s">
        <v>1384</v>
      </c>
      <c r="I1197" s="6">
        <v>310.12</v>
      </c>
      <c r="J1197" s="4">
        <v>2</v>
      </c>
      <c r="K1197" s="6">
        <v>80.63</v>
      </c>
    </row>
    <row r="1198" spans="1:11" x14ac:dyDescent="0.3">
      <c r="A1198" s="7">
        <v>41908</v>
      </c>
      <c r="B1198" s="4">
        <f>YEAR(SalesData[[#This Row],[Order Date]])</f>
        <v>2014</v>
      </c>
      <c r="C1198" s="4">
        <f>MONTH(SalesData[[#This Row],[Order Date]])</f>
        <v>9</v>
      </c>
      <c r="D1198" s="3" t="s">
        <v>1385</v>
      </c>
      <c r="E1198" s="3" t="s">
        <v>27</v>
      </c>
      <c r="F1198" s="3" t="s">
        <v>34</v>
      </c>
      <c r="G1198" s="3" t="s">
        <v>35</v>
      </c>
      <c r="H1198" s="3" t="s">
        <v>864</v>
      </c>
      <c r="I1198" s="6">
        <v>585.54999999999995</v>
      </c>
      <c r="J1198" s="4">
        <v>3</v>
      </c>
      <c r="K1198" s="6">
        <v>73.19</v>
      </c>
    </row>
    <row r="1199" spans="1:11" x14ac:dyDescent="0.3">
      <c r="A1199" s="7">
        <v>41908</v>
      </c>
      <c r="B1199" s="4">
        <f>YEAR(SalesData[[#This Row],[Order Date]])</f>
        <v>2014</v>
      </c>
      <c r="C1199" s="4">
        <f>MONTH(SalesData[[#This Row],[Order Date]])</f>
        <v>9</v>
      </c>
      <c r="D1199" s="3" t="s">
        <v>1385</v>
      </c>
      <c r="E1199" s="3" t="s">
        <v>27</v>
      </c>
      <c r="F1199" s="3" t="s">
        <v>11</v>
      </c>
      <c r="G1199" s="3" t="s">
        <v>12</v>
      </c>
      <c r="H1199" s="3" t="s">
        <v>1365</v>
      </c>
      <c r="I1199" s="6">
        <v>19.440000000000001</v>
      </c>
      <c r="J1199" s="4">
        <v>3</v>
      </c>
      <c r="K1199" s="6">
        <v>9.33</v>
      </c>
    </row>
    <row r="1200" spans="1:11" x14ac:dyDescent="0.3">
      <c r="A1200" s="7">
        <v>41908</v>
      </c>
      <c r="B1200" s="4">
        <f>YEAR(SalesData[[#This Row],[Order Date]])</f>
        <v>2014</v>
      </c>
      <c r="C1200" s="4">
        <f>MONTH(SalesData[[#This Row],[Order Date]])</f>
        <v>9</v>
      </c>
      <c r="D1200" s="3" t="s">
        <v>270</v>
      </c>
      <c r="E1200" s="3" t="s">
        <v>23</v>
      </c>
      <c r="F1200" s="3" t="s">
        <v>11</v>
      </c>
      <c r="G1200" s="3" t="s">
        <v>20</v>
      </c>
      <c r="H1200" s="3" t="s">
        <v>1386</v>
      </c>
      <c r="I1200" s="6">
        <v>5.97</v>
      </c>
      <c r="J1200" s="4">
        <v>5</v>
      </c>
      <c r="K1200" s="6">
        <v>-4.58</v>
      </c>
    </row>
    <row r="1201" spans="1:11" x14ac:dyDescent="0.3">
      <c r="A1201" s="7">
        <v>41908</v>
      </c>
      <c r="B1201" s="4">
        <f>YEAR(SalesData[[#This Row],[Order Date]])</f>
        <v>2014</v>
      </c>
      <c r="C1201" s="4">
        <f>MONTH(SalesData[[#This Row],[Order Date]])</f>
        <v>9</v>
      </c>
      <c r="D1201" s="3" t="s">
        <v>270</v>
      </c>
      <c r="E1201" s="3" t="s">
        <v>23</v>
      </c>
      <c r="F1201" s="3" t="s">
        <v>34</v>
      </c>
      <c r="G1201" s="3" t="s">
        <v>47</v>
      </c>
      <c r="H1201" s="3" t="s">
        <v>86</v>
      </c>
      <c r="I1201" s="6">
        <v>21.18</v>
      </c>
      <c r="J1201" s="4">
        <v>1</v>
      </c>
      <c r="K1201" s="6">
        <v>4.7699999999999996</v>
      </c>
    </row>
    <row r="1202" spans="1:11" x14ac:dyDescent="0.3">
      <c r="A1202" s="7">
        <v>41908</v>
      </c>
      <c r="B1202" s="4">
        <f>YEAR(SalesData[[#This Row],[Order Date]])</f>
        <v>2014</v>
      </c>
      <c r="C1202" s="4">
        <f>MONTH(SalesData[[#This Row],[Order Date]])</f>
        <v>9</v>
      </c>
      <c r="D1202" s="3" t="s">
        <v>270</v>
      </c>
      <c r="E1202" s="3" t="s">
        <v>23</v>
      </c>
      <c r="F1202" s="3" t="s">
        <v>11</v>
      </c>
      <c r="G1202" s="3" t="s">
        <v>92</v>
      </c>
      <c r="H1202" s="3" t="s">
        <v>1387</v>
      </c>
      <c r="I1202" s="6">
        <v>41.38</v>
      </c>
      <c r="J1202" s="4">
        <v>6</v>
      </c>
      <c r="K1202" s="6">
        <v>3.1</v>
      </c>
    </row>
    <row r="1203" spans="1:11" x14ac:dyDescent="0.3">
      <c r="A1203" s="7">
        <v>41908</v>
      </c>
      <c r="B1203" s="4">
        <f>YEAR(SalesData[[#This Row],[Order Date]])</f>
        <v>2014</v>
      </c>
      <c r="C1203" s="4">
        <f>MONTH(SalesData[[#This Row],[Order Date]])</f>
        <v>9</v>
      </c>
      <c r="D1203" s="3" t="s">
        <v>564</v>
      </c>
      <c r="E1203" s="3" t="s">
        <v>78</v>
      </c>
      <c r="F1203" s="3" t="s">
        <v>11</v>
      </c>
      <c r="G1203" s="3" t="s">
        <v>92</v>
      </c>
      <c r="H1203" s="3" t="s">
        <v>1388</v>
      </c>
      <c r="I1203" s="6">
        <v>16.7</v>
      </c>
      <c r="J1203" s="4">
        <v>6</v>
      </c>
      <c r="K1203" s="6">
        <v>1.25</v>
      </c>
    </row>
    <row r="1204" spans="1:11" x14ac:dyDescent="0.3">
      <c r="A1204" s="7">
        <v>41908</v>
      </c>
      <c r="B1204" s="4">
        <f>YEAR(SalesData[[#This Row],[Order Date]])</f>
        <v>2014</v>
      </c>
      <c r="C1204" s="4">
        <f>MONTH(SalesData[[#This Row],[Order Date]])</f>
        <v>9</v>
      </c>
      <c r="D1204" s="3" t="s">
        <v>564</v>
      </c>
      <c r="E1204" s="3" t="s">
        <v>78</v>
      </c>
      <c r="F1204" s="3" t="s">
        <v>39</v>
      </c>
      <c r="G1204" s="3" t="s">
        <v>52</v>
      </c>
      <c r="H1204" s="3" t="s">
        <v>1389</v>
      </c>
      <c r="I1204" s="6">
        <v>3.15</v>
      </c>
      <c r="J1204" s="4">
        <v>2</v>
      </c>
      <c r="K1204" s="6">
        <v>0.47</v>
      </c>
    </row>
    <row r="1205" spans="1:11" x14ac:dyDescent="0.3">
      <c r="A1205" s="7">
        <v>41908</v>
      </c>
      <c r="B1205" s="4">
        <f>YEAR(SalesData[[#This Row],[Order Date]])</f>
        <v>2014</v>
      </c>
      <c r="C1205" s="4">
        <f>MONTH(SalesData[[#This Row],[Order Date]])</f>
        <v>9</v>
      </c>
      <c r="D1205" s="3" t="s">
        <v>564</v>
      </c>
      <c r="E1205" s="3" t="s">
        <v>78</v>
      </c>
      <c r="F1205" s="3" t="s">
        <v>11</v>
      </c>
      <c r="G1205" s="3" t="s">
        <v>12</v>
      </c>
      <c r="H1205" s="3" t="s">
        <v>13</v>
      </c>
      <c r="I1205" s="6">
        <v>32.9</v>
      </c>
      <c r="J1205" s="4">
        <v>4</v>
      </c>
      <c r="K1205" s="6">
        <v>11.1</v>
      </c>
    </row>
    <row r="1206" spans="1:11" x14ac:dyDescent="0.3">
      <c r="A1206" s="7">
        <v>41908</v>
      </c>
      <c r="B1206" s="4">
        <f>YEAR(SalesData[[#This Row],[Order Date]])</f>
        <v>2014</v>
      </c>
      <c r="C1206" s="4">
        <f>MONTH(SalesData[[#This Row],[Order Date]])</f>
        <v>9</v>
      </c>
      <c r="D1206" s="3" t="s">
        <v>77</v>
      </c>
      <c r="E1206" s="3" t="s">
        <v>15</v>
      </c>
      <c r="F1206" s="3" t="s">
        <v>39</v>
      </c>
      <c r="G1206" s="3" t="s">
        <v>52</v>
      </c>
      <c r="H1206" s="3" t="s">
        <v>1390</v>
      </c>
      <c r="I1206" s="6">
        <v>153.82</v>
      </c>
      <c r="J1206" s="4">
        <v>11</v>
      </c>
      <c r="K1206" s="6">
        <v>38.46</v>
      </c>
    </row>
    <row r="1207" spans="1:11" x14ac:dyDescent="0.3">
      <c r="A1207" s="7">
        <v>41909</v>
      </c>
      <c r="B1207" s="4">
        <f>YEAR(SalesData[[#This Row],[Order Date]])</f>
        <v>2014</v>
      </c>
      <c r="C1207" s="4">
        <f>MONTH(SalesData[[#This Row],[Order Date]])</f>
        <v>9</v>
      </c>
      <c r="D1207" s="3" t="s">
        <v>355</v>
      </c>
      <c r="E1207" s="3" t="s">
        <v>177</v>
      </c>
      <c r="F1207" s="3" t="s">
        <v>34</v>
      </c>
      <c r="G1207" s="3" t="s">
        <v>47</v>
      </c>
      <c r="H1207" s="3" t="s">
        <v>1391</v>
      </c>
      <c r="I1207" s="6">
        <v>87.54</v>
      </c>
      <c r="J1207" s="4">
        <v>3</v>
      </c>
      <c r="K1207" s="6">
        <v>37.64</v>
      </c>
    </row>
    <row r="1208" spans="1:11" x14ac:dyDescent="0.3">
      <c r="A1208" s="7">
        <v>41909</v>
      </c>
      <c r="B1208" s="4">
        <f>YEAR(SalesData[[#This Row],[Order Date]])</f>
        <v>2014</v>
      </c>
      <c r="C1208" s="4">
        <f>MONTH(SalesData[[#This Row],[Order Date]])</f>
        <v>9</v>
      </c>
      <c r="D1208" s="3" t="s">
        <v>1392</v>
      </c>
      <c r="E1208" s="3" t="s">
        <v>27</v>
      </c>
      <c r="F1208" s="3" t="s">
        <v>34</v>
      </c>
      <c r="G1208" s="3" t="s">
        <v>35</v>
      </c>
      <c r="H1208" s="3" t="s">
        <v>542</v>
      </c>
      <c r="I1208" s="6">
        <v>603.91999999999996</v>
      </c>
      <c r="J1208" s="4">
        <v>5</v>
      </c>
      <c r="K1208" s="6">
        <v>45.29</v>
      </c>
    </row>
    <row r="1209" spans="1:11" x14ac:dyDescent="0.3">
      <c r="A1209" s="7">
        <v>41909</v>
      </c>
      <c r="B1209" s="4">
        <f>YEAR(SalesData[[#This Row],[Order Date]])</f>
        <v>2014</v>
      </c>
      <c r="C1209" s="4">
        <f>MONTH(SalesData[[#This Row],[Order Date]])</f>
        <v>9</v>
      </c>
      <c r="D1209" s="3" t="s">
        <v>1392</v>
      </c>
      <c r="E1209" s="3" t="s">
        <v>27</v>
      </c>
      <c r="F1209" s="3" t="s">
        <v>11</v>
      </c>
      <c r="G1209" s="3" t="s">
        <v>12</v>
      </c>
      <c r="H1209" s="3" t="s">
        <v>360</v>
      </c>
      <c r="I1209" s="6">
        <v>81.98</v>
      </c>
      <c r="J1209" s="4">
        <v>2</v>
      </c>
      <c r="K1209" s="6">
        <v>40.17</v>
      </c>
    </row>
    <row r="1210" spans="1:11" x14ac:dyDescent="0.3">
      <c r="A1210" s="7">
        <v>41910</v>
      </c>
      <c r="B1210" s="4">
        <f>YEAR(SalesData[[#This Row],[Order Date]])</f>
        <v>2014</v>
      </c>
      <c r="C1210" s="4">
        <f>MONTH(SalesData[[#This Row],[Order Date]])</f>
        <v>9</v>
      </c>
      <c r="D1210" s="3" t="s">
        <v>1393</v>
      </c>
      <c r="E1210" s="3" t="s">
        <v>434</v>
      </c>
      <c r="F1210" s="3" t="s">
        <v>11</v>
      </c>
      <c r="G1210" s="3" t="s">
        <v>18</v>
      </c>
      <c r="H1210" s="3" t="s">
        <v>1331</v>
      </c>
      <c r="I1210" s="6">
        <v>46.26</v>
      </c>
      <c r="J1210" s="4">
        <v>3</v>
      </c>
      <c r="K1210" s="6">
        <v>12.49</v>
      </c>
    </row>
    <row r="1211" spans="1:11" x14ac:dyDescent="0.3">
      <c r="A1211" s="7">
        <v>41910</v>
      </c>
      <c r="B1211" s="4">
        <f>YEAR(SalesData[[#This Row],[Order Date]])</f>
        <v>2014</v>
      </c>
      <c r="C1211" s="4">
        <f>MONTH(SalesData[[#This Row],[Order Date]])</f>
        <v>9</v>
      </c>
      <c r="D1211" s="3" t="s">
        <v>1394</v>
      </c>
      <c r="E1211" s="3" t="s">
        <v>245</v>
      </c>
      <c r="F1211" s="3" t="s">
        <v>11</v>
      </c>
      <c r="G1211" s="3" t="s">
        <v>12</v>
      </c>
      <c r="H1211" s="3" t="s">
        <v>1395</v>
      </c>
      <c r="I1211" s="6">
        <v>96.26</v>
      </c>
      <c r="J1211" s="4">
        <v>8</v>
      </c>
      <c r="K1211" s="6">
        <v>31.28</v>
      </c>
    </row>
    <row r="1212" spans="1:11" x14ac:dyDescent="0.3">
      <c r="A1212" s="7">
        <v>41910</v>
      </c>
      <c r="B1212" s="4">
        <f>YEAR(SalesData[[#This Row],[Order Date]])</f>
        <v>2014</v>
      </c>
      <c r="C1212" s="4">
        <f>MONTH(SalesData[[#This Row],[Order Date]])</f>
        <v>9</v>
      </c>
      <c r="D1212" s="3" t="s">
        <v>1394</v>
      </c>
      <c r="E1212" s="3" t="s">
        <v>245</v>
      </c>
      <c r="F1212" s="3" t="s">
        <v>11</v>
      </c>
      <c r="G1212" s="3" t="s">
        <v>12</v>
      </c>
      <c r="H1212" s="3" t="s">
        <v>127</v>
      </c>
      <c r="I1212" s="6">
        <v>10.69</v>
      </c>
      <c r="J1212" s="4">
        <v>2</v>
      </c>
      <c r="K1212" s="6">
        <v>3.74</v>
      </c>
    </row>
    <row r="1213" spans="1:11" x14ac:dyDescent="0.3">
      <c r="A1213" s="7">
        <v>41910</v>
      </c>
      <c r="B1213" s="4">
        <f>YEAR(SalesData[[#This Row],[Order Date]])</f>
        <v>2014</v>
      </c>
      <c r="C1213" s="4">
        <f>MONTH(SalesData[[#This Row],[Order Date]])</f>
        <v>9</v>
      </c>
      <c r="D1213" s="3" t="s">
        <v>109</v>
      </c>
      <c r="E1213" s="3" t="s">
        <v>123</v>
      </c>
      <c r="F1213" s="3" t="s">
        <v>34</v>
      </c>
      <c r="G1213" s="3" t="s">
        <v>47</v>
      </c>
      <c r="H1213" s="3" t="s">
        <v>1396</v>
      </c>
      <c r="I1213" s="6">
        <v>337.09</v>
      </c>
      <c r="J1213" s="4">
        <v>4</v>
      </c>
      <c r="K1213" s="6">
        <v>16.850000000000001</v>
      </c>
    </row>
    <row r="1214" spans="1:11" x14ac:dyDescent="0.3">
      <c r="A1214" s="7">
        <v>41911</v>
      </c>
      <c r="B1214" s="4">
        <f>YEAR(SalesData[[#This Row],[Order Date]])</f>
        <v>2014</v>
      </c>
      <c r="C1214" s="4">
        <f>MONTH(SalesData[[#This Row],[Order Date]])</f>
        <v>9</v>
      </c>
      <c r="D1214" s="3" t="s">
        <v>1152</v>
      </c>
      <c r="E1214" s="3" t="s">
        <v>27</v>
      </c>
      <c r="F1214" s="3" t="s">
        <v>34</v>
      </c>
      <c r="G1214" s="3" t="s">
        <v>47</v>
      </c>
      <c r="H1214" s="3" t="s">
        <v>1397</v>
      </c>
      <c r="I1214" s="6">
        <v>204.6</v>
      </c>
      <c r="J1214" s="4">
        <v>2</v>
      </c>
      <c r="K1214" s="6">
        <v>53.2</v>
      </c>
    </row>
    <row r="1215" spans="1:11" x14ac:dyDescent="0.3">
      <c r="A1215" s="7">
        <v>41911</v>
      </c>
      <c r="B1215" s="4">
        <f>YEAR(SalesData[[#This Row],[Order Date]])</f>
        <v>2014</v>
      </c>
      <c r="C1215" s="4">
        <f>MONTH(SalesData[[#This Row],[Order Date]])</f>
        <v>9</v>
      </c>
      <c r="D1215" s="3" t="s">
        <v>1152</v>
      </c>
      <c r="E1215" s="3" t="s">
        <v>27</v>
      </c>
      <c r="F1215" s="3" t="s">
        <v>11</v>
      </c>
      <c r="G1215" s="3" t="s">
        <v>43</v>
      </c>
      <c r="H1215" s="3" t="s">
        <v>282</v>
      </c>
      <c r="I1215" s="6">
        <v>8.7200000000000006</v>
      </c>
      <c r="J1215" s="4">
        <v>4</v>
      </c>
      <c r="K1215" s="6">
        <v>2.88</v>
      </c>
    </row>
    <row r="1216" spans="1:11" x14ac:dyDescent="0.3">
      <c r="A1216" s="7">
        <v>41911</v>
      </c>
      <c r="B1216" s="4">
        <f>YEAR(SalesData[[#This Row],[Order Date]])</f>
        <v>2014</v>
      </c>
      <c r="C1216" s="4">
        <f>MONTH(SalesData[[#This Row],[Order Date]])</f>
        <v>9</v>
      </c>
      <c r="D1216" s="3" t="s">
        <v>1152</v>
      </c>
      <c r="E1216" s="3" t="s">
        <v>27</v>
      </c>
      <c r="F1216" s="3" t="s">
        <v>11</v>
      </c>
      <c r="G1216" s="3" t="s">
        <v>12</v>
      </c>
      <c r="H1216" s="3" t="s">
        <v>1398</v>
      </c>
      <c r="I1216" s="6">
        <v>6.48</v>
      </c>
      <c r="J1216" s="4">
        <v>1</v>
      </c>
      <c r="K1216" s="6">
        <v>3.11</v>
      </c>
    </row>
    <row r="1217" spans="1:11" x14ac:dyDescent="0.3">
      <c r="A1217" s="7">
        <v>41911</v>
      </c>
      <c r="B1217" s="4">
        <f>YEAR(SalesData[[#This Row],[Order Date]])</f>
        <v>2014</v>
      </c>
      <c r="C1217" s="4">
        <f>MONTH(SalesData[[#This Row],[Order Date]])</f>
        <v>9</v>
      </c>
      <c r="D1217" s="3" t="s">
        <v>1152</v>
      </c>
      <c r="E1217" s="3" t="s">
        <v>27</v>
      </c>
      <c r="F1217" s="3" t="s">
        <v>39</v>
      </c>
      <c r="G1217" s="3" t="s">
        <v>302</v>
      </c>
      <c r="H1217" s="3" t="s">
        <v>1399</v>
      </c>
      <c r="I1217" s="6">
        <v>686.32</v>
      </c>
      <c r="J1217" s="4">
        <v>2</v>
      </c>
      <c r="K1217" s="6">
        <v>223.05</v>
      </c>
    </row>
    <row r="1218" spans="1:11" x14ac:dyDescent="0.3">
      <c r="A1218" s="7">
        <v>41911</v>
      </c>
      <c r="B1218" s="4">
        <f>YEAR(SalesData[[#This Row],[Order Date]])</f>
        <v>2014</v>
      </c>
      <c r="C1218" s="4">
        <f>MONTH(SalesData[[#This Row],[Order Date]])</f>
        <v>9</v>
      </c>
      <c r="D1218" s="3" t="s">
        <v>1152</v>
      </c>
      <c r="E1218" s="3" t="s">
        <v>27</v>
      </c>
      <c r="F1218" s="3" t="s">
        <v>11</v>
      </c>
      <c r="G1218" s="3" t="s">
        <v>18</v>
      </c>
      <c r="H1218" s="3" t="s">
        <v>1400</v>
      </c>
      <c r="I1218" s="6">
        <v>62.18</v>
      </c>
      <c r="J1218" s="4">
        <v>1</v>
      </c>
      <c r="K1218" s="6">
        <v>16.79</v>
      </c>
    </row>
    <row r="1219" spans="1:11" x14ac:dyDescent="0.3">
      <c r="A1219" s="7">
        <v>41911</v>
      </c>
      <c r="B1219" s="4">
        <f>YEAR(SalesData[[#This Row],[Order Date]])</f>
        <v>2014</v>
      </c>
      <c r="C1219" s="4">
        <f>MONTH(SalesData[[#This Row],[Order Date]])</f>
        <v>9</v>
      </c>
      <c r="D1219" s="3" t="s">
        <v>1401</v>
      </c>
      <c r="E1219" s="3" t="s">
        <v>23</v>
      </c>
      <c r="F1219" s="3" t="s">
        <v>11</v>
      </c>
      <c r="G1219" s="3" t="s">
        <v>24</v>
      </c>
      <c r="H1219" s="3" t="s">
        <v>841</v>
      </c>
      <c r="I1219" s="6">
        <v>4.22</v>
      </c>
      <c r="J1219" s="4">
        <v>3</v>
      </c>
      <c r="K1219" s="6">
        <v>1.48</v>
      </c>
    </row>
    <row r="1220" spans="1:11" x14ac:dyDescent="0.3">
      <c r="A1220" s="7">
        <v>41911</v>
      </c>
      <c r="B1220" s="4">
        <f>YEAR(SalesData[[#This Row],[Order Date]])</f>
        <v>2014</v>
      </c>
      <c r="C1220" s="4">
        <f>MONTH(SalesData[[#This Row],[Order Date]])</f>
        <v>9</v>
      </c>
      <c r="D1220" s="3" t="s">
        <v>1401</v>
      </c>
      <c r="E1220" s="3" t="s">
        <v>23</v>
      </c>
      <c r="F1220" s="3" t="s">
        <v>34</v>
      </c>
      <c r="G1220" s="3" t="s">
        <v>145</v>
      </c>
      <c r="H1220" s="3" t="s">
        <v>322</v>
      </c>
      <c r="I1220" s="6">
        <v>409.27</v>
      </c>
      <c r="J1220" s="4">
        <v>2</v>
      </c>
      <c r="K1220" s="6">
        <v>-81.849999999999994</v>
      </c>
    </row>
    <row r="1221" spans="1:11" x14ac:dyDescent="0.3">
      <c r="A1221" s="7">
        <v>41911</v>
      </c>
      <c r="B1221" s="4">
        <f>YEAR(SalesData[[#This Row],[Order Date]])</f>
        <v>2014</v>
      </c>
      <c r="C1221" s="4">
        <f>MONTH(SalesData[[#This Row],[Order Date]])</f>
        <v>9</v>
      </c>
      <c r="D1221" s="3" t="s">
        <v>1401</v>
      </c>
      <c r="E1221" s="3" t="s">
        <v>23</v>
      </c>
      <c r="F1221" s="3" t="s">
        <v>11</v>
      </c>
      <c r="G1221" s="3" t="s">
        <v>16</v>
      </c>
      <c r="H1221" s="3" t="s">
        <v>1402</v>
      </c>
      <c r="I1221" s="6">
        <v>55.44</v>
      </c>
      <c r="J1221" s="4">
        <v>11</v>
      </c>
      <c r="K1221" s="6">
        <v>18.02</v>
      </c>
    </row>
    <row r="1222" spans="1:11" x14ac:dyDescent="0.3">
      <c r="A1222" s="7">
        <v>41911</v>
      </c>
      <c r="B1222" s="4">
        <f>YEAR(SalesData[[#This Row],[Order Date]])</f>
        <v>2014</v>
      </c>
      <c r="C1222" s="4">
        <f>MONTH(SalesData[[#This Row],[Order Date]])</f>
        <v>9</v>
      </c>
      <c r="D1222" s="3" t="s">
        <v>1401</v>
      </c>
      <c r="E1222" s="3" t="s">
        <v>23</v>
      </c>
      <c r="F1222" s="3" t="s">
        <v>11</v>
      </c>
      <c r="G1222" s="3" t="s">
        <v>12</v>
      </c>
      <c r="H1222" s="3" t="s">
        <v>1403</v>
      </c>
      <c r="I1222" s="6">
        <v>20.93</v>
      </c>
      <c r="J1222" s="4">
        <v>4</v>
      </c>
      <c r="K1222" s="6">
        <v>6.8</v>
      </c>
    </row>
    <row r="1223" spans="1:11" x14ac:dyDescent="0.3">
      <c r="A1223" s="7">
        <v>41911</v>
      </c>
      <c r="B1223" s="4">
        <f>YEAR(SalesData[[#This Row],[Order Date]])</f>
        <v>2014</v>
      </c>
      <c r="C1223" s="4">
        <f>MONTH(SalesData[[#This Row],[Order Date]])</f>
        <v>9</v>
      </c>
      <c r="D1223" s="3" t="s">
        <v>1401</v>
      </c>
      <c r="E1223" s="3" t="s">
        <v>23</v>
      </c>
      <c r="F1223" s="3" t="s">
        <v>11</v>
      </c>
      <c r="G1223" s="3" t="s">
        <v>18</v>
      </c>
      <c r="H1223" s="3" t="s">
        <v>1110</v>
      </c>
      <c r="I1223" s="6">
        <v>1801.63</v>
      </c>
      <c r="J1223" s="4">
        <v>6</v>
      </c>
      <c r="K1223" s="6">
        <v>-337.81</v>
      </c>
    </row>
    <row r="1224" spans="1:11" x14ac:dyDescent="0.3">
      <c r="A1224" s="7">
        <v>41911</v>
      </c>
      <c r="B1224" s="4">
        <f>YEAR(SalesData[[#This Row],[Order Date]])</f>
        <v>2014</v>
      </c>
      <c r="C1224" s="4">
        <f>MONTH(SalesData[[#This Row],[Order Date]])</f>
        <v>9</v>
      </c>
      <c r="D1224" s="3" t="s">
        <v>1401</v>
      </c>
      <c r="E1224" s="3" t="s">
        <v>23</v>
      </c>
      <c r="F1224" s="3" t="s">
        <v>34</v>
      </c>
      <c r="G1224" s="3" t="s">
        <v>145</v>
      </c>
      <c r="H1224" s="3" t="s">
        <v>874</v>
      </c>
      <c r="I1224" s="6">
        <v>67.180000000000007</v>
      </c>
      <c r="J1224" s="4">
        <v>1</v>
      </c>
      <c r="K1224" s="6">
        <v>-20.149999999999999</v>
      </c>
    </row>
    <row r="1225" spans="1:11" x14ac:dyDescent="0.3">
      <c r="A1225" s="7">
        <v>41911</v>
      </c>
      <c r="B1225" s="4">
        <f>YEAR(SalesData[[#This Row],[Order Date]])</f>
        <v>2014</v>
      </c>
      <c r="C1225" s="4">
        <f>MONTH(SalesData[[#This Row],[Order Date]])</f>
        <v>9</v>
      </c>
      <c r="D1225" s="3" t="s">
        <v>1181</v>
      </c>
      <c r="E1225" s="3" t="s">
        <v>164</v>
      </c>
      <c r="F1225" s="3" t="s">
        <v>34</v>
      </c>
      <c r="G1225" s="3" t="s">
        <v>47</v>
      </c>
      <c r="H1225" s="3" t="s">
        <v>1404</v>
      </c>
      <c r="I1225" s="6">
        <v>6.16</v>
      </c>
      <c r="J1225" s="4">
        <v>2</v>
      </c>
      <c r="K1225" s="6">
        <v>2.96</v>
      </c>
    </row>
    <row r="1226" spans="1:11" x14ac:dyDescent="0.3">
      <c r="A1226" s="7">
        <v>41911</v>
      </c>
      <c r="B1226" s="4">
        <f>YEAR(SalesData[[#This Row],[Order Date]])</f>
        <v>2014</v>
      </c>
      <c r="C1226" s="4">
        <f>MONTH(SalesData[[#This Row],[Order Date]])</f>
        <v>9</v>
      </c>
      <c r="D1226" s="3" t="s">
        <v>1181</v>
      </c>
      <c r="E1226" s="3" t="s">
        <v>164</v>
      </c>
      <c r="F1226" s="3" t="s">
        <v>34</v>
      </c>
      <c r="G1226" s="3" t="s">
        <v>145</v>
      </c>
      <c r="H1226" s="3" t="s">
        <v>255</v>
      </c>
      <c r="I1226" s="6">
        <v>2348.8200000000002</v>
      </c>
      <c r="J1226" s="4">
        <v>9</v>
      </c>
      <c r="K1226" s="6">
        <v>399.3</v>
      </c>
    </row>
    <row r="1227" spans="1:11" x14ac:dyDescent="0.3">
      <c r="A1227" s="7">
        <v>41911</v>
      </c>
      <c r="B1227" s="4">
        <f>YEAR(SalesData[[#This Row],[Order Date]])</f>
        <v>2014</v>
      </c>
      <c r="C1227" s="4">
        <f>MONTH(SalesData[[#This Row],[Order Date]])</f>
        <v>9</v>
      </c>
      <c r="D1227" s="3" t="s">
        <v>1405</v>
      </c>
      <c r="E1227" s="3" t="s">
        <v>149</v>
      </c>
      <c r="F1227" s="3" t="s">
        <v>11</v>
      </c>
      <c r="G1227" s="3" t="s">
        <v>18</v>
      </c>
      <c r="H1227" s="3" t="s">
        <v>1384</v>
      </c>
      <c r="I1227" s="6">
        <v>1395.54</v>
      </c>
      <c r="J1227" s="4">
        <v>9</v>
      </c>
      <c r="K1227" s="6">
        <v>362.84</v>
      </c>
    </row>
    <row r="1228" spans="1:11" x14ac:dyDescent="0.3">
      <c r="A1228" s="7">
        <v>41911</v>
      </c>
      <c r="B1228" s="4">
        <f>YEAR(SalesData[[#This Row],[Order Date]])</f>
        <v>2014</v>
      </c>
      <c r="C1228" s="4">
        <f>MONTH(SalesData[[#This Row],[Order Date]])</f>
        <v>9</v>
      </c>
      <c r="D1228" s="3" t="s">
        <v>1405</v>
      </c>
      <c r="E1228" s="3" t="s">
        <v>149</v>
      </c>
      <c r="F1228" s="3" t="s">
        <v>34</v>
      </c>
      <c r="G1228" s="3" t="s">
        <v>47</v>
      </c>
      <c r="H1228" s="3" t="s">
        <v>1406</v>
      </c>
      <c r="I1228" s="6">
        <v>117.36</v>
      </c>
      <c r="J1228" s="4">
        <v>4</v>
      </c>
      <c r="K1228" s="6">
        <v>36.380000000000003</v>
      </c>
    </row>
    <row r="1229" spans="1:11" x14ac:dyDescent="0.3">
      <c r="A1229" s="7">
        <v>41911</v>
      </c>
      <c r="B1229" s="4">
        <f>YEAR(SalesData[[#This Row],[Order Date]])</f>
        <v>2014</v>
      </c>
      <c r="C1229" s="4">
        <f>MONTH(SalesData[[#This Row],[Order Date]])</f>
        <v>9</v>
      </c>
      <c r="D1229" s="3" t="s">
        <v>1405</v>
      </c>
      <c r="E1229" s="3" t="s">
        <v>149</v>
      </c>
      <c r="F1229" s="3" t="s">
        <v>11</v>
      </c>
      <c r="G1229" s="3" t="s">
        <v>16</v>
      </c>
      <c r="H1229" s="3" t="s">
        <v>1407</v>
      </c>
      <c r="I1229" s="6">
        <v>18.899999999999999</v>
      </c>
      <c r="J1229" s="4">
        <v>3</v>
      </c>
      <c r="K1229" s="6">
        <v>8.69</v>
      </c>
    </row>
    <row r="1230" spans="1:11" x14ac:dyDescent="0.3">
      <c r="A1230" s="7">
        <v>41911</v>
      </c>
      <c r="B1230" s="4">
        <f>YEAR(SalesData[[#This Row],[Order Date]])</f>
        <v>2014</v>
      </c>
      <c r="C1230" s="4">
        <f>MONTH(SalesData[[#This Row],[Order Date]])</f>
        <v>9</v>
      </c>
      <c r="D1230" s="3" t="s">
        <v>1405</v>
      </c>
      <c r="E1230" s="3" t="s">
        <v>149</v>
      </c>
      <c r="F1230" s="3" t="s">
        <v>11</v>
      </c>
      <c r="G1230" s="3" t="s">
        <v>12</v>
      </c>
      <c r="H1230" s="3" t="s">
        <v>1054</v>
      </c>
      <c r="I1230" s="6">
        <v>77.52</v>
      </c>
      <c r="J1230" s="4">
        <v>2</v>
      </c>
      <c r="K1230" s="6">
        <v>37.979999999999997</v>
      </c>
    </row>
    <row r="1231" spans="1:11" x14ac:dyDescent="0.3">
      <c r="A1231" s="7">
        <v>41911</v>
      </c>
      <c r="B1231" s="4">
        <f>YEAR(SalesData[[#This Row],[Order Date]])</f>
        <v>2014</v>
      </c>
      <c r="C1231" s="4">
        <f>MONTH(SalesData[[#This Row],[Order Date]])</f>
        <v>9</v>
      </c>
      <c r="D1231" s="3" t="s">
        <v>1408</v>
      </c>
      <c r="E1231" s="3" t="s">
        <v>164</v>
      </c>
      <c r="F1231" s="3" t="s">
        <v>11</v>
      </c>
      <c r="G1231" s="3" t="s">
        <v>20</v>
      </c>
      <c r="H1231" s="3" t="s">
        <v>1409</v>
      </c>
      <c r="I1231" s="6">
        <v>10.050000000000001</v>
      </c>
      <c r="J1231" s="4">
        <v>2</v>
      </c>
      <c r="K1231" s="6">
        <v>3.14</v>
      </c>
    </row>
    <row r="1232" spans="1:11" x14ac:dyDescent="0.3">
      <c r="A1232" s="7">
        <v>41911</v>
      </c>
      <c r="B1232" s="4">
        <f>YEAR(SalesData[[#This Row],[Order Date]])</f>
        <v>2014</v>
      </c>
      <c r="C1232" s="4">
        <f>MONTH(SalesData[[#This Row],[Order Date]])</f>
        <v>9</v>
      </c>
      <c r="D1232" s="3" t="s">
        <v>1408</v>
      </c>
      <c r="E1232" s="3" t="s">
        <v>164</v>
      </c>
      <c r="F1232" s="3" t="s">
        <v>11</v>
      </c>
      <c r="G1232" s="3" t="s">
        <v>18</v>
      </c>
      <c r="H1232" s="3" t="s">
        <v>1410</v>
      </c>
      <c r="I1232" s="6">
        <v>807.75</v>
      </c>
      <c r="J1232" s="4">
        <v>5</v>
      </c>
      <c r="K1232" s="6">
        <v>153.47</v>
      </c>
    </row>
    <row r="1233" spans="1:11" x14ac:dyDescent="0.3">
      <c r="A1233" s="7">
        <v>41912</v>
      </c>
      <c r="B1233" s="4">
        <f>YEAR(SalesData[[#This Row],[Order Date]])</f>
        <v>2014</v>
      </c>
      <c r="C1233" s="4">
        <f>MONTH(SalesData[[#This Row],[Order Date]])</f>
        <v>9</v>
      </c>
      <c r="D1233" s="3" t="s">
        <v>889</v>
      </c>
      <c r="E1233" s="3" t="s">
        <v>149</v>
      </c>
      <c r="F1233" s="3" t="s">
        <v>11</v>
      </c>
      <c r="G1233" s="3" t="s">
        <v>12</v>
      </c>
      <c r="H1233" s="3" t="s">
        <v>1411</v>
      </c>
      <c r="I1233" s="6">
        <v>48.94</v>
      </c>
      <c r="J1233" s="4">
        <v>1</v>
      </c>
      <c r="K1233" s="6">
        <v>24.47</v>
      </c>
    </row>
    <row r="1234" spans="1:11" x14ac:dyDescent="0.3">
      <c r="A1234" s="7">
        <v>41912</v>
      </c>
      <c r="B1234" s="4">
        <f>YEAR(SalesData[[#This Row],[Order Date]])</f>
        <v>2014</v>
      </c>
      <c r="C1234" s="4">
        <f>MONTH(SalesData[[#This Row],[Order Date]])</f>
        <v>9</v>
      </c>
      <c r="D1234" s="3" t="s">
        <v>1113</v>
      </c>
      <c r="E1234" s="3" t="s">
        <v>123</v>
      </c>
      <c r="F1234" s="3" t="s">
        <v>11</v>
      </c>
      <c r="G1234" s="3" t="s">
        <v>12</v>
      </c>
      <c r="H1234" s="3" t="s">
        <v>1365</v>
      </c>
      <c r="I1234" s="6">
        <v>15.55</v>
      </c>
      <c r="J1234" s="4">
        <v>3</v>
      </c>
      <c r="K1234" s="6">
        <v>5.44</v>
      </c>
    </row>
    <row r="1235" spans="1:11" x14ac:dyDescent="0.3">
      <c r="A1235" s="7">
        <v>41912</v>
      </c>
      <c r="B1235" s="4">
        <f>YEAR(SalesData[[#This Row],[Order Date]])</f>
        <v>2014</v>
      </c>
      <c r="C1235" s="4">
        <f>MONTH(SalesData[[#This Row],[Order Date]])</f>
        <v>9</v>
      </c>
      <c r="D1235" s="3" t="s">
        <v>1412</v>
      </c>
      <c r="E1235" s="3" t="s">
        <v>120</v>
      </c>
      <c r="F1235" s="3" t="s">
        <v>11</v>
      </c>
      <c r="G1235" s="3" t="s">
        <v>92</v>
      </c>
      <c r="H1235" s="3" t="s">
        <v>617</v>
      </c>
      <c r="I1235" s="6">
        <v>69.22</v>
      </c>
      <c r="J1235" s="4">
        <v>6</v>
      </c>
      <c r="K1235" s="6">
        <v>11.25</v>
      </c>
    </row>
    <row r="1236" spans="1:11" x14ac:dyDescent="0.3">
      <c r="A1236" s="7">
        <v>41912</v>
      </c>
      <c r="B1236" s="4">
        <f>YEAR(SalesData[[#This Row],[Order Date]])</f>
        <v>2014</v>
      </c>
      <c r="C1236" s="4">
        <f>MONTH(SalesData[[#This Row],[Order Date]])</f>
        <v>9</v>
      </c>
      <c r="D1236" s="3" t="s">
        <v>1413</v>
      </c>
      <c r="E1236" s="3" t="s">
        <v>164</v>
      </c>
      <c r="F1236" s="3" t="s">
        <v>11</v>
      </c>
      <c r="G1236" s="3" t="s">
        <v>20</v>
      </c>
      <c r="H1236" s="3" t="s">
        <v>800</v>
      </c>
      <c r="I1236" s="6">
        <v>43.18</v>
      </c>
      <c r="J1236" s="4">
        <v>7</v>
      </c>
      <c r="K1236" s="6">
        <v>13.49</v>
      </c>
    </row>
    <row r="1237" spans="1:11" x14ac:dyDescent="0.3">
      <c r="A1237" s="7">
        <v>41912</v>
      </c>
      <c r="B1237" s="4">
        <f>YEAR(SalesData[[#This Row],[Order Date]])</f>
        <v>2014</v>
      </c>
      <c r="C1237" s="4">
        <f>MONTH(SalesData[[#This Row],[Order Date]])</f>
        <v>9</v>
      </c>
      <c r="D1237" s="3" t="s">
        <v>727</v>
      </c>
      <c r="E1237" s="3" t="s">
        <v>149</v>
      </c>
      <c r="F1237" s="3" t="s">
        <v>34</v>
      </c>
      <c r="G1237" s="3" t="s">
        <v>47</v>
      </c>
      <c r="H1237" s="3" t="s">
        <v>214</v>
      </c>
      <c r="I1237" s="6">
        <v>15.24</v>
      </c>
      <c r="J1237" s="4">
        <v>3</v>
      </c>
      <c r="K1237" s="6">
        <v>5.18</v>
      </c>
    </row>
    <row r="1238" spans="1:11" x14ac:dyDescent="0.3">
      <c r="A1238" s="7">
        <v>41912</v>
      </c>
      <c r="B1238" s="4">
        <f>YEAR(SalesData[[#This Row],[Order Date]])</f>
        <v>2014</v>
      </c>
      <c r="C1238" s="4">
        <f>MONTH(SalesData[[#This Row],[Order Date]])</f>
        <v>9</v>
      </c>
      <c r="D1238" s="3" t="s">
        <v>1414</v>
      </c>
      <c r="E1238" s="3" t="s">
        <v>78</v>
      </c>
      <c r="F1238" s="3" t="s">
        <v>11</v>
      </c>
      <c r="G1238" s="3" t="s">
        <v>92</v>
      </c>
      <c r="H1238" s="3" t="s">
        <v>1415</v>
      </c>
      <c r="I1238" s="6">
        <v>795.41</v>
      </c>
      <c r="J1238" s="4">
        <v>6</v>
      </c>
      <c r="K1238" s="6">
        <v>59.66</v>
      </c>
    </row>
    <row r="1239" spans="1:11" x14ac:dyDescent="0.3">
      <c r="A1239" s="7">
        <v>41913</v>
      </c>
      <c r="B1239" s="4">
        <f>YEAR(SalesData[[#This Row],[Order Date]])</f>
        <v>2014</v>
      </c>
      <c r="C1239" s="4">
        <f>MONTH(SalesData[[#This Row],[Order Date]])</f>
        <v>10</v>
      </c>
      <c r="D1239" s="3" t="s">
        <v>305</v>
      </c>
      <c r="E1239" s="3" t="s">
        <v>126</v>
      </c>
      <c r="F1239" s="3" t="s">
        <v>11</v>
      </c>
      <c r="G1239" s="3" t="s">
        <v>43</v>
      </c>
      <c r="H1239" s="3" t="s">
        <v>1416</v>
      </c>
      <c r="I1239" s="6">
        <v>4.71</v>
      </c>
      <c r="J1239" s="4">
        <v>1</v>
      </c>
      <c r="K1239" s="6">
        <v>0</v>
      </c>
    </row>
    <row r="1240" spans="1:11" x14ac:dyDescent="0.3">
      <c r="A1240" s="7">
        <v>41914</v>
      </c>
      <c r="B1240" s="4">
        <f>YEAR(SalesData[[#This Row],[Order Date]])</f>
        <v>2014</v>
      </c>
      <c r="C1240" s="4">
        <f>MONTH(SalesData[[#This Row],[Order Date]])</f>
        <v>10</v>
      </c>
      <c r="D1240" s="3" t="s">
        <v>1417</v>
      </c>
      <c r="E1240" s="3" t="s">
        <v>95</v>
      </c>
      <c r="F1240" s="3" t="s">
        <v>11</v>
      </c>
      <c r="G1240" s="3" t="s">
        <v>12</v>
      </c>
      <c r="H1240" s="3" t="s">
        <v>1418</v>
      </c>
      <c r="I1240" s="6">
        <v>9.41</v>
      </c>
      <c r="J1240" s="4">
        <v>2</v>
      </c>
      <c r="K1240" s="6">
        <v>3.41</v>
      </c>
    </row>
    <row r="1241" spans="1:11" x14ac:dyDescent="0.3">
      <c r="A1241" s="7">
        <v>41914</v>
      </c>
      <c r="B1241" s="4">
        <f>YEAR(SalesData[[#This Row],[Order Date]])</f>
        <v>2014</v>
      </c>
      <c r="C1241" s="4">
        <f>MONTH(SalesData[[#This Row],[Order Date]])</f>
        <v>10</v>
      </c>
      <c r="D1241" s="3" t="s">
        <v>1417</v>
      </c>
      <c r="E1241" s="3" t="s">
        <v>95</v>
      </c>
      <c r="F1241" s="3" t="s">
        <v>11</v>
      </c>
      <c r="G1241" s="3" t="s">
        <v>43</v>
      </c>
      <c r="H1241" s="3" t="s">
        <v>160</v>
      </c>
      <c r="I1241" s="6">
        <v>4.67</v>
      </c>
      <c r="J1241" s="4">
        <v>2</v>
      </c>
      <c r="K1241" s="6">
        <v>1.46</v>
      </c>
    </row>
    <row r="1242" spans="1:11" x14ac:dyDescent="0.3">
      <c r="A1242" s="7">
        <v>41914</v>
      </c>
      <c r="B1242" s="4">
        <f>YEAR(SalesData[[#This Row],[Order Date]])</f>
        <v>2014</v>
      </c>
      <c r="C1242" s="4">
        <f>MONTH(SalesData[[#This Row],[Order Date]])</f>
        <v>10</v>
      </c>
      <c r="D1242" s="3" t="s">
        <v>1417</v>
      </c>
      <c r="E1242" s="3" t="s">
        <v>95</v>
      </c>
      <c r="F1242" s="3" t="s">
        <v>39</v>
      </c>
      <c r="G1242" s="3" t="s">
        <v>40</v>
      </c>
      <c r="H1242" s="3" t="s">
        <v>1419</v>
      </c>
      <c r="I1242" s="6">
        <v>318.39999999999998</v>
      </c>
      <c r="J1242" s="4">
        <v>2</v>
      </c>
      <c r="K1242" s="6">
        <v>107.46</v>
      </c>
    </row>
    <row r="1243" spans="1:11" x14ac:dyDescent="0.3">
      <c r="A1243" s="7">
        <v>41914</v>
      </c>
      <c r="B1243" s="4">
        <f>YEAR(SalesData[[#This Row],[Order Date]])</f>
        <v>2014</v>
      </c>
      <c r="C1243" s="4">
        <f>MONTH(SalesData[[#This Row],[Order Date]])</f>
        <v>10</v>
      </c>
      <c r="D1243" s="3" t="s">
        <v>1417</v>
      </c>
      <c r="E1243" s="3" t="s">
        <v>95</v>
      </c>
      <c r="F1243" s="3" t="s">
        <v>11</v>
      </c>
      <c r="G1243" s="3" t="s">
        <v>63</v>
      </c>
      <c r="H1243" s="3" t="s">
        <v>1420</v>
      </c>
      <c r="I1243" s="6">
        <v>12.77</v>
      </c>
      <c r="J1243" s="4">
        <v>6</v>
      </c>
      <c r="K1243" s="6">
        <v>4.63</v>
      </c>
    </row>
    <row r="1244" spans="1:11" x14ac:dyDescent="0.3">
      <c r="A1244" s="7">
        <v>41914</v>
      </c>
      <c r="B1244" s="4">
        <f>YEAR(SalesData[[#This Row],[Order Date]])</f>
        <v>2014</v>
      </c>
      <c r="C1244" s="4">
        <f>MONTH(SalesData[[#This Row],[Order Date]])</f>
        <v>10</v>
      </c>
      <c r="D1244" s="3" t="s">
        <v>1417</v>
      </c>
      <c r="E1244" s="3" t="s">
        <v>95</v>
      </c>
      <c r="F1244" s="3" t="s">
        <v>11</v>
      </c>
      <c r="G1244" s="3" t="s">
        <v>200</v>
      </c>
      <c r="H1244" s="3" t="s">
        <v>1421</v>
      </c>
      <c r="I1244" s="6">
        <v>15.36</v>
      </c>
      <c r="J1244" s="4">
        <v>2</v>
      </c>
      <c r="K1244" s="6">
        <v>-3.26</v>
      </c>
    </row>
    <row r="1245" spans="1:11" x14ac:dyDescent="0.3">
      <c r="A1245" s="7">
        <v>41914</v>
      </c>
      <c r="B1245" s="4">
        <f>YEAR(SalesData[[#This Row],[Order Date]])</f>
        <v>2014</v>
      </c>
      <c r="C1245" s="4">
        <f>MONTH(SalesData[[#This Row],[Order Date]])</f>
        <v>10</v>
      </c>
      <c r="D1245" s="3" t="s">
        <v>1417</v>
      </c>
      <c r="E1245" s="3" t="s">
        <v>95</v>
      </c>
      <c r="F1245" s="3" t="s">
        <v>39</v>
      </c>
      <c r="G1245" s="3" t="s">
        <v>40</v>
      </c>
      <c r="H1245" s="3" t="s">
        <v>520</v>
      </c>
      <c r="I1245" s="6">
        <v>230.38</v>
      </c>
      <c r="J1245" s="4">
        <v>3</v>
      </c>
      <c r="K1245" s="6">
        <v>20.16</v>
      </c>
    </row>
    <row r="1246" spans="1:11" x14ac:dyDescent="0.3">
      <c r="A1246" s="7">
        <v>41914</v>
      </c>
      <c r="B1246" s="4">
        <f>YEAR(SalesData[[#This Row],[Order Date]])</f>
        <v>2014</v>
      </c>
      <c r="C1246" s="4">
        <f>MONTH(SalesData[[#This Row],[Order Date]])</f>
        <v>10</v>
      </c>
      <c r="D1246" s="3" t="s">
        <v>1417</v>
      </c>
      <c r="E1246" s="3" t="s">
        <v>95</v>
      </c>
      <c r="F1246" s="3" t="s">
        <v>39</v>
      </c>
      <c r="G1246" s="3" t="s">
        <v>52</v>
      </c>
      <c r="H1246" s="3" t="s">
        <v>1422</v>
      </c>
      <c r="I1246" s="6">
        <v>7.16</v>
      </c>
      <c r="J1246" s="4">
        <v>1</v>
      </c>
      <c r="K1246" s="6">
        <v>-0.09</v>
      </c>
    </row>
    <row r="1247" spans="1:11" x14ac:dyDescent="0.3">
      <c r="A1247" s="7">
        <v>41915</v>
      </c>
      <c r="B1247" s="4">
        <f>YEAR(SalesData[[#This Row],[Order Date]])</f>
        <v>2014</v>
      </c>
      <c r="C1247" s="4">
        <f>MONTH(SalesData[[#This Row],[Order Date]])</f>
        <v>10</v>
      </c>
      <c r="D1247" s="3" t="s">
        <v>1423</v>
      </c>
      <c r="E1247" s="3" t="s">
        <v>15</v>
      </c>
      <c r="F1247" s="3" t="s">
        <v>34</v>
      </c>
      <c r="G1247" s="3" t="s">
        <v>35</v>
      </c>
      <c r="H1247" s="3" t="s">
        <v>919</v>
      </c>
      <c r="I1247" s="6">
        <v>258.27999999999997</v>
      </c>
      <c r="J1247" s="4">
        <v>3</v>
      </c>
      <c r="K1247" s="6">
        <v>-70.099999999999994</v>
      </c>
    </row>
    <row r="1248" spans="1:11" x14ac:dyDescent="0.3">
      <c r="A1248" s="7">
        <v>41915</v>
      </c>
      <c r="B1248" s="4">
        <f>YEAR(SalesData[[#This Row],[Order Date]])</f>
        <v>2014</v>
      </c>
      <c r="C1248" s="4">
        <f>MONTH(SalesData[[#This Row],[Order Date]])</f>
        <v>10</v>
      </c>
      <c r="D1248" s="3" t="s">
        <v>1424</v>
      </c>
      <c r="E1248" s="3" t="s">
        <v>27</v>
      </c>
      <c r="F1248" s="3" t="s">
        <v>34</v>
      </c>
      <c r="G1248" s="3" t="s">
        <v>145</v>
      </c>
      <c r="H1248" s="3" t="s">
        <v>238</v>
      </c>
      <c r="I1248" s="6">
        <v>143.43</v>
      </c>
      <c r="J1248" s="4">
        <v>1</v>
      </c>
      <c r="K1248" s="6">
        <v>3.59</v>
      </c>
    </row>
    <row r="1249" spans="1:11" x14ac:dyDescent="0.3">
      <c r="A1249" s="7">
        <v>41915</v>
      </c>
      <c r="B1249" s="4">
        <f>YEAR(SalesData[[#This Row],[Order Date]])</f>
        <v>2014</v>
      </c>
      <c r="C1249" s="4">
        <f>MONTH(SalesData[[#This Row],[Order Date]])</f>
        <v>10</v>
      </c>
      <c r="D1249" s="3" t="s">
        <v>1424</v>
      </c>
      <c r="E1249" s="3" t="s">
        <v>27</v>
      </c>
      <c r="F1249" s="3" t="s">
        <v>34</v>
      </c>
      <c r="G1249" s="3" t="s">
        <v>35</v>
      </c>
      <c r="H1249" s="3" t="s">
        <v>1425</v>
      </c>
      <c r="I1249" s="6">
        <v>122.35</v>
      </c>
      <c r="J1249" s="4">
        <v>3</v>
      </c>
      <c r="K1249" s="6">
        <v>13.76</v>
      </c>
    </row>
    <row r="1250" spans="1:11" x14ac:dyDescent="0.3">
      <c r="A1250" s="7">
        <v>41915</v>
      </c>
      <c r="B1250" s="4">
        <f>YEAR(SalesData[[#This Row],[Order Date]])</f>
        <v>2014</v>
      </c>
      <c r="C1250" s="4">
        <f>MONTH(SalesData[[#This Row],[Order Date]])</f>
        <v>10</v>
      </c>
      <c r="D1250" s="3" t="s">
        <v>1357</v>
      </c>
      <c r="E1250" s="3" t="s">
        <v>245</v>
      </c>
      <c r="F1250" s="3" t="s">
        <v>11</v>
      </c>
      <c r="G1250" s="3" t="s">
        <v>18</v>
      </c>
      <c r="H1250" s="3" t="s">
        <v>1087</v>
      </c>
      <c r="I1250" s="6">
        <v>61.57</v>
      </c>
      <c r="J1250" s="4">
        <v>2</v>
      </c>
      <c r="K1250" s="6">
        <v>4.62</v>
      </c>
    </row>
    <row r="1251" spans="1:11" x14ac:dyDescent="0.3">
      <c r="A1251" s="7">
        <v>41915</v>
      </c>
      <c r="B1251" s="4">
        <f>YEAR(SalesData[[#This Row],[Order Date]])</f>
        <v>2014</v>
      </c>
      <c r="C1251" s="4">
        <f>MONTH(SalesData[[#This Row],[Order Date]])</f>
        <v>10</v>
      </c>
      <c r="D1251" s="3" t="s">
        <v>1357</v>
      </c>
      <c r="E1251" s="3" t="s">
        <v>245</v>
      </c>
      <c r="F1251" s="3" t="s">
        <v>11</v>
      </c>
      <c r="G1251" s="3" t="s">
        <v>24</v>
      </c>
      <c r="H1251" s="3" t="s">
        <v>811</v>
      </c>
      <c r="I1251" s="6">
        <v>6.19</v>
      </c>
      <c r="J1251" s="4">
        <v>3</v>
      </c>
      <c r="K1251" s="6">
        <v>0.46</v>
      </c>
    </row>
    <row r="1252" spans="1:11" x14ac:dyDescent="0.3">
      <c r="A1252" s="7">
        <v>41915</v>
      </c>
      <c r="B1252" s="4">
        <f>YEAR(SalesData[[#This Row],[Order Date]])</f>
        <v>2014</v>
      </c>
      <c r="C1252" s="4">
        <f>MONTH(SalesData[[#This Row],[Order Date]])</f>
        <v>10</v>
      </c>
      <c r="D1252" s="3" t="s">
        <v>1426</v>
      </c>
      <c r="E1252" s="3" t="s">
        <v>78</v>
      </c>
      <c r="F1252" s="3" t="s">
        <v>11</v>
      </c>
      <c r="G1252" s="3" t="s">
        <v>24</v>
      </c>
      <c r="H1252" s="3" t="s">
        <v>600</v>
      </c>
      <c r="I1252" s="6">
        <v>55.98</v>
      </c>
      <c r="J1252" s="4">
        <v>2</v>
      </c>
      <c r="K1252" s="6">
        <v>4.2</v>
      </c>
    </row>
    <row r="1253" spans="1:11" x14ac:dyDescent="0.3">
      <c r="A1253" s="7">
        <v>41915</v>
      </c>
      <c r="B1253" s="4">
        <f>YEAR(SalesData[[#This Row],[Order Date]])</f>
        <v>2014</v>
      </c>
      <c r="C1253" s="4">
        <f>MONTH(SalesData[[#This Row],[Order Date]])</f>
        <v>10</v>
      </c>
      <c r="D1253" s="3" t="s">
        <v>1426</v>
      </c>
      <c r="E1253" s="3" t="s">
        <v>78</v>
      </c>
      <c r="F1253" s="3" t="s">
        <v>11</v>
      </c>
      <c r="G1253" s="3" t="s">
        <v>63</v>
      </c>
      <c r="H1253" s="3" t="s">
        <v>1427</v>
      </c>
      <c r="I1253" s="6">
        <v>14.48</v>
      </c>
      <c r="J1253" s="4">
        <v>5</v>
      </c>
      <c r="K1253" s="6">
        <v>4.8899999999999997</v>
      </c>
    </row>
    <row r="1254" spans="1:11" x14ac:dyDescent="0.3">
      <c r="A1254" s="7">
        <v>41915</v>
      </c>
      <c r="B1254" s="4">
        <f>YEAR(SalesData[[#This Row],[Order Date]])</f>
        <v>2014</v>
      </c>
      <c r="C1254" s="4">
        <f>MONTH(SalesData[[#This Row],[Order Date]])</f>
        <v>10</v>
      </c>
      <c r="D1254" s="3" t="s">
        <v>1426</v>
      </c>
      <c r="E1254" s="3" t="s">
        <v>78</v>
      </c>
      <c r="F1254" s="3" t="s">
        <v>39</v>
      </c>
      <c r="G1254" s="3" t="s">
        <v>52</v>
      </c>
      <c r="H1254" s="3" t="s">
        <v>1428</v>
      </c>
      <c r="I1254" s="6">
        <v>142.49</v>
      </c>
      <c r="J1254" s="4">
        <v>3</v>
      </c>
      <c r="K1254" s="6">
        <v>-3.56</v>
      </c>
    </row>
    <row r="1255" spans="1:11" x14ac:dyDescent="0.3">
      <c r="A1255" s="7">
        <v>41915</v>
      </c>
      <c r="B1255" s="4">
        <f>YEAR(SalesData[[#This Row],[Order Date]])</f>
        <v>2014</v>
      </c>
      <c r="C1255" s="4">
        <f>MONTH(SalesData[[#This Row],[Order Date]])</f>
        <v>10</v>
      </c>
      <c r="D1255" s="3" t="s">
        <v>1429</v>
      </c>
      <c r="E1255" s="3" t="s">
        <v>10</v>
      </c>
      <c r="F1255" s="3" t="s">
        <v>11</v>
      </c>
      <c r="G1255" s="3" t="s">
        <v>43</v>
      </c>
      <c r="H1255" s="3" t="s">
        <v>1133</v>
      </c>
      <c r="I1255" s="6">
        <v>4.34</v>
      </c>
      <c r="J1255" s="4">
        <v>3</v>
      </c>
      <c r="K1255" s="6">
        <v>0.87</v>
      </c>
    </row>
    <row r="1256" spans="1:11" x14ac:dyDescent="0.3">
      <c r="A1256" s="7">
        <v>41915</v>
      </c>
      <c r="B1256" s="4">
        <f>YEAR(SalesData[[#This Row],[Order Date]])</f>
        <v>2014</v>
      </c>
      <c r="C1256" s="4">
        <f>MONTH(SalesData[[#This Row],[Order Date]])</f>
        <v>10</v>
      </c>
      <c r="D1256" s="3" t="s">
        <v>1429</v>
      </c>
      <c r="E1256" s="3" t="s">
        <v>10</v>
      </c>
      <c r="F1256" s="3" t="s">
        <v>34</v>
      </c>
      <c r="G1256" s="3" t="s">
        <v>47</v>
      </c>
      <c r="H1256" s="3" t="s">
        <v>1216</v>
      </c>
      <c r="I1256" s="6">
        <v>31.78</v>
      </c>
      <c r="J1256" s="4">
        <v>3</v>
      </c>
      <c r="K1256" s="6">
        <v>-19.07</v>
      </c>
    </row>
    <row r="1257" spans="1:11" x14ac:dyDescent="0.3">
      <c r="A1257" s="7">
        <v>41915</v>
      </c>
      <c r="B1257" s="4">
        <f>YEAR(SalesData[[#This Row],[Order Date]])</f>
        <v>2014</v>
      </c>
      <c r="C1257" s="4">
        <f>MONTH(SalesData[[#This Row],[Order Date]])</f>
        <v>10</v>
      </c>
      <c r="D1257" s="3" t="s">
        <v>1429</v>
      </c>
      <c r="E1257" s="3" t="s">
        <v>10</v>
      </c>
      <c r="F1257" s="3" t="s">
        <v>11</v>
      </c>
      <c r="G1257" s="3" t="s">
        <v>16</v>
      </c>
      <c r="H1257" s="3" t="s">
        <v>1430</v>
      </c>
      <c r="I1257" s="6">
        <v>4.93</v>
      </c>
      <c r="J1257" s="4">
        <v>2</v>
      </c>
      <c r="K1257" s="6">
        <v>1.72</v>
      </c>
    </row>
    <row r="1258" spans="1:11" x14ac:dyDescent="0.3">
      <c r="A1258" s="7">
        <v>41915</v>
      </c>
      <c r="B1258" s="4">
        <f>YEAR(SalesData[[#This Row],[Order Date]])</f>
        <v>2014</v>
      </c>
      <c r="C1258" s="4">
        <f>MONTH(SalesData[[#This Row],[Order Date]])</f>
        <v>10</v>
      </c>
      <c r="D1258" s="3" t="s">
        <v>1429</v>
      </c>
      <c r="E1258" s="3" t="s">
        <v>10</v>
      </c>
      <c r="F1258" s="3" t="s">
        <v>11</v>
      </c>
      <c r="G1258" s="3" t="s">
        <v>20</v>
      </c>
      <c r="H1258" s="3" t="s">
        <v>929</v>
      </c>
      <c r="I1258" s="6">
        <v>1.79</v>
      </c>
      <c r="J1258" s="4">
        <v>3</v>
      </c>
      <c r="K1258" s="6">
        <v>-3.04</v>
      </c>
    </row>
    <row r="1259" spans="1:11" x14ac:dyDescent="0.3">
      <c r="A1259" s="7">
        <v>41915</v>
      </c>
      <c r="B1259" s="4">
        <f>YEAR(SalesData[[#This Row],[Order Date]])</f>
        <v>2014</v>
      </c>
      <c r="C1259" s="4">
        <f>MONTH(SalesData[[#This Row],[Order Date]])</f>
        <v>10</v>
      </c>
      <c r="D1259" s="3" t="s">
        <v>1429</v>
      </c>
      <c r="E1259" s="3" t="s">
        <v>10</v>
      </c>
      <c r="F1259" s="3" t="s">
        <v>11</v>
      </c>
      <c r="G1259" s="3" t="s">
        <v>43</v>
      </c>
      <c r="H1259" s="3" t="s">
        <v>1416</v>
      </c>
      <c r="I1259" s="6">
        <v>15.07</v>
      </c>
      <c r="J1259" s="4">
        <v>4</v>
      </c>
      <c r="K1259" s="6">
        <v>-3.77</v>
      </c>
    </row>
    <row r="1260" spans="1:11" x14ac:dyDescent="0.3">
      <c r="A1260" s="7">
        <v>41916</v>
      </c>
      <c r="B1260" s="4">
        <f>YEAR(SalesData[[#This Row],[Order Date]])</f>
        <v>2014</v>
      </c>
      <c r="C1260" s="4">
        <f>MONTH(SalesData[[#This Row],[Order Date]])</f>
        <v>10</v>
      </c>
      <c r="D1260" s="3" t="s">
        <v>1431</v>
      </c>
      <c r="E1260" s="3" t="s">
        <v>27</v>
      </c>
      <c r="F1260" s="3" t="s">
        <v>11</v>
      </c>
      <c r="G1260" s="3" t="s">
        <v>16</v>
      </c>
      <c r="H1260" s="3" t="s">
        <v>1432</v>
      </c>
      <c r="I1260" s="6">
        <v>14.45</v>
      </c>
      <c r="J1260" s="4">
        <v>5</v>
      </c>
      <c r="K1260" s="6">
        <v>6.79</v>
      </c>
    </row>
    <row r="1261" spans="1:11" x14ac:dyDescent="0.3">
      <c r="A1261" s="7">
        <v>41916</v>
      </c>
      <c r="B1261" s="4">
        <f>YEAR(SalesData[[#This Row],[Order Date]])</f>
        <v>2014</v>
      </c>
      <c r="C1261" s="4">
        <f>MONTH(SalesData[[#This Row],[Order Date]])</f>
        <v>10</v>
      </c>
      <c r="D1261" s="3" t="s">
        <v>1431</v>
      </c>
      <c r="E1261" s="3" t="s">
        <v>27</v>
      </c>
      <c r="F1261" s="3" t="s">
        <v>11</v>
      </c>
      <c r="G1261" s="3" t="s">
        <v>20</v>
      </c>
      <c r="H1261" s="3" t="s">
        <v>888</v>
      </c>
      <c r="I1261" s="6">
        <v>95.65</v>
      </c>
      <c r="J1261" s="4">
        <v>2</v>
      </c>
      <c r="K1261" s="6">
        <v>31.09</v>
      </c>
    </row>
    <row r="1262" spans="1:11" x14ac:dyDescent="0.3">
      <c r="A1262" s="7">
        <v>41916</v>
      </c>
      <c r="B1262" s="4">
        <f>YEAR(SalesData[[#This Row],[Order Date]])</f>
        <v>2014</v>
      </c>
      <c r="C1262" s="4">
        <f>MONTH(SalesData[[#This Row],[Order Date]])</f>
        <v>10</v>
      </c>
      <c r="D1262" s="3" t="s">
        <v>1433</v>
      </c>
      <c r="E1262" s="3" t="s">
        <v>164</v>
      </c>
      <c r="F1262" s="3" t="s">
        <v>11</v>
      </c>
      <c r="G1262" s="3" t="s">
        <v>16</v>
      </c>
      <c r="H1262" s="3" t="s">
        <v>1434</v>
      </c>
      <c r="I1262" s="6">
        <v>29.24</v>
      </c>
      <c r="J1262" s="4">
        <v>4</v>
      </c>
      <c r="K1262" s="6">
        <v>13.74</v>
      </c>
    </row>
    <row r="1263" spans="1:11" x14ac:dyDescent="0.3">
      <c r="A1263" s="7">
        <v>41916</v>
      </c>
      <c r="B1263" s="4">
        <f>YEAR(SalesData[[#This Row],[Order Date]])</f>
        <v>2014</v>
      </c>
      <c r="C1263" s="4">
        <f>MONTH(SalesData[[#This Row],[Order Date]])</f>
        <v>10</v>
      </c>
      <c r="D1263" s="3" t="s">
        <v>1271</v>
      </c>
      <c r="E1263" s="3" t="s">
        <v>149</v>
      </c>
      <c r="F1263" s="3" t="s">
        <v>34</v>
      </c>
      <c r="G1263" s="3" t="s">
        <v>35</v>
      </c>
      <c r="H1263" s="3" t="s">
        <v>1435</v>
      </c>
      <c r="I1263" s="6">
        <v>589.41</v>
      </c>
      <c r="J1263" s="4">
        <v>5</v>
      </c>
      <c r="K1263" s="6">
        <v>-6.55</v>
      </c>
    </row>
    <row r="1264" spans="1:11" x14ac:dyDescent="0.3">
      <c r="A1264" s="7">
        <v>41917</v>
      </c>
      <c r="B1264" s="4">
        <f>YEAR(SalesData[[#This Row],[Order Date]])</f>
        <v>2014</v>
      </c>
      <c r="C1264" s="4">
        <f>MONTH(SalesData[[#This Row],[Order Date]])</f>
        <v>10</v>
      </c>
      <c r="D1264" s="3" t="s">
        <v>1436</v>
      </c>
      <c r="E1264" s="3" t="s">
        <v>78</v>
      </c>
      <c r="F1264" s="3" t="s">
        <v>11</v>
      </c>
      <c r="G1264" s="3" t="s">
        <v>92</v>
      </c>
      <c r="H1264" s="3" t="s">
        <v>801</v>
      </c>
      <c r="I1264" s="6">
        <v>91.92</v>
      </c>
      <c r="J1264" s="4">
        <v>5</v>
      </c>
      <c r="K1264" s="6">
        <v>11.49</v>
      </c>
    </row>
    <row r="1265" spans="1:11" x14ac:dyDescent="0.3">
      <c r="A1265" s="7">
        <v>41917</v>
      </c>
      <c r="B1265" s="4">
        <f>YEAR(SalesData[[#This Row],[Order Date]])</f>
        <v>2014</v>
      </c>
      <c r="C1265" s="4">
        <f>MONTH(SalesData[[#This Row],[Order Date]])</f>
        <v>10</v>
      </c>
      <c r="D1265" s="3" t="s">
        <v>1121</v>
      </c>
      <c r="E1265" s="3" t="s">
        <v>27</v>
      </c>
      <c r="F1265" s="3" t="s">
        <v>39</v>
      </c>
      <c r="G1265" s="3" t="s">
        <v>52</v>
      </c>
      <c r="H1265" s="3" t="s">
        <v>668</v>
      </c>
      <c r="I1265" s="6">
        <v>99.98</v>
      </c>
      <c r="J1265" s="4">
        <v>2</v>
      </c>
      <c r="K1265" s="6">
        <v>34.99</v>
      </c>
    </row>
    <row r="1266" spans="1:11" x14ac:dyDescent="0.3">
      <c r="A1266" s="7">
        <v>41918</v>
      </c>
      <c r="B1266" s="4">
        <f>YEAR(SalesData[[#This Row],[Order Date]])</f>
        <v>2014</v>
      </c>
      <c r="C1266" s="4">
        <f>MONTH(SalesData[[#This Row],[Order Date]])</f>
        <v>10</v>
      </c>
      <c r="D1266" s="3" t="s">
        <v>109</v>
      </c>
      <c r="E1266" s="3" t="s">
        <v>27</v>
      </c>
      <c r="F1266" s="3" t="s">
        <v>39</v>
      </c>
      <c r="G1266" s="3" t="s">
        <v>52</v>
      </c>
      <c r="H1266" s="3" t="s">
        <v>1437</v>
      </c>
      <c r="I1266" s="6">
        <v>9.09</v>
      </c>
      <c r="J1266" s="4">
        <v>3</v>
      </c>
      <c r="K1266" s="6">
        <v>1.91</v>
      </c>
    </row>
    <row r="1267" spans="1:11" x14ac:dyDescent="0.3">
      <c r="A1267" s="7">
        <v>41918</v>
      </c>
      <c r="B1267" s="4">
        <f>YEAR(SalesData[[#This Row],[Order Date]])</f>
        <v>2014</v>
      </c>
      <c r="C1267" s="4">
        <f>MONTH(SalesData[[#This Row],[Order Date]])</f>
        <v>10</v>
      </c>
      <c r="D1267" s="3" t="s">
        <v>1438</v>
      </c>
      <c r="E1267" s="3" t="s">
        <v>996</v>
      </c>
      <c r="F1267" s="3" t="s">
        <v>11</v>
      </c>
      <c r="G1267" s="3" t="s">
        <v>20</v>
      </c>
      <c r="H1267" s="3" t="s">
        <v>1210</v>
      </c>
      <c r="I1267" s="6">
        <v>15.36</v>
      </c>
      <c r="J1267" s="4">
        <v>2</v>
      </c>
      <c r="K1267" s="6">
        <v>7.68</v>
      </c>
    </row>
    <row r="1268" spans="1:11" x14ac:dyDescent="0.3">
      <c r="A1268" s="7">
        <v>41918</v>
      </c>
      <c r="B1268" s="4">
        <f>YEAR(SalesData[[#This Row],[Order Date]])</f>
        <v>2014</v>
      </c>
      <c r="C1268" s="4">
        <f>MONTH(SalesData[[#This Row],[Order Date]])</f>
        <v>10</v>
      </c>
      <c r="D1268" s="3" t="s">
        <v>1433</v>
      </c>
      <c r="E1268" s="3" t="s">
        <v>23</v>
      </c>
      <c r="F1268" s="3" t="s">
        <v>11</v>
      </c>
      <c r="G1268" s="3" t="s">
        <v>18</v>
      </c>
      <c r="H1268" s="3" t="s">
        <v>1439</v>
      </c>
      <c r="I1268" s="6">
        <v>83.92</v>
      </c>
      <c r="J1268" s="4">
        <v>5</v>
      </c>
      <c r="K1268" s="6">
        <v>-13.64</v>
      </c>
    </row>
    <row r="1269" spans="1:11" x14ac:dyDescent="0.3">
      <c r="A1269" s="7">
        <v>41918</v>
      </c>
      <c r="B1269" s="4">
        <f>YEAR(SalesData[[#This Row],[Order Date]])</f>
        <v>2014</v>
      </c>
      <c r="C1269" s="4">
        <f>MONTH(SalesData[[#This Row],[Order Date]])</f>
        <v>10</v>
      </c>
      <c r="D1269" s="3" t="s">
        <v>1214</v>
      </c>
      <c r="E1269" s="3" t="s">
        <v>129</v>
      </c>
      <c r="F1269" s="3" t="s">
        <v>11</v>
      </c>
      <c r="G1269" s="3" t="s">
        <v>18</v>
      </c>
      <c r="H1269" s="3" t="s">
        <v>1440</v>
      </c>
      <c r="I1269" s="6">
        <v>386.34</v>
      </c>
      <c r="J1269" s="4">
        <v>2</v>
      </c>
      <c r="K1269" s="6">
        <v>54.09</v>
      </c>
    </row>
    <row r="1270" spans="1:11" x14ac:dyDescent="0.3">
      <c r="A1270" s="7">
        <v>41919</v>
      </c>
      <c r="B1270" s="4">
        <f>YEAR(SalesData[[#This Row],[Order Date]])</f>
        <v>2014</v>
      </c>
      <c r="C1270" s="4">
        <f>MONTH(SalesData[[#This Row],[Order Date]])</f>
        <v>10</v>
      </c>
      <c r="D1270" s="3" t="s">
        <v>1209</v>
      </c>
      <c r="E1270" s="3" t="s">
        <v>23</v>
      </c>
      <c r="F1270" s="3" t="s">
        <v>34</v>
      </c>
      <c r="G1270" s="3" t="s">
        <v>47</v>
      </c>
      <c r="H1270" s="3" t="s">
        <v>1311</v>
      </c>
      <c r="I1270" s="6">
        <v>129.91999999999999</v>
      </c>
      <c r="J1270" s="4">
        <v>5</v>
      </c>
      <c r="K1270" s="6">
        <v>21.11</v>
      </c>
    </row>
    <row r="1271" spans="1:11" x14ac:dyDescent="0.3">
      <c r="A1271" s="7">
        <v>41919</v>
      </c>
      <c r="B1271" s="4">
        <f>YEAR(SalesData[[#This Row],[Order Date]])</f>
        <v>2014</v>
      </c>
      <c r="C1271" s="4">
        <f>MONTH(SalesData[[#This Row],[Order Date]])</f>
        <v>10</v>
      </c>
      <c r="D1271" s="3" t="s">
        <v>462</v>
      </c>
      <c r="E1271" s="3" t="s">
        <v>10</v>
      </c>
      <c r="F1271" s="3" t="s">
        <v>11</v>
      </c>
      <c r="G1271" s="3" t="s">
        <v>18</v>
      </c>
      <c r="H1271" s="3" t="s">
        <v>1013</v>
      </c>
      <c r="I1271" s="6">
        <v>107.44</v>
      </c>
      <c r="J1271" s="4">
        <v>10</v>
      </c>
      <c r="K1271" s="6">
        <v>10.74</v>
      </c>
    </row>
    <row r="1272" spans="1:11" x14ac:dyDescent="0.3">
      <c r="A1272" s="7">
        <v>41920</v>
      </c>
      <c r="B1272" s="4">
        <f>YEAR(SalesData[[#This Row],[Order Date]])</f>
        <v>2014</v>
      </c>
      <c r="C1272" s="4">
        <f>MONTH(SalesData[[#This Row],[Order Date]])</f>
        <v>10</v>
      </c>
      <c r="D1272" s="3" t="s">
        <v>1346</v>
      </c>
      <c r="E1272" s="3" t="s">
        <v>245</v>
      </c>
      <c r="F1272" s="3" t="s">
        <v>39</v>
      </c>
      <c r="G1272" s="3" t="s">
        <v>52</v>
      </c>
      <c r="H1272" s="3" t="s">
        <v>1441</v>
      </c>
      <c r="I1272" s="6">
        <v>23.47</v>
      </c>
      <c r="J1272" s="4">
        <v>3</v>
      </c>
      <c r="K1272" s="6">
        <v>4.99</v>
      </c>
    </row>
    <row r="1273" spans="1:11" x14ac:dyDescent="0.3">
      <c r="A1273" s="7">
        <v>41920</v>
      </c>
      <c r="B1273" s="4">
        <f>YEAR(SalesData[[#This Row],[Order Date]])</f>
        <v>2014</v>
      </c>
      <c r="C1273" s="4">
        <f>MONTH(SalesData[[#This Row],[Order Date]])</f>
        <v>10</v>
      </c>
      <c r="D1273" s="3" t="s">
        <v>1339</v>
      </c>
      <c r="E1273" s="3" t="s">
        <v>149</v>
      </c>
      <c r="F1273" s="3" t="s">
        <v>11</v>
      </c>
      <c r="G1273" s="3" t="s">
        <v>12</v>
      </c>
      <c r="H1273" s="3" t="s">
        <v>1442</v>
      </c>
      <c r="I1273" s="6">
        <v>123.92</v>
      </c>
      <c r="J1273" s="4">
        <v>4</v>
      </c>
      <c r="K1273" s="6">
        <v>55.76</v>
      </c>
    </row>
    <row r="1274" spans="1:11" x14ac:dyDescent="0.3">
      <c r="A1274" s="7">
        <v>41921</v>
      </c>
      <c r="B1274" s="4">
        <f>YEAR(SalesData[[#This Row],[Order Date]])</f>
        <v>2014</v>
      </c>
      <c r="C1274" s="4">
        <f>MONTH(SalesData[[#This Row],[Order Date]])</f>
        <v>10</v>
      </c>
      <c r="D1274" s="3" t="s">
        <v>788</v>
      </c>
      <c r="E1274" s="3" t="s">
        <v>245</v>
      </c>
      <c r="F1274" s="3" t="s">
        <v>11</v>
      </c>
      <c r="G1274" s="3" t="s">
        <v>12</v>
      </c>
      <c r="H1274" s="3" t="s">
        <v>457</v>
      </c>
      <c r="I1274" s="6">
        <v>88.77</v>
      </c>
      <c r="J1274" s="4">
        <v>2</v>
      </c>
      <c r="K1274" s="6">
        <v>31.07</v>
      </c>
    </row>
    <row r="1275" spans="1:11" x14ac:dyDescent="0.3">
      <c r="A1275" s="7">
        <v>41921</v>
      </c>
      <c r="B1275" s="4">
        <f>YEAR(SalesData[[#This Row],[Order Date]])</f>
        <v>2014</v>
      </c>
      <c r="C1275" s="4">
        <f>MONTH(SalesData[[#This Row],[Order Date]])</f>
        <v>10</v>
      </c>
      <c r="D1275" s="3" t="s">
        <v>1198</v>
      </c>
      <c r="E1275" s="3" t="s">
        <v>27</v>
      </c>
      <c r="F1275" s="3" t="s">
        <v>11</v>
      </c>
      <c r="G1275" s="3" t="s">
        <v>24</v>
      </c>
      <c r="H1275" s="3" t="s">
        <v>759</v>
      </c>
      <c r="I1275" s="6">
        <v>144.6</v>
      </c>
      <c r="J1275" s="4">
        <v>3</v>
      </c>
      <c r="K1275" s="6">
        <v>41.93</v>
      </c>
    </row>
    <row r="1276" spans="1:11" x14ac:dyDescent="0.3">
      <c r="A1276" s="7">
        <v>41921</v>
      </c>
      <c r="B1276" s="4">
        <f>YEAR(SalesData[[#This Row],[Order Date]])</f>
        <v>2014</v>
      </c>
      <c r="C1276" s="4">
        <f>MONTH(SalesData[[#This Row],[Order Date]])</f>
        <v>10</v>
      </c>
      <c r="D1276" s="3" t="s">
        <v>1198</v>
      </c>
      <c r="E1276" s="3" t="s">
        <v>27</v>
      </c>
      <c r="F1276" s="3" t="s">
        <v>39</v>
      </c>
      <c r="G1276" s="3" t="s">
        <v>40</v>
      </c>
      <c r="H1276" s="3" t="s">
        <v>955</v>
      </c>
      <c r="I1276" s="6">
        <v>15.99</v>
      </c>
      <c r="J1276" s="4">
        <v>1</v>
      </c>
      <c r="K1276" s="6">
        <v>-3</v>
      </c>
    </row>
    <row r="1277" spans="1:11" x14ac:dyDescent="0.3">
      <c r="A1277" s="7">
        <v>41922</v>
      </c>
      <c r="B1277" s="4">
        <f>YEAR(SalesData[[#This Row],[Order Date]])</f>
        <v>2014</v>
      </c>
      <c r="C1277" s="4">
        <f>MONTH(SalesData[[#This Row],[Order Date]])</f>
        <v>10</v>
      </c>
      <c r="D1277" s="3" t="s">
        <v>1443</v>
      </c>
      <c r="E1277" s="3" t="s">
        <v>27</v>
      </c>
      <c r="F1277" s="3" t="s">
        <v>34</v>
      </c>
      <c r="G1277" s="3" t="s">
        <v>35</v>
      </c>
      <c r="H1277" s="3" t="s">
        <v>1425</v>
      </c>
      <c r="I1277" s="6">
        <v>122.35</v>
      </c>
      <c r="J1277" s="4">
        <v>3</v>
      </c>
      <c r="K1277" s="6">
        <v>13.76</v>
      </c>
    </row>
    <row r="1278" spans="1:11" x14ac:dyDescent="0.3">
      <c r="A1278" s="7">
        <v>41922</v>
      </c>
      <c r="B1278" s="4">
        <f>YEAR(SalesData[[#This Row],[Order Date]])</f>
        <v>2014</v>
      </c>
      <c r="C1278" s="4">
        <f>MONTH(SalesData[[#This Row],[Order Date]])</f>
        <v>10</v>
      </c>
      <c r="D1278" s="3" t="s">
        <v>1443</v>
      </c>
      <c r="E1278" s="3" t="s">
        <v>27</v>
      </c>
      <c r="F1278" s="3" t="s">
        <v>11</v>
      </c>
      <c r="G1278" s="3" t="s">
        <v>63</v>
      </c>
      <c r="H1278" s="3" t="s">
        <v>1444</v>
      </c>
      <c r="I1278" s="6">
        <v>15.28</v>
      </c>
      <c r="J1278" s="4">
        <v>2</v>
      </c>
      <c r="K1278" s="6">
        <v>7.49</v>
      </c>
    </row>
    <row r="1279" spans="1:11" x14ac:dyDescent="0.3">
      <c r="A1279" s="7">
        <v>41922</v>
      </c>
      <c r="B1279" s="4">
        <f>YEAR(SalesData[[#This Row],[Order Date]])</f>
        <v>2014</v>
      </c>
      <c r="C1279" s="4">
        <f>MONTH(SalesData[[#This Row],[Order Date]])</f>
        <v>10</v>
      </c>
      <c r="D1279" s="3" t="s">
        <v>131</v>
      </c>
      <c r="E1279" s="3" t="s">
        <v>95</v>
      </c>
      <c r="F1279" s="3" t="s">
        <v>34</v>
      </c>
      <c r="G1279" s="3" t="s">
        <v>47</v>
      </c>
      <c r="H1279" s="3" t="s">
        <v>975</v>
      </c>
      <c r="I1279" s="6">
        <v>46.87</v>
      </c>
      <c r="J1279" s="4">
        <v>7</v>
      </c>
      <c r="K1279" s="6">
        <v>3.52</v>
      </c>
    </row>
    <row r="1280" spans="1:11" x14ac:dyDescent="0.3">
      <c r="A1280" s="7">
        <v>41922</v>
      </c>
      <c r="B1280" s="4">
        <f>YEAR(SalesData[[#This Row],[Order Date]])</f>
        <v>2014</v>
      </c>
      <c r="C1280" s="4">
        <f>MONTH(SalesData[[#This Row],[Order Date]])</f>
        <v>10</v>
      </c>
      <c r="D1280" s="3" t="s">
        <v>270</v>
      </c>
      <c r="E1280" s="3" t="s">
        <v>10</v>
      </c>
      <c r="F1280" s="3" t="s">
        <v>39</v>
      </c>
      <c r="G1280" s="3" t="s">
        <v>40</v>
      </c>
      <c r="H1280" s="3" t="s">
        <v>439</v>
      </c>
      <c r="I1280" s="6">
        <v>719.95</v>
      </c>
      <c r="J1280" s="4">
        <v>6</v>
      </c>
      <c r="K1280" s="6">
        <v>72</v>
      </c>
    </row>
    <row r="1281" spans="1:11" x14ac:dyDescent="0.3">
      <c r="A1281" s="7">
        <v>41922</v>
      </c>
      <c r="B1281" s="4">
        <f>YEAR(SalesData[[#This Row],[Order Date]])</f>
        <v>2014</v>
      </c>
      <c r="C1281" s="4">
        <f>MONTH(SalesData[[#This Row],[Order Date]])</f>
        <v>10</v>
      </c>
      <c r="D1281" s="3" t="s">
        <v>270</v>
      </c>
      <c r="E1281" s="3" t="s">
        <v>10</v>
      </c>
      <c r="F1281" s="3" t="s">
        <v>39</v>
      </c>
      <c r="G1281" s="3" t="s">
        <v>40</v>
      </c>
      <c r="H1281" s="3" t="s">
        <v>347</v>
      </c>
      <c r="I1281" s="6">
        <v>755.94</v>
      </c>
      <c r="J1281" s="4">
        <v>7</v>
      </c>
      <c r="K1281" s="6">
        <v>66.150000000000006</v>
      </c>
    </row>
    <row r="1282" spans="1:11" x14ac:dyDescent="0.3">
      <c r="A1282" s="7">
        <v>41922</v>
      </c>
      <c r="B1282" s="4">
        <f>YEAR(SalesData[[#This Row],[Order Date]])</f>
        <v>2014</v>
      </c>
      <c r="C1282" s="4">
        <f>MONTH(SalesData[[#This Row],[Order Date]])</f>
        <v>10</v>
      </c>
      <c r="D1282" s="3" t="s">
        <v>270</v>
      </c>
      <c r="E1282" s="3" t="s">
        <v>10</v>
      </c>
      <c r="F1282" s="3" t="s">
        <v>11</v>
      </c>
      <c r="G1282" s="3" t="s">
        <v>20</v>
      </c>
      <c r="H1282" s="3" t="s">
        <v>511</v>
      </c>
      <c r="I1282" s="6">
        <v>11.98</v>
      </c>
      <c r="J1282" s="4">
        <v>5</v>
      </c>
      <c r="K1282" s="6">
        <v>-19.170000000000002</v>
      </c>
    </row>
    <row r="1283" spans="1:11" x14ac:dyDescent="0.3">
      <c r="A1283" s="7">
        <v>41922</v>
      </c>
      <c r="B1283" s="4">
        <f>YEAR(SalesData[[#This Row],[Order Date]])</f>
        <v>2014</v>
      </c>
      <c r="C1283" s="4">
        <f>MONTH(SalesData[[#This Row],[Order Date]])</f>
        <v>10</v>
      </c>
      <c r="D1283" s="3" t="s">
        <v>270</v>
      </c>
      <c r="E1283" s="3" t="s">
        <v>10</v>
      </c>
      <c r="F1283" s="3" t="s">
        <v>11</v>
      </c>
      <c r="G1283" s="3" t="s">
        <v>20</v>
      </c>
      <c r="H1283" s="3" t="s">
        <v>451</v>
      </c>
      <c r="I1283" s="6">
        <v>0.9</v>
      </c>
      <c r="J1283" s="4">
        <v>1</v>
      </c>
      <c r="K1283" s="6">
        <v>-1.57</v>
      </c>
    </row>
    <row r="1284" spans="1:11" x14ac:dyDescent="0.3">
      <c r="A1284" s="7">
        <v>41922</v>
      </c>
      <c r="B1284" s="4">
        <f>YEAR(SalesData[[#This Row],[Order Date]])</f>
        <v>2014</v>
      </c>
      <c r="C1284" s="4">
        <f>MONTH(SalesData[[#This Row],[Order Date]])</f>
        <v>10</v>
      </c>
      <c r="D1284" s="3" t="s">
        <v>289</v>
      </c>
      <c r="E1284" s="3" t="s">
        <v>78</v>
      </c>
      <c r="F1284" s="3" t="s">
        <v>39</v>
      </c>
      <c r="G1284" s="3" t="s">
        <v>302</v>
      </c>
      <c r="H1284" s="3" t="s">
        <v>1445</v>
      </c>
      <c r="I1284" s="6">
        <v>101.99</v>
      </c>
      <c r="J1284" s="4">
        <v>2</v>
      </c>
      <c r="K1284" s="6">
        <v>-71.400000000000006</v>
      </c>
    </row>
    <row r="1285" spans="1:11" x14ac:dyDescent="0.3">
      <c r="A1285" s="7">
        <v>41922</v>
      </c>
      <c r="B1285" s="4">
        <f>YEAR(SalesData[[#This Row],[Order Date]])</f>
        <v>2014</v>
      </c>
      <c r="C1285" s="4">
        <f>MONTH(SalesData[[#This Row],[Order Date]])</f>
        <v>10</v>
      </c>
      <c r="D1285" s="3" t="s">
        <v>289</v>
      </c>
      <c r="E1285" s="3" t="s">
        <v>78</v>
      </c>
      <c r="F1285" s="3" t="s">
        <v>11</v>
      </c>
      <c r="G1285" s="3" t="s">
        <v>20</v>
      </c>
      <c r="H1285" s="3" t="s">
        <v>1281</v>
      </c>
      <c r="I1285" s="6">
        <v>18.260000000000002</v>
      </c>
      <c r="J1285" s="4">
        <v>2</v>
      </c>
      <c r="K1285" s="6">
        <v>-13.39</v>
      </c>
    </row>
    <row r="1286" spans="1:11" x14ac:dyDescent="0.3">
      <c r="A1286" s="7">
        <v>41922</v>
      </c>
      <c r="B1286" s="4">
        <f>YEAR(SalesData[[#This Row],[Order Date]])</f>
        <v>2014</v>
      </c>
      <c r="C1286" s="4">
        <f>MONTH(SalesData[[#This Row],[Order Date]])</f>
        <v>10</v>
      </c>
      <c r="D1286" s="3" t="s">
        <v>1446</v>
      </c>
      <c r="E1286" s="3" t="s">
        <v>399</v>
      </c>
      <c r="F1286" s="3" t="s">
        <v>11</v>
      </c>
      <c r="G1286" s="3" t="s">
        <v>24</v>
      </c>
      <c r="H1286" s="3" t="s">
        <v>1447</v>
      </c>
      <c r="I1286" s="6">
        <v>255.85</v>
      </c>
      <c r="J1286" s="4">
        <v>7</v>
      </c>
      <c r="K1286" s="6">
        <v>112.57</v>
      </c>
    </row>
    <row r="1287" spans="1:11" x14ac:dyDescent="0.3">
      <c r="A1287" s="7">
        <v>41923</v>
      </c>
      <c r="B1287" s="4">
        <f>YEAR(SalesData[[#This Row],[Order Date]])</f>
        <v>2014</v>
      </c>
      <c r="C1287" s="4">
        <f>MONTH(SalesData[[#This Row],[Order Date]])</f>
        <v>10</v>
      </c>
      <c r="D1287" s="3" t="s">
        <v>1448</v>
      </c>
      <c r="E1287" s="3" t="s">
        <v>23</v>
      </c>
      <c r="F1287" s="3" t="s">
        <v>11</v>
      </c>
      <c r="G1287" s="3" t="s">
        <v>18</v>
      </c>
      <c r="H1287" s="3" t="s">
        <v>1449</v>
      </c>
      <c r="I1287" s="6">
        <v>281.89999999999998</v>
      </c>
      <c r="J1287" s="4">
        <v>2</v>
      </c>
      <c r="K1287" s="6">
        <v>10.57</v>
      </c>
    </row>
    <row r="1288" spans="1:11" x14ac:dyDescent="0.3">
      <c r="A1288" s="7">
        <v>41923</v>
      </c>
      <c r="B1288" s="4">
        <f>YEAR(SalesData[[#This Row],[Order Date]])</f>
        <v>2014</v>
      </c>
      <c r="C1288" s="4">
        <f>MONTH(SalesData[[#This Row],[Order Date]])</f>
        <v>10</v>
      </c>
      <c r="D1288" s="3" t="s">
        <v>1448</v>
      </c>
      <c r="E1288" s="3" t="s">
        <v>23</v>
      </c>
      <c r="F1288" s="3" t="s">
        <v>11</v>
      </c>
      <c r="G1288" s="3" t="s">
        <v>63</v>
      </c>
      <c r="H1288" s="3" t="s">
        <v>414</v>
      </c>
      <c r="I1288" s="6">
        <v>201.43</v>
      </c>
      <c r="J1288" s="4">
        <v>3</v>
      </c>
      <c r="K1288" s="6">
        <v>67.98</v>
      </c>
    </row>
    <row r="1289" spans="1:11" x14ac:dyDescent="0.3">
      <c r="A1289" s="7">
        <v>41923</v>
      </c>
      <c r="B1289" s="4">
        <f>YEAR(SalesData[[#This Row],[Order Date]])</f>
        <v>2014</v>
      </c>
      <c r="C1289" s="4">
        <f>MONTH(SalesData[[#This Row],[Order Date]])</f>
        <v>10</v>
      </c>
      <c r="D1289" s="3" t="s">
        <v>724</v>
      </c>
      <c r="E1289" s="3" t="s">
        <v>164</v>
      </c>
      <c r="F1289" s="3" t="s">
        <v>34</v>
      </c>
      <c r="G1289" s="3" t="s">
        <v>47</v>
      </c>
      <c r="H1289" s="3" t="s">
        <v>1450</v>
      </c>
      <c r="I1289" s="6">
        <v>63.47</v>
      </c>
      <c r="J1289" s="4">
        <v>11</v>
      </c>
      <c r="K1289" s="6">
        <v>19.04</v>
      </c>
    </row>
    <row r="1290" spans="1:11" x14ac:dyDescent="0.3">
      <c r="A1290" s="7">
        <v>41923</v>
      </c>
      <c r="B1290" s="4">
        <f>YEAR(SalesData[[#This Row],[Order Date]])</f>
        <v>2014</v>
      </c>
      <c r="C1290" s="4">
        <f>MONTH(SalesData[[#This Row],[Order Date]])</f>
        <v>10</v>
      </c>
      <c r="D1290" s="3" t="s">
        <v>724</v>
      </c>
      <c r="E1290" s="3" t="s">
        <v>164</v>
      </c>
      <c r="F1290" s="3" t="s">
        <v>39</v>
      </c>
      <c r="G1290" s="3" t="s">
        <v>52</v>
      </c>
      <c r="H1290" s="3" t="s">
        <v>1451</v>
      </c>
      <c r="I1290" s="6">
        <v>345</v>
      </c>
      <c r="J1290" s="4">
        <v>5</v>
      </c>
      <c r="K1290" s="6">
        <v>58.65</v>
      </c>
    </row>
    <row r="1291" spans="1:11" x14ac:dyDescent="0.3">
      <c r="A1291" s="7">
        <v>41923</v>
      </c>
      <c r="B1291" s="4">
        <f>YEAR(SalesData[[#This Row],[Order Date]])</f>
        <v>2014</v>
      </c>
      <c r="C1291" s="4">
        <f>MONTH(SalesData[[#This Row],[Order Date]])</f>
        <v>10</v>
      </c>
      <c r="D1291" s="3" t="s">
        <v>1452</v>
      </c>
      <c r="E1291" s="3" t="s">
        <v>27</v>
      </c>
      <c r="F1291" s="3" t="s">
        <v>11</v>
      </c>
      <c r="G1291" s="3" t="s">
        <v>18</v>
      </c>
      <c r="H1291" s="3" t="s">
        <v>1453</v>
      </c>
      <c r="I1291" s="6">
        <v>31.92</v>
      </c>
      <c r="J1291" s="4">
        <v>4</v>
      </c>
      <c r="K1291" s="6">
        <v>8.3000000000000007</v>
      </c>
    </row>
    <row r="1292" spans="1:11" x14ac:dyDescent="0.3">
      <c r="A1292" s="7">
        <v>41923</v>
      </c>
      <c r="B1292" s="4">
        <f>YEAR(SalesData[[#This Row],[Order Date]])</f>
        <v>2014</v>
      </c>
      <c r="C1292" s="4">
        <f>MONTH(SalesData[[#This Row],[Order Date]])</f>
        <v>10</v>
      </c>
      <c r="D1292" s="3" t="s">
        <v>1452</v>
      </c>
      <c r="E1292" s="3" t="s">
        <v>27</v>
      </c>
      <c r="F1292" s="3" t="s">
        <v>34</v>
      </c>
      <c r="G1292" s="3" t="s">
        <v>35</v>
      </c>
      <c r="H1292" s="3" t="s">
        <v>1454</v>
      </c>
      <c r="I1292" s="6">
        <v>433.57</v>
      </c>
      <c r="J1292" s="4">
        <v>2</v>
      </c>
      <c r="K1292" s="6">
        <v>-65.040000000000006</v>
      </c>
    </row>
    <row r="1293" spans="1:11" x14ac:dyDescent="0.3">
      <c r="A1293" s="7">
        <v>41923</v>
      </c>
      <c r="B1293" s="4">
        <f>YEAR(SalesData[[#This Row],[Order Date]])</f>
        <v>2014</v>
      </c>
      <c r="C1293" s="4">
        <f>MONTH(SalesData[[#This Row],[Order Date]])</f>
        <v>10</v>
      </c>
      <c r="D1293" s="3" t="s">
        <v>556</v>
      </c>
      <c r="E1293" s="3" t="s">
        <v>101</v>
      </c>
      <c r="F1293" s="3" t="s">
        <v>11</v>
      </c>
      <c r="G1293" s="3" t="s">
        <v>16</v>
      </c>
      <c r="H1293" s="3" t="s">
        <v>1040</v>
      </c>
      <c r="I1293" s="6">
        <v>7.31</v>
      </c>
      <c r="J1293" s="4">
        <v>1</v>
      </c>
      <c r="K1293" s="6">
        <v>3.44</v>
      </c>
    </row>
    <row r="1294" spans="1:11" x14ac:dyDescent="0.3">
      <c r="A1294" s="7">
        <v>41923</v>
      </c>
      <c r="B1294" s="4">
        <f>YEAR(SalesData[[#This Row],[Order Date]])</f>
        <v>2014</v>
      </c>
      <c r="C1294" s="4">
        <f>MONTH(SalesData[[#This Row],[Order Date]])</f>
        <v>10</v>
      </c>
      <c r="D1294" s="3" t="s">
        <v>556</v>
      </c>
      <c r="E1294" s="3" t="s">
        <v>101</v>
      </c>
      <c r="F1294" s="3" t="s">
        <v>34</v>
      </c>
      <c r="G1294" s="3" t="s">
        <v>47</v>
      </c>
      <c r="H1294" s="3" t="s">
        <v>1455</v>
      </c>
      <c r="I1294" s="6">
        <v>8.92</v>
      </c>
      <c r="J1294" s="4">
        <v>4</v>
      </c>
      <c r="K1294" s="6">
        <v>3.92</v>
      </c>
    </row>
    <row r="1295" spans="1:11" x14ac:dyDescent="0.3">
      <c r="A1295" s="7">
        <v>41923</v>
      </c>
      <c r="B1295" s="4">
        <f>YEAR(SalesData[[#This Row],[Order Date]])</f>
        <v>2014</v>
      </c>
      <c r="C1295" s="4">
        <f>MONTH(SalesData[[#This Row],[Order Date]])</f>
        <v>10</v>
      </c>
      <c r="D1295" s="3" t="s">
        <v>307</v>
      </c>
      <c r="E1295" s="3" t="s">
        <v>27</v>
      </c>
      <c r="F1295" s="3" t="s">
        <v>11</v>
      </c>
      <c r="G1295" s="3" t="s">
        <v>63</v>
      </c>
      <c r="H1295" s="3" t="s">
        <v>1444</v>
      </c>
      <c r="I1295" s="6">
        <v>7.64</v>
      </c>
      <c r="J1295" s="4">
        <v>1</v>
      </c>
      <c r="K1295" s="6">
        <v>3.74</v>
      </c>
    </row>
    <row r="1296" spans="1:11" x14ac:dyDescent="0.3">
      <c r="A1296" s="7">
        <v>41924</v>
      </c>
      <c r="B1296" s="4">
        <f>YEAR(SalesData[[#This Row],[Order Date]])</f>
        <v>2014</v>
      </c>
      <c r="C1296" s="4">
        <f>MONTH(SalesData[[#This Row],[Order Date]])</f>
        <v>10</v>
      </c>
      <c r="D1296" s="3" t="s">
        <v>1339</v>
      </c>
      <c r="E1296" s="3" t="s">
        <v>27</v>
      </c>
      <c r="F1296" s="3" t="s">
        <v>11</v>
      </c>
      <c r="G1296" s="3" t="s">
        <v>24</v>
      </c>
      <c r="H1296" s="3" t="s">
        <v>998</v>
      </c>
      <c r="I1296" s="6">
        <v>14.9</v>
      </c>
      <c r="J1296" s="4">
        <v>5</v>
      </c>
      <c r="K1296" s="6">
        <v>4.17</v>
      </c>
    </row>
    <row r="1297" spans="1:11" x14ac:dyDescent="0.3">
      <c r="A1297" s="7">
        <v>41924</v>
      </c>
      <c r="B1297" s="4">
        <f>YEAR(SalesData[[#This Row],[Order Date]])</f>
        <v>2014</v>
      </c>
      <c r="C1297" s="4">
        <f>MONTH(SalesData[[#This Row],[Order Date]])</f>
        <v>10</v>
      </c>
      <c r="D1297" s="3" t="s">
        <v>1339</v>
      </c>
      <c r="E1297" s="3" t="s">
        <v>27</v>
      </c>
      <c r="F1297" s="3" t="s">
        <v>11</v>
      </c>
      <c r="G1297" s="3" t="s">
        <v>18</v>
      </c>
      <c r="H1297" s="3" t="s">
        <v>1456</v>
      </c>
      <c r="I1297" s="6">
        <v>21.39</v>
      </c>
      <c r="J1297" s="4">
        <v>1</v>
      </c>
      <c r="K1297" s="6">
        <v>6.2</v>
      </c>
    </row>
    <row r="1298" spans="1:11" x14ac:dyDescent="0.3">
      <c r="A1298" s="7">
        <v>41924</v>
      </c>
      <c r="B1298" s="4">
        <f>YEAR(SalesData[[#This Row],[Order Date]])</f>
        <v>2014</v>
      </c>
      <c r="C1298" s="4">
        <f>MONTH(SalesData[[#This Row],[Order Date]])</f>
        <v>10</v>
      </c>
      <c r="D1298" s="3" t="s">
        <v>1457</v>
      </c>
      <c r="E1298" s="3" t="s">
        <v>15</v>
      </c>
      <c r="F1298" s="3" t="s">
        <v>11</v>
      </c>
      <c r="G1298" s="3" t="s">
        <v>200</v>
      </c>
      <c r="H1298" s="3" t="s">
        <v>1458</v>
      </c>
      <c r="I1298" s="6">
        <v>22.24</v>
      </c>
      <c r="J1298" s="4">
        <v>2</v>
      </c>
      <c r="K1298" s="6">
        <v>2.5</v>
      </c>
    </row>
    <row r="1299" spans="1:11" x14ac:dyDescent="0.3">
      <c r="A1299" s="7">
        <v>41925</v>
      </c>
      <c r="B1299" s="4">
        <f>YEAR(SalesData[[#This Row],[Order Date]])</f>
        <v>2014</v>
      </c>
      <c r="C1299" s="4">
        <f>MONTH(SalesData[[#This Row],[Order Date]])</f>
        <v>10</v>
      </c>
      <c r="D1299" s="3" t="s">
        <v>1459</v>
      </c>
      <c r="E1299" s="3" t="s">
        <v>164</v>
      </c>
      <c r="F1299" s="3" t="s">
        <v>11</v>
      </c>
      <c r="G1299" s="3" t="s">
        <v>24</v>
      </c>
      <c r="H1299" s="3" t="s">
        <v>1000</v>
      </c>
      <c r="I1299" s="6">
        <v>11.52</v>
      </c>
      <c r="J1299" s="4">
        <v>4</v>
      </c>
      <c r="K1299" s="6">
        <v>3.23</v>
      </c>
    </row>
    <row r="1300" spans="1:11" x14ac:dyDescent="0.3">
      <c r="A1300" s="7">
        <v>41925</v>
      </c>
      <c r="B1300" s="4">
        <f>YEAR(SalesData[[#This Row],[Order Date]])</f>
        <v>2014</v>
      </c>
      <c r="C1300" s="4">
        <f>MONTH(SalesData[[#This Row],[Order Date]])</f>
        <v>10</v>
      </c>
      <c r="D1300" s="3" t="s">
        <v>1459</v>
      </c>
      <c r="E1300" s="3" t="s">
        <v>164</v>
      </c>
      <c r="F1300" s="3" t="s">
        <v>34</v>
      </c>
      <c r="G1300" s="3" t="s">
        <v>145</v>
      </c>
      <c r="H1300" s="3" t="s">
        <v>1460</v>
      </c>
      <c r="I1300" s="6">
        <v>1298.55</v>
      </c>
      <c r="J1300" s="4">
        <v>5</v>
      </c>
      <c r="K1300" s="6">
        <v>311.64999999999998</v>
      </c>
    </row>
    <row r="1301" spans="1:11" x14ac:dyDescent="0.3">
      <c r="A1301" s="7">
        <v>41925</v>
      </c>
      <c r="B1301" s="4">
        <f>YEAR(SalesData[[#This Row],[Order Date]])</f>
        <v>2014</v>
      </c>
      <c r="C1301" s="4">
        <f>MONTH(SalesData[[#This Row],[Order Date]])</f>
        <v>10</v>
      </c>
      <c r="D1301" s="3" t="s">
        <v>1459</v>
      </c>
      <c r="E1301" s="3" t="s">
        <v>164</v>
      </c>
      <c r="F1301" s="3" t="s">
        <v>11</v>
      </c>
      <c r="G1301" s="3" t="s">
        <v>92</v>
      </c>
      <c r="H1301" s="3" t="s">
        <v>534</v>
      </c>
      <c r="I1301" s="6">
        <v>213.92</v>
      </c>
      <c r="J1301" s="4">
        <v>4</v>
      </c>
      <c r="K1301" s="6">
        <v>62.04</v>
      </c>
    </row>
    <row r="1302" spans="1:11" x14ac:dyDescent="0.3">
      <c r="A1302" s="7">
        <v>41925</v>
      </c>
      <c r="B1302" s="4">
        <f>YEAR(SalesData[[#This Row],[Order Date]])</f>
        <v>2014</v>
      </c>
      <c r="C1302" s="4">
        <f>MONTH(SalesData[[#This Row],[Order Date]])</f>
        <v>10</v>
      </c>
      <c r="D1302" s="3" t="s">
        <v>1459</v>
      </c>
      <c r="E1302" s="3" t="s">
        <v>164</v>
      </c>
      <c r="F1302" s="3" t="s">
        <v>39</v>
      </c>
      <c r="G1302" s="3" t="s">
        <v>52</v>
      </c>
      <c r="H1302" s="3" t="s">
        <v>1461</v>
      </c>
      <c r="I1302" s="6">
        <v>25.78</v>
      </c>
      <c r="J1302" s="4">
        <v>2</v>
      </c>
      <c r="K1302" s="6">
        <v>2.58</v>
      </c>
    </row>
    <row r="1303" spans="1:11" x14ac:dyDescent="0.3">
      <c r="A1303" s="7">
        <v>41925</v>
      </c>
      <c r="B1303" s="4">
        <f>YEAR(SalesData[[#This Row],[Order Date]])</f>
        <v>2014</v>
      </c>
      <c r="C1303" s="4">
        <f>MONTH(SalesData[[#This Row],[Order Date]])</f>
        <v>10</v>
      </c>
      <c r="D1303" s="3" t="s">
        <v>197</v>
      </c>
      <c r="E1303" s="3" t="s">
        <v>177</v>
      </c>
      <c r="F1303" s="3" t="s">
        <v>34</v>
      </c>
      <c r="G1303" s="3" t="s">
        <v>35</v>
      </c>
      <c r="H1303" s="3" t="s">
        <v>919</v>
      </c>
      <c r="I1303" s="6">
        <v>245.98</v>
      </c>
      <c r="J1303" s="4">
        <v>2</v>
      </c>
      <c r="K1303" s="6">
        <v>27.06</v>
      </c>
    </row>
    <row r="1304" spans="1:11" x14ac:dyDescent="0.3">
      <c r="A1304" s="7">
        <v>41925</v>
      </c>
      <c r="B1304" s="4">
        <f>YEAR(SalesData[[#This Row],[Order Date]])</f>
        <v>2014</v>
      </c>
      <c r="C1304" s="4">
        <f>MONTH(SalesData[[#This Row],[Order Date]])</f>
        <v>10</v>
      </c>
      <c r="D1304" s="3" t="s">
        <v>197</v>
      </c>
      <c r="E1304" s="3" t="s">
        <v>177</v>
      </c>
      <c r="F1304" s="3" t="s">
        <v>11</v>
      </c>
      <c r="G1304" s="3" t="s">
        <v>20</v>
      </c>
      <c r="H1304" s="3" t="s">
        <v>1462</v>
      </c>
      <c r="I1304" s="6">
        <v>18.940000000000001</v>
      </c>
      <c r="J1304" s="4">
        <v>1</v>
      </c>
      <c r="K1304" s="6">
        <v>9.4700000000000006</v>
      </c>
    </row>
    <row r="1305" spans="1:11" x14ac:dyDescent="0.3">
      <c r="A1305" s="7">
        <v>41925</v>
      </c>
      <c r="B1305" s="4">
        <f>YEAR(SalesData[[#This Row],[Order Date]])</f>
        <v>2014</v>
      </c>
      <c r="C1305" s="4">
        <f>MONTH(SalesData[[#This Row],[Order Date]])</f>
        <v>10</v>
      </c>
      <c r="D1305" s="3" t="s">
        <v>1463</v>
      </c>
      <c r="E1305" s="3" t="s">
        <v>149</v>
      </c>
      <c r="F1305" s="3" t="s">
        <v>11</v>
      </c>
      <c r="G1305" s="3" t="s">
        <v>20</v>
      </c>
      <c r="H1305" s="3" t="s">
        <v>522</v>
      </c>
      <c r="I1305" s="6">
        <v>7.75</v>
      </c>
      <c r="J1305" s="4">
        <v>3</v>
      </c>
      <c r="K1305" s="6">
        <v>2.81</v>
      </c>
    </row>
    <row r="1306" spans="1:11" x14ac:dyDescent="0.3">
      <c r="A1306" s="7">
        <v>41925</v>
      </c>
      <c r="B1306" s="4">
        <f>YEAR(SalesData[[#This Row],[Order Date]])</f>
        <v>2014</v>
      </c>
      <c r="C1306" s="4">
        <f>MONTH(SalesData[[#This Row],[Order Date]])</f>
        <v>10</v>
      </c>
      <c r="D1306" s="3" t="s">
        <v>1338</v>
      </c>
      <c r="E1306" s="3" t="s">
        <v>55</v>
      </c>
      <c r="F1306" s="3" t="s">
        <v>11</v>
      </c>
      <c r="G1306" s="3" t="s">
        <v>63</v>
      </c>
      <c r="H1306" s="3" t="s">
        <v>1464</v>
      </c>
      <c r="I1306" s="6">
        <v>36.4</v>
      </c>
      <c r="J1306" s="4">
        <v>5</v>
      </c>
      <c r="K1306" s="6">
        <v>17.47</v>
      </c>
    </row>
    <row r="1307" spans="1:11" x14ac:dyDescent="0.3">
      <c r="A1307" s="7">
        <v>41925</v>
      </c>
      <c r="B1307" s="4">
        <f>YEAR(SalesData[[#This Row],[Order Date]])</f>
        <v>2014</v>
      </c>
      <c r="C1307" s="4">
        <f>MONTH(SalesData[[#This Row],[Order Date]])</f>
        <v>10</v>
      </c>
      <c r="D1307" s="3" t="s">
        <v>1338</v>
      </c>
      <c r="E1307" s="3" t="s">
        <v>55</v>
      </c>
      <c r="F1307" s="3" t="s">
        <v>39</v>
      </c>
      <c r="G1307" s="3" t="s">
        <v>52</v>
      </c>
      <c r="H1307" s="3" t="s">
        <v>1284</v>
      </c>
      <c r="I1307" s="6">
        <v>22.96</v>
      </c>
      <c r="J1307" s="4">
        <v>2</v>
      </c>
      <c r="K1307" s="6">
        <v>4.3600000000000003</v>
      </c>
    </row>
    <row r="1308" spans="1:11" x14ac:dyDescent="0.3">
      <c r="A1308" s="7">
        <v>41925</v>
      </c>
      <c r="B1308" s="4">
        <f>YEAR(SalesData[[#This Row],[Order Date]])</f>
        <v>2014</v>
      </c>
      <c r="C1308" s="4">
        <f>MONTH(SalesData[[#This Row],[Order Date]])</f>
        <v>10</v>
      </c>
      <c r="D1308" s="3" t="s">
        <v>1338</v>
      </c>
      <c r="E1308" s="3" t="s">
        <v>55</v>
      </c>
      <c r="F1308" s="3" t="s">
        <v>11</v>
      </c>
      <c r="G1308" s="3" t="s">
        <v>18</v>
      </c>
      <c r="H1308" s="3" t="s">
        <v>1465</v>
      </c>
      <c r="I1308" s="6">
        <v>315.2</v>
      </c>
      <c r="J1308" s="4">
        <v>4</v>
      </c>
      <c r="K1308" s="6">
        <v>6.3</v>
      </c>
    </row>
    <row r="1309" spans="1:11" x14ac:dyDescent="0.3">
      <c r="A1309" s="7">
        <v>41925</v>
      </c>
      <c r="B1309" s="4">
        <f>YEAR(SalesData[[#This Row],[Order Date]])</f>
        <v>2014</v>
      </c>
      <c r="C1309" s="4">
        <f>MONTH(SalesData[[#This Row],[Order Date]])</f>
        <v>10</v>
      </c>
      <c r="D1309" s="3" t="s">
        <v>1338</v>
      </c>
      <c r="E1309" s="3" t="s">
        <v>55</v>
      </c>
      <c r="F1309" s="3" t="s">
        <v>11</v>
      </c>
      <c r="G1309" s="3" t="s">
        <v>20</v>
      </c>
      <c r="H1309" s="3" t="s">
        <v>1197</v>
      </c>
      <c r="I1309" s="6">
        <v>15.18</v>
      </c>
      <c r="J1309" s="4">
        <v>3</v>
      </c>
      <c r="K1309" s="6">
        <v>7.13</v>
      </c>
    </row>
    <row r="1310" spans="1:11" x14ac:dyDescent="0.3">
      <c r="A1310" s="7">
        <v>41926</v>
      </c>
      <c r="B1310" s="4">
        <f>YEAR(SalesData[[#This Row],[Order Date]])</f>
        <v>2014</v>
      </c>
      <c r="C1310" s="4">
        <f>MONTH(SalesData[[#This Row],[Order Date]])</f>
        <v>10</v>
      </c>
      <c r="D1310" s="3" t="s">
        <v>1466</v>
      </c>
      <c r="E1310" s="3" t="s">
        <v>685</v>
      </c>
      <c r="F1310" s="3" t="s">
        <v>11</v>
      </c>
      <c r="G1310" s="3" t="s">
        <v>20</v>
      </c>
      <c r="H1310" s="3" t="s">
        <v>80</v>
      </c>
      <c r="I1310" s="6">
        <v>22.92</v>
      </c>
      <c r="J1310" s="4">
        <v>4</v>
      </c>
      <c r="K1310" s="6">
        <v>11</v>
      </c>
    </row>
    <row r="1311" spans="1:11" x14ac:dyDescent="0.3">
      <c r="A1311" s="7">
        <v>41926</v>
      </c>
      <c r="B1311" s="4">
        <f>YEAR(SalesData[[#This Row],[Order Date]])</f>
        <v>2014</v>
      </c>
      <c r="C1311" s="4">
        <f>MONTH(SalesData[[#This Row],[Order Date]])</f>
        <v>10</v>
      </c>
      <c r="D1311" s="3" t="s">
        <v>1466</v>
      </c>
      <c r="E1311" s="3" t="s">
        <v>685</v>
      </c>
      <c r="F1311" s="3" t="s">
        <v>11</v>
      </c>
      <c r="G1311" s="3" t="s">
        <v>18</v>
      </c>
      <c r="H1311" s="3" t="s">
        <v>236</v>
      </c>
      <c r="I1311" s="6">
        <v>269.89999999999998</v>
      </c>
      <c r="J1311" s="4">
        <v>5</v>
      </c>
      <c r="K1311" s="6">
        <v>16.190000000000001</v>
      </c>
    </row>
    <row r="1312" spans="1:11" x14ac:dyDescent="0.3">
      <c r="A1312" s="7">
        <v>41926</v>
      </c>
      <c r="B1312" s="4">
        <f>YEAR(SalesData[[#This Row],[Order Date]])</f>
        <v>2014</v>
      </c>
      <c r="C1312" s="4">
        <f>MONTH(SalesData[[#This Row],[Order Date]])</f>
        <v>10</v>
      </c>
      <c r="D1312" s="3" t="s">
        <v>1467</v>
      </c>
      <c r="E1312" s="3" t="s">
        <v>10</v>
      </c>
      <c r="F1312" s="3" t="s">
        <v>11</v>
      </c>
      <c r="G1312" s="3" t="s">
        <v>92</v>
      </c>
      <c r="H1312" s="3" t="s">
        <v>1468</v>
      </c>
      <c r="I1312" s="6">
        <v>3.16</v>
      </c>
      <c r="J1312" s="4">
        <v>4</v>
      </c>
      <c r="K1312" s="6">
        <v>-8.5299999999999994</v>
      </c>
    </row>
    <row r="1313" spans="1:11" x14ac:dyDescent="0.3">
      <c r="A1313" s="7">
        <v>41926</v>
      </c>
      <c r="B1313" s="4">
        <f>YEAR(SalesData[[#This Row],[Order Date]])</f>
        <v>2014</v>
      </c>
      <c r="C1313" s="4">
        <f>MONTH(SalesData[[#This Row],[Order Date]])</f>
        <v>10</v>
      </c>
      <c r="D1313" s="3" t="s">
        <v>1467</v>
      </c>
      <c r="E1313" s="3" t="s">
        <v>10</v>
      </c>
      <c r="F1313" s="3" t="s">
        <v>39</v>
      </c>
      <c r="G1313" s="3" t="s">
        <v>603</v>
      </c>
      <c r="H1313" s="3" t="s">
        <v>1469</v>
      </c>
      <c r="I1313" s="6">
        <v>1999.96</v>
      </c>
      <c r="J1313" s="4">
        <v>5</v>
      </c>
      <c r="K1313" s="6">
        <v>624.99</v>
      </c>
    </row>
    <row r="1314" spans="1:11" x14ac:dyDescent="0.3">
      <c r="A1314" s="7">
        <v>41926</v>
      </c>
      <c r="B1314" s="4">
        <f>YEAR(SalesData[[#This Row],[Order Date]])</f>
        <v>2014</v>
      </c>
      <c r="C1314" s="4">
        <f>MONTH(SalesData[[#This Row],[Order Date]])</f>
        <v>10</v>
      </c>
      <c r="D1314" s="3" t="s">
        <v>156</v>
      </c>
      <c r="E1314" s="3" t="s">
        <v>15</v>
      </c>
      <c r="F1314" s="3" t="s">
        <v>11</v>
      </c>
      <c r="G1314" s="3" t="s">
        <v>12</v>
      </c>
      <c r="H1314" s="3" t="s">
        <v>370</v>
      </c>
      <c r="I1314" s="6">
        <v>322.19</v>
      </c>
      <c r="J1314" s="4">
        <v>13</v>
      </c>
      <c r="K1314" s="6">
        <v>100.69</v>
      </c>
    </row>
    <row r="1315" spans="1:11" x14ac:dyDescent="0.3">
      <c r="A1315" s="7">
        <v>41926</v>
      </c>
      <c r="B1315" s="4">
        <f>YEAR(SalesData[[#This Row],[Order Date]])</f>
        <v>2014</v>
      </c>
      <c r="C1315" s="4">
        <f>MONTH(SalesData[[#This Row],[Order Date]])</f>
        <v>10</v>
      </c>
      <c r="D1315" s="3" t="s">
        <v>156</v>
      </c>
      <c r="E1315" s="3" t="s">
        <v>15</v>
      </c>
      <c r="F1315" s="3" t="s">
        <v>11</v>
      </c>
      <c r="G1315" s="3" t="s">
        <v>20</v>
      </c>
      <c r="H1315" s="3" t="s">
        <v>150</v>
      </c>
      <c r="I1315" s="6">
        <v>2.95</v>
      </c>
      <c r="J1315" s="4">
        <v>3</v>
      </c>
      <c r="K1315" s="6">
        <v>-4.8600000000000003</v>
      </c>
    </row>
    <row r="1316" spans="1:11" x14ac:dyDescent="0.3">
      <c r="A1316" s="7">
        <v>41926</v>
      </c>
      <c r="B1316" s="4">
        <f>YEAR(SalesData[[#This Row],[Order Date]])</f>
        <v>2014</v>
      </c>
      <c r="C1316" s="4">
        <f>MONTH(SalesData[[#This Row],[Order Date]])</f>
        <v>10</v>
      </c>
      <c r="D1316" s="3" t="s">
        <v>156</v>
      </c>
      <c r="E1316" s="3" t="s">
        <v>15</v>
      </c>
      <c r="F1316" s="3" t="s">
        <v>11</v>
      </c>
      <c r="G1316" s="3" t="s">
        <v>12</v>
      </c>
      <c r="H1316" s="3" t="s">
        <v>1470</v>
      </c>
      <c r="I1316" s="6">
        <v>19.14</v>
      </c>
      <c r="J1316" s="4">
        <v>4</v>
      </c>
      <c r="K1316" s="6">
        <v>6.94</v>
      </c>
    </row>
    <row r="1317" spans="1:11" x14ac:dyDescent="0.3">
      <c r="A1317" s="7">
        <v>41926</v>
      </c>
      <c r="B1317" s="4">
        <f>YEAR(SalesData[[#This Row],[Order Date]])</f>
        <v>2014</v>
      </c>
      <c r="C1317" s="4">
        <f>MONTH(SalesData[[#This Row],[Order Date]])</f>
        <v>10</v>
      </c>
      <c r="D1317" s="3" t="s">
        <v>1471</v>
      </c>
      <c r="E1317" s="3" t="s">
        <v>434</v>
      </c>
      <c r="F1317" s="3" t="s">
        <v>39</v>
      </c>
      <c r="G1317" s="3" t="s">
        <v>52</v>
      </c>
      <c r="H1317" s="3" t="s">
        <v>1293</v>
      </c>
      <c r="I1317" s="6">
        <v>177</v>
      </c>
      <c r="J1317" s="4">
        <v>3</v>
      </c>
      <c r="K1317" s="6">
        <v>30.09</v>
      </c>
    </row>
    <row r="1318" spans="1:11" x14ac:dyDescent="0.3">
      <c r="A1318" s="7">
        <v>41926</v>
      </c>
      <c r="B1318" s="4">
        <f>YEAR(SalesData[[#This Row],[Order Date]])</f>
        <v>2014</v>
      </c>
      <c r="C1318" s="4">
        <f>MONTH(SalesData[[#This Row],[Order Date]])</f>
        <v>10</v>
      </c>
      <c r="D1318" s="3" t="s">
        <v>1471</v>
      </c>
      <c r="E1318" s="3" t="s">
        <v>434</v>
      </c>
      <c r="F1318" s="3" t="s">
        <v>11</v>
      </c>
      <c r="G1318" s="3" t="s">
        <v>18</v>
      </c>
      <c r="H1318" s="3" t="s">
        <v>1472</v>
      </c>
      <c r="I1318" s="6">
        <v>79.45</v>
      </c>
      <c r="J1318" s="4">
        <v>7</v>
      </c>
      <c r="K1318" s="6">
        <v>22.25</v>
      </c>
    </row>
    <row r="1319" spans="1:11" x14ac:dyDescent="0.3">
      <c r="A1319" s="7">
        <v>41926</v>
      </c>
      <c r="B1319" s="4">
        <f>YEAR(SalesData[[#This Row],[Order Date]])</f>
        <v>2014</v>
      </c>
      <c r="C1319" s="4">
        <f>MONTH(SalesData[[#This Row],[Order Date]])</f>
        <v>10</v>
      </c>
      <c r="D1319" s="3" t="s">
        <v>1471</v>
      </c>
      <c r="E1319" s="3" t="s">
        <v>434</v>
      </c>
      <c r="F1319" s="3" t="s">
        <v>34</v>
      </c>
      <c r="G1319" s="3" t="s">
        <v>35</v>
      </c>
      <c r="H1319" s="3" t="s">
        <v>1473</v>
      </c>
      <c r="I1319" s="6">
        <v>1628.82</v>
      </c>
      <c r="J1319" s="4">
        <v>9</v>
      </c>
      <c r="K1319" s="6">
        <v>260.61</v>
      </c>
    </row>
    <row r="1320" spans="1:11" x14ac:dyDescent="0.3">
      <c r="A1320" s="7">
        <v>41927</v>
      </c>
      <c r="B1320" s="4">
        <f>YEAR(SalesData[[#This Row],[Order Date]])</f>
        <v>2014</v>
      </c>
      <c r="C1320" s="4">
        <f>MONTH(SalesData[[#This Row],[Order Date]])</f>
        <v>10</v>
      </c>
      <c r="D1320" s="3" t="s">
        <v>884</v>
      </c>
      <c r="E1320" s="3" t="s">
        <v>123</v>
      </c>
      <c r="F1320" s="3" t="s">
        <v>34</v>
      </c>
      <c r="G1320" s="3" t="s">
        <v>47</v>
      </c>
      <c r="H1320" s="3" t="s">
        <v>339</v>
      </c>
      <c r="I1320" s="6">
        <v>15.38</v>
      </c>
      <c r="J1320" s="4">
        <v>1</v>
      </c>
      <c r="K1320" s="6">
        <v>4.04</v>
      </c>
    </row>
    <row r="1321" spans="1:11" x14ac:dyDescent="0.3">
      <c r="A1321" s="7">
        <v>41927</v>
      </c>
      <c r="B1321" s="4">
        <f>YEAR(SalesData[[#This Row],[Order Date]])</f>
        <v>2014</v>
      </c>
      <c r="C1321" s="4">
        <f>MONTH(SalesData[[#This Row],[Order Date]])</f>
        <v>10</v>
      </c>
      <c r="D1321" s="3" t="s">
        <v>1474</v>
      </c>
      <c r="E1321" s="3" t="s">
        <v>78</v>
      </c>
      <c r="F1321" s="3" t="s">
        <v>34</v>
      </c>
      <c r="G1321" s="3" t="s">
        <v>35</v>
      </c>
      <c r="H1321" s="3" t="s">
        <v>1261</v>
      </c>
      <c r="I1321" s="6">
        <v>183.37</v>
      </c>
      <c r="J1321" s="4">
        <v>2</v>
      </c>
      <c r="K1321" s="6">
        <v>-7.86</v>
      </c>
    </row>
    <row r="1322" spans="1:11" x14ac:dyDescent="0.3">
      <c r="A1322" s="7">
        <v>41927</v>
      </c>
      <c r="B1322" s="4">
        <f>YEAR(SalesData[[#This Row],[Order Date]])</f>
        <v>2014</v>
      </c>
      <c r="C1322" s="4">
        <f>MONTH(SalesData[[#This Row],[Order Date]])</f>
        <v>10</v>
      </c>
      <c r="D1322" s="3" t="s">
        <v>1474</v>
      </c>
      <c r="E1322" s="3" t="s">
        <v>78</v>
      </c>
      <c r="F1322" s="3" t="s">
        <v>11</v>
      </c>
      <c r="G1322" s="3" t="s">
        <v>12</v>
      </c>
      <c r="H1322" s="3" t="s">
        <v>981</v>
      </c>
      <c r="I1322" s="6">
        <v>7.97</v>
      </c>
      <c r="J1322" s="4">
        <v>2</v>
      </c>
      <c r="K1322" s="6">
        <v>2.89</v>
      </c>
    </row>
    <row r="1323" spans="1:11" x14ac:dyDescent="0.3">
      <c r="A1323" s="7">
        <v>41928</v>
      </c>
      <c r="B1323" s="4">
        <f>YEAR(SalesData[[#This Row],[Order Date]])</f>
        <v>2014</v>
      </c>
      <c r="C1323" s="4">
        <f>MONTH(SalesData[[#This Row],[Order Date]])</f>
        <v>10</v>
      </c>
      <c r="D1323" s="3" t="s">
        <v>1475</v>
      </c>
      <c r="E1323" s="3" t="s">
        <v>27</v>
      </c>
      <c r="F1323" s="3" t="s">
        <v>11</v>
      </c>
      <c r="G1323" s="3" t="s">
        <v>20</v>
      </c>
      <c r="H1323" s="3" t="s">
        <v>318</v>
      </c>
      <c r="I1323" s="6">
        <v>14.35</v>
      </c>
      <c r="J1323" s="4">
        <v>3</v>
      </c>
      <c r="K1323" s="6">
        <v>5.0199999999999996</v>
      </c>
    </row>
    <row r="1324" spans="1:11" x14ac:dyDescent="0.3">
      <c r="A1324" s="7">
        <v>41928</v>
      </c>
      <c r="B1324" s="4">
        <f>YEAR(SalesData[[#This Row],[Order Date]])</f>
        <v>2014</v>
      </c>
      <c r="C1324" s="4">
        <f>MONTH(SalesData[[#This Row],[Order Date]])</f>
        <v>10</v>
      </c>
      <c r="D1324" s="3" t="s">
        <v>1475</v>
      </c>
      <c r="E1324" s="3" t="s">
        <v>27</v>
      </c>
      <c r="F1324" s="3" t="s">
        <v>39</v>
      </c>
      <c r="G1324" s="3" t="s">
        <v>52</v>
      </c>
      <c r="H1324" s="3" t="s">
        <v>1476</v>
      </c>
      <c r="I1324" s="6">
        <v>179.97</v>
      </c>
      <c r="J1324" s="4">
        <v>3</v>
      </c>
      <c r="K1324" s="6">
        <v>86.39</v>
      </c>
    </row>
    <row r="1325" spans="1:11" x14ac:dyDescent="0.3">
      <c r="A1325" s="7">
        <v>41929</v>
      </c>
      <c r="B1325" s="4">
        <f>YEAR(SalesData[[#This Row],[Order Date]])</f>
        <v>2014</v>
      </c>
      <c r="C1325" s="4">
        <f>MONTH(SalesData[[#This Row],[Order Date]])</f>
        <v>10</v>
      </c>
      <c r="D1325" s="3" t="s">
        <v>1477</v>
      </c>
      <c r="E1325" s="3" t="s">
        <v>10</v>
      </c>
      <c r="F1325" s="3" t="s">
        <v>11</v>
      </c>
      <c r="G1325" s="3" t="s">
        <v>20</v>
      </c>
      <c r="H1325" s="3" t="s">
        <v>96</v>
      </c>
      <c r="I1325" s="6">
        <v>10.78</v>
      </c>
      <c r="J1325" s="4">
        <v>5</v>
      </c>
      <c r="K1325" s="6">
        <v>-17.25</v>
      </c>
    </row>
    <row r="1326" spans="1:11" x14ac:dyDescent="0.3">
      <c r="A1326" s="7">
        <v>41929</v>
      </c>
      <c r="B1326" s="4">
        <f>YEAR(SalesData[[#This Row],[Order Date]])</f>
        <v>2014</v>
      </c>
      <c r="C1326" s="4">
        <f>MONTH(SalesData[[#This Row],[Order Date]])</f>
        <v>10</v>
      </c>
      <c r="D1326" s="3" t="s">
        <v>1477</v>
      </c>
      <c r="E1326" s="3" t="s">
        <v>10</v>
      </c>
      <c r="F1326" s="3" t="s">
        <v>39</v>
      </c>
      <c r="G1326" s="3" t="s">
        <v>52</v>
      </c>
      <c r="H1326" s="3" t="s">
        <v>1008</v>
      </c>
      <c r="I1326" s="6">
        <v>119.98</v>
      </c>
      <c r="J1326" s="4">
        <v>3</v>
      </c>
      <c r="K1326" s="6">
        <v>-18</v>
      </c>
    </row>
    <row r="1327" spans="1:11" x14ac:dyDescent="0.3">
      <c r="A1327" s="7">
        <v>41929</v>
      </c>
      <c r="B1327" s="4">
        <f>YEAR(SalesData[[#This Row],[Order Date]])</f>
        <v>2014</v>
      </c>
      <c r="C1327" s="4">
        <f>MONTH(SalesData[[#This Row],[Order Date]])</f>
        <v>10</v>
      </c>
      <c r="D1327" s="3" t="s">
        <v>1408</v>
      </c>
      <c r="E1327" s="3" t="s">
        <v>10</v>
      </c>
      <c r="F1327" s="3" t="s">
        <v>34</v>
      </c>
      <c r="G1327" s="3" t="s">
        <v>47</v>
      </c>
      <c r="H1327" s="3" t="s">
        <v>1162</v>
      </c>
      <c r="I1327" s="6">
        <v>5.31</v>
      </c>
      <c r="J1327" s="4">
        <v>2</v>
      </c>
      <c r="K1327" s="6">
        <v>-1.59</v>
      </c>
    </row>
    <row r="1328" spans="1:11" x14ac:dyDescent="0.3">
      <c r="A1328" s="7">
        <v>41930</v>
      </c>
      <c r="B1328" s="4">
        <f>YEAR(SalesData[[#This Row],[Order Date]])</f>
        <v>2014</v>
      </c>
      <c r="C1328" s="4">
        <f>MONTH(SalesData[[#This Row],[Order Date]])</f>
        <v>10</v>
      </c>
      <c r="D1328" s="3" t="s">
        <v>1478</v>
      </c>
      <c r="E1328" s="3" t="s">
        <v>488</v>
      </c>
      <c r="F1328" s="3" t="s">
        <v>11</v>
      </c>
      <c r="G1328" s="3" t="s">
        <v>18</v>
      </c>
      <c r="H1328" s="3" t="s">
        <v>908</v>
      </c>
      <c r="I1328" s="6">
        <v>275.97000000000003</v>
      </c>
      <c r="J1328" s="4">
        <v>3</v>
      </c>
      <c r="K1328" s="6">
        <v>11.04</v>
      </c>
    </row>
    <row r="1329" spans="1:11" x14ac:dyDescent="0.3">
      <c r="A1329" s="7">
        <v>41930</v>
      </c>
      <c r="B1329" s="4">
        <f>YEAR(SalesData[[#This Row],[Order Date]])</f>
        <v>2014</v>
      </c>
      <c r="C1329" s="4">
        <f>MONTH(SalesData[[#This Row],[Order Date]])</f>
        <v>10</v>
      </c>
      <c r="D1329" s="3" t="s">
        <v>1478</v>
      </c>
      <c r="E1329" s="3" t="s">
        <v>488</v>
      </c>
      <c r="F1329" s="3" t="s">
        <v>39</v>
      </c>
      <c r="G1329" s="3" t="s">
        <v>40</v>
      </c>
      <c r="H1329" s="3" t="s">
        <v>1479</v>
      </c>
      <c r="I1329" s="6">
        <v>1394.95</v>
      </c>
      <c r="J1329" s="4">
        <v>5</v>
      </c>
      <c r="K1329" s="6">
        <v>362.69</v>
      </c>
    </row>
    <row r="1330" spans="1:11" x14ac:dyDescent="0.3">
      <c r="A1330" s="7">
        <v>41930</v>
      </c>
      <c r="B1330" s="4">
        <f>YEAR(SalesData[[#This Row],[Order Date]])</f>
        <v>2014</v>
      </c>
      <c r="C1330" s="4">
        <f>MONTH(SalesData[[#This Row],[Order Date]])</f>
        <v>10</v>
      </c>
      <c r="D1330" s="3" t="s">
        <v>1478</v>
      </c>
      <c r="E1330" s="3" t="s">
        <v>488</v>
      </c>
      <c r="F1330" s="3" t="s">
        <v>34</v>
      </c>
      <c r="G1330" s="3" t="s">
        <v>35</v>
      </c>
      <c r="H1330" s="3" t="s">
        <v>1480</v>
      </c>
      <c r="I1330" s="6">
        <v>545.88</v>
      </c>
      <c r="J1330" s="4">
        <v>6</v>
      </c>
      <c r="K1330" s="6">
        <v>70.959999999999994</v>
      </c>
    </row>
    <row r="1331" spans="1:11" x14ac:dyDescent="0.3">
      <c r="A1331" s="7">
        <v>41930</v>
      </c>
      <c r="B1331" s="4">
        <f>YEAR(SalesData[[#This Row],[Order Date]])</f>
        <v>2014</v>
      </c>
      <c r="C1331" s="4">
        <f>MONTH(SalesData[[#This Row],[Order Date]])</f>
        <v>10</v>
      </c>
      <c r="D1331" s="3" t="s">
        <v>525</v>
      </c>
      <c r="E1331" s="3" t="s">
        <v>23</v>
      </c>
      <c r="F1331" s="3" t="s">
        <v>11</v>
      </c>
      <c r="G1331" s="3" t="s">
        <v>63</v>
      </c>
      <c r="H1331" s="3" t="s">
        <v>1481</v>
      </c>
      <c r="I1331" s="6">
        <v>52.51</v>
      </c>
      <c r="J1331" s="4">
        <v>6</v>
      </c>
      <c r="K1331" s="6">
        <v>19.690000000000001</v>
      </c>
    </row>
    <row r="1332" spans="1:11" x14ac:dyDescent="0.3">
      <c r="A1332" s="7">
        <v>41930</v>
      </c>
      <c r="B1332" s="4">
        <f>YEAR(SalesData[[#This Row],[Order Date]])</f>
        <v>2014</v>
      </c>
      <c r="C1332" s="4">
        <f>MONTH(SalesData[[#This Row],[Order Date]])</f>
        <v>10</v>
      </c>
      <c r="D1332" s="3" t="s">
        <v>525</v>
      </c>
      <c r="E1332" s="3" t="s">
        <v>23</v>
      </c>
      <c r="F1332" s="3" t="s">
        <v>11</v>
      </c>
      <c r="G1332" s="3" t="s">
        <v>18</v>
      </c>
      <c r="H1332" s="3" t="s">
        <v>1482</v>
      </c>
      <c r="I1332" s="6">
        <v>186.91</v>
      </c>
      <c r="J1332" s="4">
        <v>6</v>
      </c>
      <c r="K1332" s="6">
        <v>-35.049999999999997</v>
      </c>
    </row>
    <row r="1333" spans="1:11" x14ac:dyDescent="0.3">
      <c r="A1333" s="7">
        <v>41930</v>
      </c>
      <c r="B1333" s="4">
        <f>YEAR(SalesData[[#This Row],[Order Date]])</f>
        <v>2014</v>
      </c>
      <c r="C1333" s="4">
        <f>MONTH(SalesData[[#This Row],[Order Date]])</f>
        <v>10</v>
      </c>
      <c r="D1333" s="3" t="s">
        <v>525</v>
      </c>
      <c r="E1333" s="3" t="s">
        <v>23</v>
      </c>
      <c r="F1333" s="3" t="s">
        <v>11</v>
      </c>
      <c r="G1333" s="3" t="s">
        <v>12</v>
      </c>
      <c r="H1333" s="3" t="s">
        <v>619</v>
      </c>
      <c r="I1333" s="6">
        <v>10.050000000000001</v>
      </c>
      <c r="J1333" s="4">
        <v>4</v>
      </c>
      <c r="K1333" s="6">
        <v>3.14</v>
      </c>
    </row>
    <row r="1334" spans="1:11" x14ac:dyDescent="0.3">
      <c r="A1334" s="7">
        <v>41930</v>
      </c>
      <c r="B1334" s="4">
        <f>YEAR(SalesData[[#This Row],[Order Date]])</f>
        <v>2014</v>
      </c>
      <c r="C1334" s="4">
        <f>MONTH(SalesData[[#This Row],[Order Date]])</f>
        <v>10</v>
      </c>
      <c r="D1334" s="3" t="s">
        <v>1483</v>
      </c>
      <c r="E1334" s="3" t="s">
        <v>101</v>
      </c>
      <c r="F1334" s="3" t="s">
        <v>34</v>
      </c>
      <c r="G1334" s="3" t="s">
        <v>35</v>
      </c>
      <c r="H1334" s="3" t="s">
        <v>1484</v>
      </c>
      <c r="I1334" s="6">
        <v>605.34</v>
      </c>
      <c r="J1334" s="4">
        <v>6</v>
      </c>
      <c r="K1334" s="6">
        <v>145.28</v>
      </c>
    </row>
    <row r="1335" spans="1:11" x14ac:dyDescent="0.3">
      <c r="A1335" s="7">
        <v>41930</v>
      </c>
      <c r="B1335" s="4">
        <f>YEAR(SalesData[[#This Row],[Order Date]])</f>
        <v>2014</v>
      </c>
      <c r="C1335" s="4">
        <f>MONTH(SalesData[[#This Row],[Order Date]])</f>
        <v>10</v>
      </c>
      <c r="D1335" s="3" t="s">
        <v>1485</v>
      </c>
      <c r="E1335" s="3" t="s">
        <v>164</v>
      </c>
      <c r="F1335" s="3" t="s">
        <v>11</v>
      </c>
      <c r="G1335" s="3" t="s">
        <v>12</v>
      </c>
      <c r="H1335" s="3" t="s">
        <v>1126</v>
      </c>
      <c r="I1335" s="6">
        <v>61.96</v>
      </c>
      <c r="J1335" s="4">
        <v>2</v>
      </c>
      <c r="K1335" s="6">
        <v>27.88</v>
      </c>
    </row>
    <row r="1336" spans="1:11" x14ac:dyDescent="0.3">
      <c r="A1336" s="7">
        <v>41930</v>
      </c>
      <c r="B1336" s="4">
        <f>YEAR(SalesData[[#This Row],[Order Date]])</f>
        <v>2014</v>
      </c>
      <c r="C1336" s="4">
        <f>MONTH(SalesData[[#This Row],[Order Date]])</f>
        <v>10</v>
      </c>
      <c r="D1336" s="3" t="s">
        <v>1485</v>
      </c>
      <c r="E1336" s="3" t="s">
        <v>164</v>
      </c>
      <c r="F1336" s="3" t="s">
        <v>11</v>
      </c>
      <c r="G1336" s="3" t="s">
        <v>20</v>
      </c>
      <c r="H1336" s="3" t="s">
        <v>1486</v>
      </c>
      <c r="I1336" s="6">
        <v>1.34</v>
      </c>
      <c r="J1336" s="4">
        <v>1</v>
      </c>
      <c r="K1336" s="6">
        <v>0.47</v>
      </c>
    </row>
    <row r="1337" spans="1:11" x14ac:dyDescent="0.3">
      <c r="A1337" s="7">
        <v>41931</v>
      </c>
      <c r="B1337" s="4">
        <f>YEAR(SalesData[[#This Row],[Order Date]])</f>
        <v>2014</v>
      </c>
      <c r="C1337" s="4">
        <f>MONTH(SalesData[[#This Row],[Order Date]])</f>
        <v>10</v>
      </c>
      <c r="D1337" s="3" t="s">
        <v>1487</v>
      </c>
      <c r="E1337" s="3" t="s">
        <v>27</v>
      </c>
      <c r="F1337" s="3" t="s">
        <v>11</v>
      </c>
      <c r="G1337" s="3" t="s">
        <v>12</v>
      </c>
      <c r="H1337" s="3" t="s">
        <v>1488</v>
      </c>
      <c r="I1337" s="6">
        <v>13.44</v>
      </c>
      <c r="J1337" s="4">
        <v>3</v>
      </c>
      <c r="K1337" s="6">
        <v>6.59</v>
      </c>
    </row>
    <row r="1338" spans="1:11" x14ac:dyDescent="0.3">
      <c r="A1338" s="7">
        <v>41931</v>
      </c>
      <c r="B1338" s="4">
        <f>YEAR(SalesData[[#This Row],[Order Date]])</f>
        <v>2014</v>
      </c>
      <c r="C1338" s="4">
        <f>MONTH(SalesData[[#This Row],[Order Date]])</f>
        <v>10</v>
      </c>
      <c r="D1338" s="3" t="s">
        <v>1489</v>
      </c>
      <c r="E1338" s="3" t="s">
        <v>27</v>
      </c>
      <c r="F1338" s="3" t="s">
        <v>11</v>
      </c>
      <c r="G1338" s="3" t="s">
        <v>20</v>
      </c>
      <c r="H1338" s="3" t="s">
        <v>1490</v>
      </c>
      <c r="I1338" s="6">
        <v>2.99</v>
      </c>
      <c r="J1338" s="4">
        <v>1</v>
      </c>
      <c r="K1338" s="6">
        <v>1.1200000000000001</v>
      </c>
    </row>
    <row r="1339" spans="1:11" x14ac:dyDescent="0.3">
      <c r="A1339" s="7">
        <v>41931</v>
      </c>
      <c r="B1339" s="4">
        <f>YEAR(SalesData[[#This Row],[Order Date]])</f>
        <v>2014</v>
      </c>
      <c r="C1339" s="4">
        <f>MONTH(SalesData[[#This Row],[Order Date]])</f>
        <v>10</v>
      </c>
      <c r="D1339" s="3" t="s">
        <v>1489</v>
      </c>
      <c r="E1339" s="3" t="s">
        <v>27</v>
      </c>
      <c r="F1339" s="3" t="s">
        <v>11</v>
      </c>
      <c r="G1339" s="3" t="s">
        <v>20</v>
      </c>
      <c r="H1339" s="3" t="s">
        <v>1491</v>
      </c>
      <c r="I1339" s="6">
        <v>20.059999999999999</v>
      </c>
      <c r="J1339" s="4">
        <v>6</v>
      </c>
      <c r="K1339" s="6">
        <v>7.02</v>
      </c>
    </row>
    <row r="1340" spans="1:11" x14ac:dyDescent="0.3">
      <c r="A1340" s="7">
        <v>41931</v>
      </c>
      <c r="B1340" s="4">
        <f>YEAR(SalesData[[#This Row],[Order Date]])</f>
        <v>2014</v>
      </c>
      <c r="C1340" s="4">
        <f>MONTH(SalesData[[#This Row],[Order Date]])</f>
        <v>10</v>
      </c>
      <c r="D1340" s="3" t="s">
        <v>1489</v>
      </c>
      <c r="E1340" s="3" t="s">
        <v>27</v>
      </c>
      <c r="F1340" s="3" t="s">
        <v>11</v>
      </c>
      <c r="G1340" s="3" t="s">
        <v>12</v>
      </c>
      <c r="H1340" s="3" t="s">
        <v>1492</v>
      </c>
      <c r="I1340" s="6">
        <v>146.72999999999999</v>
      </c>
      <c r="J1340" s="4">
        <v>3</v>
      </c>
      <c r="K1340" s="6">
        <v>68.959999999999994</v>
      </c>
    </row>
    <row r="1341" spans="1:11" x14ac:dyDescent="0.3">
      <c r="A1341" s="7">
        <v>41931</v>
      </c>
      <c r="B1341" s="4">
        <f>YEAR(SalesData[[#This Row],[Order Date]])</f>
        <v>2014</v>
      </c>
      <c r="C1341" s="4">
        <f>MONTH(SalesData[[#This Row],[Order Date]])</f>
        <v>10</v>
      </c>
      <c r="D1341" s="3" t="s">
        <v>1489</v>
      </c>
      <c r="E1341" s="3" t="s">
        <v>27</v>
      </c>
      <c r="F1341" s="3" t="s">
        <v>11</v>
      </c>
      <c r="G1341" s="3" t="s">
        <v>16</v>
      </c>
      <c r="H1341" s="3" t="s">
        <v>172</v>
      </c>
      <c r="I1341" s="6">
        <v>18.75</v>
      </c>
      <c r="J1341" s="4">
        <v>5</v>
      </c>
      <c r="K1341" s="6">
        <v>9</v>
      </c>
    </row>
    <row r="1342" spans="1:11" x14ac:dyDescent="0.3">
      <c r="A1342" s="7">
        <v>41931</v>
      </c>
      <c r="B1342" s="4">
        <f>YEAR(SalesData[[#This Row],[Order Date]])</f>
        <v>2014</v>
      </c>
      <c r="C1342" s="4">
        <f>MONTH(SalesData[[#This Row],[Order Date]])</f>
        <v>10</v>
      </c>
      <c r="D1342" s="3" t="s">
        <v>1489</v>
      </c>
      <c r="E1342" s="3" t="s">
        <v>27</v>
      </c>
      <c r="F1342" s="3" t="s">
        <v>39</v>
      </c>
      <c r="G1342" s="3" t="s">
        <v>40</v>
      </c>
      <c r="H1342" s="3" t="s">
        <v>1493</v>
      </c>
      <c r="I1342" s="6">
        <v>117.58</v>
      </c>
      <c r="J1342" s="4">
        <v>3</v>
      </c>
      <c r="K1342" s="6">
        <v>11.76</v>
      </c>
    </row>
    <row r="1343" spans="1:11" x14ac:dyDescent="0.3">
      <c r="A1343" s="7">
        <v>41931</v>
      </c>
      <c r="B1343" s="4">
        <f>YEAR(SalesData[[#This Row],[Order Date]])</f>
        <v>2014</v>
      </c>
      <c r="C1343" s="4">
        <f>MONTH(SalesData[[#This Row],[Order Date]])</f>
        <v>10</v>
      </c>
      <c r="D1343" s="3" t="s">
        <v>1494</v>
      </c>
      <c r="E1343" s="3" t="s">
        <v>27</v>
      </c>
      <c r="F1343" s="3" t="s">
        <v>39</v>
      </c>
      <c r="G1343" s="3" t="s">
        <v>40</v>
      </c>
      <c r="H1343" s="3" t="s">
        <v>494</v>
      </c>
      <c r="I1343" s="6">
        <v>321.55</v>
      </c>
      <c r="J1343" s="4">
        <v>6</v>
      </c>
      <c r="K1343" s="6">
        <v>20.100000000000001</v>
      </c>
    </row>
    <row r="1344" spans="1:11" x14ac:dyDescent="0.3">
      <c r="A1344" s="7">
        <v>41932</v>
      </c>
      <c r="B1344" s="4">
        <f>YEAR(SalesData[[#This Row],[Order Date]])</f>
        <v>2014</v>
      </c>
      <c r="C1344" s="4">
        <f>MONTH(SalesData[[#This Row],[Order Date]])</f>
        <v>10</v>
      </c>
      <c r="D1344" s="3" t="s">
        <v>373</v>
      </c>
      <c r="E1344" s="3" t="s">
        <v>110</v>
      </c>
      <c r="F1344" s="3" t="s">
        <v>11</v>
      </c>
      <c r="G1344" s="3" t="s">
        <v>18</v>
      </c>
      <c r="H1344" s="3" t="s">
        <v>1374</v>
      </c>
      <c r="I1344" s="6">
        <v>211.96</v>
      </c>
      <c r="J1344" s="4">
        <v>4</v>
      </c>
      <c r="K1344" s="6">
        <v>8.48</v>
      </c>
    </row>
    <row r="1345" spans="1:11" x14ac:dyDescent="0.3">
      <c r="A1345" s="7">
        <v>41932</v>
      </c>
      <c r="B1345" s="4">
        <f>YEAR(SalesData[[#This Row],[Order Date]])</f>
        <v>2014</v>
      </c>
      <c r="C1345" s="4">
        <f>MONTH(SalesData[[#This Row],[Order Date]])</f>
        <v>10</v>
      </c>
      <c r="D1345" s="3" t="s">
        <v>1495</v>
      </c>
      <c r="E1345" s="3" t="s">
        <v>120</v>
      </c>
      <c r="F1345" s="3" t="s">
        <v>34</v>
      </c>
      <c r="G1345" s="3" t="s">
        <v>145</v>
      </c>
      <c r="H1345" s="3" t="s">
        <v>1496</v>
      </c>
      <c r="I1345" s="6">
        <v>328.59</v>
      </c>
      <c r="J1345" s="4">
        <v>3</v>
      </c>
      <c r="K1345" s="6">
        <v>-147.87</v>
      </c>
    </row>
    <row r="1346" spans="1:11" x14ac:dyDescent="0.3">
      <c r="A1346" s="7">
        <v>41932</v>
      </c>
      <c r="B1346" s="4">
        <f>YEAR(SalesData[[#This Row],[Order Date]])</f>
        <v>2014</v>
      </c>
      <c r="C1346" s="4">
        <f>MONTH(SalesData[[#This Row],[Order Date]])</f>
        <v>10</v>
      </c>
      <c r="D1346" s="3" t="s">
        <v>1495</v>
      </c>
      <c r="E1346" s="3" t="s">
        <v>120</v>
      </c>
      <c r="F1346" s="3" t="s">
        <v>11</v>
      </c>
      <c r="G1346" s="3" t="s">
        <v>18</v>
      </c>
      <c r="H1346" s="3" t="s">
        <v>272</v>
      </c>
      <c r="I1346" s="6">
        <v>98.35</v>
      </c>
      <c r="J1346" s="4">
        <v>3</v>
      </c>
      <c r="K1346" s="6">
        <v>-24.59</v>
      </c>
    </row>
    <row r="1347" spans="1:11" x14ac:dyDescent="0.3">
      <c r="A1347" s="7">
        <v>41932</v>
      </c>
      <c r="B1347" s="4">
        <f>YEAR(SalesData[[#This Row],[Order Date]])</f>
        <v>2014</v>
      </c>
      <c r="C1347" s="4">
        <f>MONTH(SalesData[[#This Row],[Order Date]])</f>
        <v>10</v>
      </c>
      <c r="D1347" s="3" t="s">
        <v>1497</v>
      </c>
      <c r="E1347" s="3" t="s">
        <v>15</v>
      </c>
      <c r="F1347" s="3" t="s">
        <v>39</v>
      </c>
      <c r="G1347" s="3" t="s">
        <v>52</v>
      </c>
      <c r="H1347" s="3" t="s">
        <v>731</v>
      </c>
      <c r="I1347" s="6">
        <v>319.97000000000003</v>
      </c>
      <c r="J1347" s="4">
        <v>4</v>
      </c>
      <c r="K1347" s="6">
        <v>71.989999999999995</v>
      </c>
    </row>
    <row r="1348" spans="1:11" x14ac:dyDescent="0.3">
      <c r="A1348" s="7">
        <v>41932</v>
      </c>
      <c r="B1348" s="4">
        <f>YEAR(SalesData[[#This Row],[Order Date]])</f>
        <v>2014</v>
      </c>
      <c r="C1348" s="4">
        <f>MONTH(SalesData[[#This Row],[Order Date]])</f>
        <v>10</v>
      </c>
      <c r="D1348" s="3" t="s">
        <v>1497</v>
      </c>
      <c r="E1348" s="3" t="s">
        <v>15</v>
      </c>
      <c r="F1348" s="3" t="s">
        <v>11</v>
      </c>
      <c r="G1348" s="3" t="s">
        <v>18</v>
      </c>
      <c r="H1348" s="3" t="s">
        <v>1498</v>
      </c>
      <c r="I1348" s="6">
        <v>505.32</v>
      </c>
      <c r="J1348" s="4">
        <v>3</v>
      </c>
      <c r="K1348" s="6">
        <v>31.58</v>
      </c>
    </row>
    <row r="1349" spans="1:11" x14ac:dyDescent="0.3">
      <c r="A1349" s="7">
        <v>41932</v>
      </c>
      <c r="B1349" s="4">
        <f>YEAR(SalesData[[#This Row],[Order Date]])</f>
        <v>2014</v>
      </c>
      <c r="C1349" s="4">
        <f>MONTH(SalesData[[#This Row],[Order Date]])</f>
        <v>10</v>
      </c>
      <c r="D1349" s="3" t="s">
        <v>1497</v>
      </c>
      <c r="E1349" s="3" t="s">
        <v>15</v>
      </c>
      <c r="F1349" s="3" t="s">
        <v>11</v>
      </c>
      <c r="G1349" s="3" t="s">
        <v>12</v>
      </c>
      <c r="H1349" s="3" t="s">
        <v>1499</v>
      </c>
      <c r="I1349" s="6">
        <v>3.81</v>
      </c>
      <c r="J1349" s="4">
        <v>1</v>
      </c>
      <c r="K1349" s="6">
        <v>1.24</v>
      </c>
    </row>
    <row r="1350" spans="1:11" x14ac:dyDescent="0.3">
      <c r="A1350" s="7">
        <v>41932</v>
      </c>
      <c r="B1350" s="4">
        <f>YEAR(SalesData[[#This Row],[Order Date]])</f>
        <v>2014</v>
      </c>
      <c r="C1350" s="4">
        <f>MONTH(SalesData[[#This Row],[Order Date]])</f>
        <v>10</v>
      </c>
      <c r="D1350" s="3" t="s">
        <v>1497</v>
      </c>
      <c r="E1350" s="3" t="s">
        <v>15</v>
      </c>
      <c r="F1350" s="3" t="s">
        <v>11</v>
      </c>
      <c r="G1350" s="3" t="s">
        <v>20</v>
      </c>
      <c r="H1350" s="3" t="s">
        <v>1139</v>
      </c>
      <c r="I1350" s="6">
        <v>8.68</v>
      </c>
      <c r="J1350" s="4">
        <v>1</v>
      </c>
      <c r="K1350" s="6">
        <v>-14.76</v>
      </c>
    </row>
    <row r="1351" spans="1:11" x14ac:dyDescent="0.3">
      <c r="A1351" s="7">
        <v>41932</v>
      </c>
      <c r="B1351" s="4">
        <f>YEAR(SalesData[[#This Row],[Order Date]])</f>
        <v>2014</v>
      </c>
      <c r="C1351" s="4">
        <f>MONTH(SalesData[[#This Row],[Order Date]])</f>
        <v>10</v>
      </c>
      <c r="D1351" s="3" t="s">
        <v>1497</v>
      </c>
      <c r="E1351" s="3" t="s">
        <v>15</v>
      </c>
      <c r="F1351" s="3" t="s">
        <v>11</v>
      </c>
      <c r="G1351" s="3" t="s">
        <v>16</v>
      </c>
      <c r="H1351" s="3" t="s">
        <v>1500</v>
      </c>
      <c r="I1351" s="6">
        <v>24.42</v>
      </c>
      <c r="J1351" s="4">
        <v>1</v>
      </c>
      <c r="K1351" s="6">
        <v>7.94</v>
      </c>
    </row>
    <row r="1352" spans="1:11" x14ac:dyDescent="0.3">
      <c r="A1352" s="7">
        <v>41933</v>
      </c>
      <c r="B1352" s="4">
        <f>YEAR(SalesData[[#This Row],[Order Date]])</f>
        <v>2014</v>
      </c>
      <c r="C1352" s="4">
        <f>MONTH(SalesData[[#This Row],[Order Date]])</f>
        <v>10</v>
      </c>
      <c r="D1352" s="3" t="s">
        <v>1477</v>
      </c>
      <c r="E1352" s="3" t="s">
        <v>78</v>
      </c>
      <c r="F1352" s="3" t="s">
        <v>11</v>
      </c>
      <c r="G1352" s="3" t="s">
        <v>92</v>
      </c>
      <c r="H1352" s="3" t="s">
        <v>1080</v>
      </c>
      <c r="I1352" s="6">
        <v>121.79</v>
      </c>
      <c r="J1352" s="4">
        <v>4</v>
      </c>
      <c r="K1352" s="6">
        <v>13.7</v>
      </c>
    </row>
    <row r="1353" spans="1:11" x14ac:dyDescent="0.3">
      <c r="A1353" s="7">
        <v>41933</v>
      </c>
      <c r="B1353" s="4">
        <f>YEAR(SalesData[[#This Row],[Order Date]])</f>
        <v>2014</v>
      </c>
      <c r="C1353" s="4">
        <f>MONTH(SalesData[[#This Row],[Order Date]])</f>
        <v>10</v>
      </c>
      <c r="D1353" s="3" t="s">
        <v>1477</v>
      </c>
      <c r="E1353" s="3" t="s">
        <v>78</v>
      </c>
      <c r="F1353" s="3" t="s">
        <v>34</v>
      </c>
      <c r="G1353" s="3" t="s">
        <v>145</v>
      </c>
      <c r="H1353" s="3" t="s">
        <v>1501</v>
      </c>
      <c r="I1353" s="6">
        <v>409.59</v>
      </c>
      <c r="J1353" s="4">
        <v>3</v>
      </c>
      <c r="K1353" s="6">
        <v>-122.88</v>
      </c>
    </row>
    <row r="1354" spans="1:11" x14ac:dyDescent="0.3">
      <c r="A1354" s="7">
        <v>41933</v>
      </c>
      <c r="B1354" s="4">
        <f>YEAR(SalesData[[#This Row],[Order Date]])</f>
        <v>2014</v>
      </c>
      <c r="C1354" s="4">
        <f>MONTH(SalesData[[#This Row],[Order Date]])</f>
        <v>10</v>
      </c>
      <c r="D1354" s="3" t="s">
        <v>1502</v>
      </c>
      <c r="E1354" s="3" t="s">
        <v>27</v>
      </c>
      <c r="F1354" s="3" t="s">
        <v>11</v>
      </c>
      <c r="G1354" s="3" t="s">
        <v>20</v>
      </c>
      <c r="H1354" s="3" t="s">
        <v>1503</v>
      </c>
      <c r="I1354" s="6">
        <v>36.36</v>
      </c>
      <c r="J1354" s="4">
        <v>3</v>
      </c>
      <c r="K1354" s="6">
        <v>12.27</v>
      </c>
    </row>
    <row r="1355" spans="1:11" x14ac:dyDescent="0.3">
      <c r="A1355" s="7">
        <v>41933</v>
      </c>
      <c r="B1355" s="4">
        <f>YEAR(SalesData[[#This Row],[Order Date]])</f>
        <v>2014</v>
      </c>
      <c r="C1355" s="4">
        <f>MONTH(SalesData[[#This Row],[Order Date]])</f>
        <v>10</v>
      </c>
      <c r="D1355" s="3" t="s">
        <v>483</v>
      </c>
      <c r="E1355" s="3" t="s">
        <v>55</v>
      </c>
      <c r="F1355" s="3" t="s">
        <v>11</v>
      </c>
      <c r="G1355" s="3" t="s">
        <v>18</v>
      </c>
      <c r="H1355" s="3" t="s">
        <v>1482</v>
      </c>
      <c r="I1355" s="6">
        <v>194.7</v>
      </c>
      <c r="J1355" s="4">
        <v>5</v>
      </c>
      <c r="K1355" s="6">
        <v>9.74</v>
      </c>
    </row>
    <row r="1356" spans="1:11" x14ac:dyDescent="0.3">
      <c r="A1356" s="7">
        <v>41933</v>
      </c>
      <c r="B1356" s="4">
        <f>YEAR(SalesData[[#This Row],[Order Date]])</f>
        <v>2014</v>
      </c>
      <c r="C1356" s="4">
        <f>MONTH(SalesData[[#This Row],[Order Date]])</f>
        <v>10</v>
      </c>
      <c r="D1356" s="3" t="s">
        <v>483</v>
      </c>
      <c r="E1356" s="3" t="s">
        <v>55</v>
      </c>
      <c r="F1356" s="3" t="s">
        <v>34</v>
      </c>
      <c r="G1356" s="3" t="s">
        <v>145</v>
      </c>
      <c r="H1356" s="3" t="s">
        <v>1333</v>
      </c>
      <c r="I1356" s="6">
        <v>591.32000000000005</v>
      </c>
      <c r="J1356" s="4">
        <v>4</v>
      </c>
      <c r="K1356" s="6">
        <v>112.35</v>
      </c>
    </row>
    <row r="1357" spans="1:11" x14ac:dyDescent="0.3">
      <c r="A1357" s="7">
        <v>41933</v>
      </c>
      <c r="B1357" s="4">
        <f>YEAR(SalesData[[#This Row],[Order Date]])</f>
        <v>2014</v>
      </c>
      <c r="C1357" s="4">
        <f>MONTH(SalesData[[#This Row],[Order Date]])</f>
        <v>10</v>
      </c>
      <c r="D1357" s="3" t="s">
        <v>483</v>
      </c>
      <c r="E1357" s="3" t="s">
        <v>55</v>
      </c>
      <c r="F1357" s="3" t="s">
        <v>11</v>
      </c>
      <c r="G1357" s="3" t="s">
        <v>24</v>
      </c>
      <c r="H1357" s="3" t="s">
        <v>1504</v>
      </c>
      <c r="I1357" s="6">
        <v>2.84</v>
      </c>
      <c r="J1357" s="4">
        <v>1</v>
      </c>
      <c r="K1357" s="6">
        <v>0.88</v>
      </c>
    </row>
    <row r="1358" spans="1:11" x14ac:dyDescent="0.3">
      <c r="A1358" s="7">
        <v>41934</v>
      </c>
      <c r="B1358" s="4">
        <f>YEAR(SalesData[[#This Row],[Order Date]])</f>
        <v>2014</v>
      </c>
      <c r="C1358" s="4">
        <f>MONTH(SalesData[[#This Row],[Order Date]])</f>
        <v>10</v>
      </c>
      <c r="D1358" s="3" t="s">
        <v>1505</v>
      </c>
      <c r="E1358" s="3" t="s">
        <v>78</v>
      </c>
      <c r="F1358" s="3" t="s">
        <v>34</v>
      </c>
      <c r="G1358" s="3" t="s">
        <v>47</v>
      </c>
      <c r="H1358" s="3" t="s">
        <v>1406</v>
      </c>
      <c r="I1358" s="6">
        <v>93.89</v>
      </c>
      <c r="J1358" s="4">
        <v>4</v>
      </c>
      <c r="K1358" s="6">
        <v>12.91</v>
      </c>
    </row>
    <row r="1359" spans="1:11" x14ac:dyDescent="0.3">
      <c r="A1359" s="7">
        <v>41934</v>
      </c>
      <c r="B1359" s="4">
        <f>YEAR(SalesData[[#This Row],[Order Date]])</f>
        <v>2014</v>
      </c>
      <c r="C1359" s="4">
        <f>MONTH(SalesData[[#This Row],[Order Date]])</f>
        <v>10</v>
      </c>
      <c r="D1359" s="3" t="s">
        <v>1381</v>
      </c>
      <c r="E1359" s="3" t="s">
        <v>62</v>
      </c>
      <c r="F1359" s="3" t="s">
        <v>34</v>
      </c>
      <c r="G1359" s="3" t="s">
        <v>47</v>
      </c>
      <c r="H1359" s="3" t="s">
        <v>1506</v>
      </c>
      <c r="I1359" s="6">
        <v>129.91999999999999</v>
      </c>
      <c r="J1359" s="4">
        <v>4</v>
      </c>
      <c r="K1359" s="6">
        <v>10.39</v>
      </c>
    </row>
    <row r="1360" spans="1:11" x14ac:dyDescent="0.3">
      <c r="A1360" s="7">
        <v>41936</v>
      </c>
      <c r="B1360" s="4">
        <f>YEAR(SalesData[[#This Row],[Order Date]])</f>
        <v>2014</v>
      </c>
      <c r="C1360" s="4">
        <f>MONTH(SalesData[[#This Row],[Order Date]])</f>
        <v>10</v>
      </c>
      <c r="D1360" s="3" t="s">
        <v>1507</v>
      </c>
      <c r="E1360" s="3" t="s">
        <v>123</v>
      </c>
      <c r="F1360" s="3" t="s">
        <v>11</v>
      </c>
      <c r="G1360" s="3" t="s">
        <v>12</v>
      </c>
      <c r="H1360" s="3" t="s">
        <v>1264</v>
      </c>
      <c r="I1360" s="6">
        <v>10.37</v>
      </c>
      <c r="J1360" s="4">
        <v>2</v>
      </c>
      <c r="K1360" s="6">
        <v>3.63</v>
      </c>
    </row>
    <row r="1361" spans="1:11" x14ac:dyDescent="0.3">
      <c r="A1361" s="7">
        <v>41936</v>
      </c>
      <c r="B1361" s="4">
        <f>YEAR(SalesData[[#This Row],[Order Date]])</f>
        <v>2014</v>
      </c>
      <c r="C1361" s="4">
        <f>MONTH(SalesData[[#This Row],[Order Date]])</f>
        <v>10</v>
      </c>
      <c r="D1361" s="3" t="s">
        <v>554</v>
      </c>
      <c r="E1361" s="3" t="s">
        <v>27</v>
      </c>
      <c r="F1361" s="3" t="s">
        <v>11</v>
      </c>
      <c r="G1361" s="3" t="s">
        <v>20</v>
      </c>
      <c r="H1361" s="3" t="s">
        <v>819</v>
      </c>
      <c r="I1361" s="6">
        <v>34.270000000000003</v>
      </c>
      <c r="J1361" s="4">
        <v>3</v>
      </c>
      <c r="K1361" s="6">
        <v>11.14</v>
      </c>
    </row>
    <row r="1362" spans="1:11" x14ac:dyDescent="0.3">
      <c r="A1362" s="7">
        <v>41936</v>
      </c>
      <c r="B1362" s="4">
        <f>YEAR(SalesData[[#This Row],[Order Date]])</f>
        <v>2014</v>
      </c>
      <c r="C1362" s="4">
        <f>MONTH(SalesData[[#This Row],[Order Date]])</f>
        <v>10</v>
      </c>
      <c r="D1362" s="3" t="s">
        <v>1152</v>
      </c>
      <c r="E1362" s="3" t="s">
        <v>70</v>
      </c>
      <c r="F1362" s="3" t="s">
        <v>11</v>
      </c>
      <c r="G1362" s="3" t="s">
        <v>43</v>
      </c>
      <c r="H1362" s="3" t="s">
        <v>1508</v>
      </c>
      <c r="I1362" s="6">
        <v>11.85</v>
      </c>
      <c r="J1362" s="4">
        <v>3</v>
      </c>
      <c r="K1362" s="6">
        <v>3.79</v>
      </c>
    </row>
    <row r="1363" spans="1:11" x14ac:dyDescent="0.3">
      <c r="A1363" s="7">
        <v>41937</v>
      </c>
      <c r="B1363" s="4">
        <f>YEAR(SalesData[[#This Row],[Order Date]])</f>
        <v>2014</v>
      </c>
      <c r="C1363" s="4">
        <f>MONTH(SalesData[[#This Row],[Order Date]])</f>
        <v>10</v>
      </c>
      <c r="D1363" s="3" t="s">
        <v>558</v>
      </c>
      <c r="E1363" s="3" t="s">
        <v>27</v>
      </c>
      <c r="F1363" s="3" t="s">
        <v>11</v>
      </c>
      <c r="G1363" s="3" t="s">
        <v>20</v>
      </c>
      <c r="H1363" s="3" t="s">
        <v>1509</v>
      </c>
      <c r="I1363" s="6">
        <v>49.41</v>
      </c>
      <c r="J1363" s="4">
        <v>4</v>
      </c>
      <c r="K1363" s="6">
        <v>18.53</v>
      </c>
    </row>
    <row r="1364" spans="1:11" x14ac:dyDescent="0.3">
      <c r="A1364" s="7">
        <v>41937</v>
      </c>
      <c r="B1364" s="4">
        <f>YEAR(SalesData[[#This Row],[Order Date]])</f>
        <v>2014</v>
      </c>
      <c r="C1364" s="4">
        <f>MONTH(SalesData[[#This Row],[Order Date]])</f>
        <v>10</v>
      </c>
      <c r="D1364" s="3" t="s">
        <v>702</v>
      </c>
      <c r="E1364" s="3" t="s">
        <v>23</v>
      </c>
      <c r="F1364" s="3" t="s">
        <v>39</v>
      </c>
      <c r="G1364" s="3" t="s">
        <v>52</v>
      </c>
      <c r="H1364" s="3" t="s">
        <v>1510</v>
      </c>
      <c r="I1364" s="6">
        <v>40.78</v>
      </c>
      <c r="J1364" s="4">
        <v>3</v>
      </c>
      <c r="K1364" s="6">
        <v>0.51</v>
      </c>
    </row>
    <row r="1365" spans="1:11" x14ac:dyDescent="0.3">
      <c r="A1365" s="7">
        <v>41937</v>
      </c>
      <c r="B1365" s="4">
        <f>YEAR(SalesData[[#This Row],[Order Date]])</f>
        <v>2014</v>
      </c>
      <c r="C1365" s="4">
        <f>MONTH(SalesData[[#This Row],[Order Date]])</f>
        <v>10</v>
      </c>
      <c r="D1365" s="3" t="s">
        <v>702</v>
      </c>
      <c r="E1365" s="3" t="s">
        <v>23</v>
      </c>
      <c r="F1365" s="3" t="s">
        <v>11</v>
      </c>
      <c r="G1365" s="3" t="s">
        <v>20</v>
      </c>
      <c r="H1365" s="3" t="s">
        <v>330</v>
      </c>
      <c r="I1365" s="6">
        <v>13.7</v>
      </c>
      <c r="J1365" s="4">
        <v>3</v>
      </c>
      <c r="K1365" s="6">
        <v>-9.59</v>
      </c>
    </row>
    <row r="1366" spans="1:11" x14ac:dyDescent="0.3">
      <c r="A1366" s="7">
        <v>41938</v>
      </c>
      <c r="B1366" s="4">
        <f>YEAR(SalesData[[#This Row],[Order Date]])</f>
        <v>2014</v>
      </c>
      <c r="C1366" s="4">
        <f>MONTH(SalesData[[#This Row],[Order Date]])</f>
        <v>10</v>
      </c>
      <c r="D1366" s="3" t="s">
        <v>1511</v>
      </c>
      <c r="E1366" s="3" t="s">
        <v>164</v>
      </c>
      <c r="F1366" s="3" t="s">
        <v>34</v>
      </c>
      <c r="G1366" s="3" t="s">
        <v>47</v>
      </c>
      <c r="H1366" s="3" t="s">
        <v>1512</v>
      </c>
      <c r="I1366" s="6">
        <v>63.92</v>
      </c>
      <c r="J1366" s="4">
        <v>4</v>
      </c>
      <c r="K1366" s="6">
        <v>3.2</v>
      </c>
    </row>
    <row r="1367" spans="1:11" x14ac:dyDescent="0.3">
      <c r="A1367" s="7">
        <v>41938</v>
      </c>
      <c r="B1367" s="4">
        <f>YEAR(SalesData[[#This Row],[Order Date]])</f>
        <v>2014</v>
      </c>
      <c r="C1367" s="4">
        <f>MONTH(SalesData[[#This Row],[Order Date]])</f>
        <v>10</v>
      </c>
      <c r="D1367" s="3" t="s">
        <v>1511</v>
      </c>
      <c r="E1367" s="3" t="s">
        <v>164</v>
      </c>
      <c r="F1367" s="3" t="s">
        <v>39</v>
      </c>
      <c r="G1367" s="3" t="s">
        <v>40</v>
      </c>
      <c r="H1367" s="3" t="s">
        <v>1306</v>
      </c>
      <c r="I1367" s="6">
        <v>383.96</v>
      </c>
      <c r="J1367" s="4">
        <v>5</v>
      </c>
      <c r="K1367" s="6">
        <v>38.4</v>
      </c>
    </row>
    <row r="1368" spans="1:11" x14ac:dyDescent="0.3">
      <c r="A1368" s="7">
        <v>41939</v>
      </c>
      <c r="B1368" s="4">
        <f>YEAR(SalesData[[#This Row],[Order Date]])</f>
        <v>2014</v>
      </c>
      <c r="C1368" s="4">
        <f>MONTH(SalesData[[#This Row],[Order Date]])</f>
        <v>10</v>
      </c>
      <c r="D1368" s="3" t="s">
        <v>1513</v>
      </c>
      <c r="E1368" s="3" t="s">
        <v>245</v>
      </c>
      <c r="F1368" s="3" t="s">
        <v>11</v>
      </c>
      <c r="G1368" s="3" t="s">
        <v>12</v>
      </c>
      <c r="H1368" s="3" t="s">
        <v>836</v>
      </c>
      <c r="I1368" s="6">
        <v>10.37</v>
      </c>
      <c r="J1368" s="4">
        <v>2</v>
      </c>
      <c r="K1368" s="6">
        <v>3.63</v>
      </c>
    </row>
    <row r="1369" spans="1:11" x14ac:dyDescent="0.3">
      <c r="A1369" s="7">
        <v>41939</v>
      </c>
      <c r="B1369" s="4">
        <f>YEAR(SalesData[[#This Row],[Order Date]])</f>
        <v>2014</v>
      </c>
      <c r="C1369" s="4">
        <f>MONTH(SalesData[[#This Row],[Order Date]])</f>
        <v>10</v>
      </c>
      <c r="D1369" s="3" t="s">
        <v>1513</v>
      </c>
      <c r="E1369" s="3" t="s">
        <v>245</v>
      </c>
      <c r="F1369" s="3" t="s">
        <v>11</v>
      </c>
      <c r="G1369" s="3" t="s">
        <v>12</v>
      </c>
      <c r="H1369" s="3" t="s">
        <v>625</v>
      </c>
      <c r="I1369" s="6">
        <v>11.95</v>
      </c>
      <c r="J1369" s="4">
        <v>3</v>
      </c>
      <c r="K1369" s="6">
        <v>4.03</v>
      </c>
    </row>
    <row r="1370" spans="1:11" x14ac:dyDescent="0.3">
      <c r="A1370" s="7">
        <v>41940</v>
      </c>
      <c r="B1370" s="4">
        <f>YEAR(SalesData[[#This Row],[Order Date]])</f>
        <v>2014</v>
      </c>
      <c r="C1370" s="4">
        <f>MONTH(SalesData[[#This Row],[Order Date]])</f>
        <v>10</v>
      </c>
      <c r="D1370" s="3" t="s">
        <v>1514</v>
      </c>
      <c r="E1370" s="3" t="s">
        <v>27</v>
      </c>
      <c r="F1370" s="3" t="s">
        <v>11</v>
      </c>
      <c r="G1370" s="3" t="s">
        <v>20</v>
      </c>
      <c r="H1370" s="3" t="s">
        <v>451</v>
      </c>
      <c r="I1370" s="6">
        <v>7.18</v>
      </c>
      <c r="J1370" s="4">
        <v>2</v>
      </c>
      <c r="K1370" s="6">
        <v>2.25</v>
      </c>
    </row>
    <row r="1371" spans="1:11" x14ac:dyDescent="0.3">
      <c r="A1371" s="7">
        <v>41940</v>
      </c>
      <c r="B1371" s="4">
        <f>YEAR(SalesData[[#This Row],[Order Date]])</f>
        <v>2014</v>
      </c>
      <c r="C1371" s="4">
        <f>MONTH(SalesData[[#This Row],[Order Date]])</f>
        <v>10</v>
      </c>
      <c r="D1371" s="3" t="s">
        <v>1514</v>
      </c>
      <c r="E1371" s="3" t="s">
        <v>27</v>
      </c>
      <c r="F1371" s="3" t="s">
        <v>11</v>
      </c>
      <c r="G1371" s="3" t="s">
        <v>200</v>
      </c>
      <c r="H1371" s="3" t="s">
        <v>1515</v>
      </c>
      <c r="I1371" s="6">
        <v>6.28</v>
      </c>
      <c r="J1371" s="4">
        <v>2</v>
      </c>
      <c r="K1371" s="6">
        <v>0.06</v>
      </c>
    </row>
    <row r="1372" spans="1:11" x14ac:dyDescent="0.3">
      <c r="A1372" s="7">
        <v>41940</v>
      </c>
      <c r="B1372" s="4">
        <f>YEAR(SalesData[[#This Row],[Order Date]])</f>
        <v>2014</v>
      </c>
      <c r="C1372" s="4">
        <f>MONTH(SalesData[[#This Row],[Order Date]])</f>
        <v>10</v>
      </c>
      <c r="D1372" s="3" t="s">
        <v>1514</v>
      </c>
      <c r="E1372" s="3" t="s">
        <v>27</v>
      </c>
      <c r="F1372" s="3" t="s">
        <v>11</v>
      </c>
      <c r="G1372" s="3" t="s">
        <v>200</v>
      </c>
      <c r="H1372" s="3" t="s">
        <v>1516</v>
      </c>
      <c r="I1372" s="6">
        <v>480.74</v>
      </c>
      <c r="J1372" s="4">
        <v>2</v>
      </c>
      <c r="K1372" s="6">
        <v>14.42</v>
      </c>
    </row>
    <row r="1373" spans="1:11" x14ac:dyDescent="0.3">
      <c r="A1373" s="7">
        <v>41940</v>
      </c>
      <c r="B1373" s="4">
        <f>YEAR(SalesData[[#This Row],[Order Date]])</f>
        <v>2014</v>
      </c>
      <c r="C1373" s="4">
        <f>MONTH(SalesData[[#This Row],[Order Date]])</f>
        <v>10</v>
      </c>
      <c r="D1373" s="3" t="s">
        <v>1514</v>
      </c>
      <c r="E1373" s="3" t="s">
        <v>27</v>
      </c>
      <c r="F1373" s="3" t="s">
        <v>34</v>
      </c>
      <c r="G1373" s="3" t="s">
        <v>74</v>
      </c>
      <c r="H1373" s="3" t="s">
        <v>412</v>
      </c>
      <c r="I1373" s="6">
        <v>617</v>
      </c>
      <c r="J1373" s="4">
        <v>6</v>
      </c>
      <c r="K1373" s="6">
        <v>-36.29</v>
      </c>
    </row>
    <row r="1374" spans="1:11" x14ac:dyDescent="0.3">
      <c r="A1374" s="7">
        <v>41940</v>
      </c>
      <c r="B1374" s="4">
        <f>YEAR(SalesData[[#This Row],[Order Date]])</f>
        <v>2014</v>
      </c>
      <c r="C1374" s="4">
        <f>MONTH(SalesData[[#This Row],[Order Date]])</f>
        <v>10</v>
      </c>
      <c r="D1374" s="3" t="s">
        <v>1514</v>
      </c>
      <c r="E1374" s="3" t="s">
        <v>27</v>
      </c>
      <c r="F1374" s="3" t="s">
        <v>11</v>
      </c>
      <c r="G1374" s="3" t="s">
        <v>18</v>
      </c>
      <c r="H1374" s="3" t="s">
        <v>623</v>
      </c>
      <c r="I1374" s="6">
        <v>141.4</v>
      </c>
      <c r="J1374" s="4">
        <v>5</v>
      </c>
      <c r="K1374" s="6">
        <v>38.18</v>
      </c>
    </row>
    <row r="1375" spans="1:11" x14ac:dyDescent="0.3">
      <c r="A1375" s="7">
        <v>41940</v>
      </c>
      <c r="B1375" s="4">
        <f>YEAR(SalesData[[#This Row],[Order Date]])</f>
        <v>2014</v>
      </c>
      <c r="C1375" s="4">
        <f>MONTH(SalesData[[#This Row],[Order Date]])</f>
        <v>10</v>
      </c>
      <c r="D1375" s="3" t="s">
        <v>1517</v>
      </c>
      <c r="E1375" s="3" t="s">
        <v>1283</v>
      </c>
      <c r="F1375" s="3" t="s">
        <v>39</v>
      </c>
      <c r="G1375" s="3" t="s">
        <v>40</v>
      </c>
      <c r="H1375" s="3" t="s">
        <v>1518</v>
      </c>
      <c r="I1375" s="6">
        <v>257.98</v>
      </c>
      <c r="J1375" s="4">
        <v>2</v>
      </c>
      <c r="K1375" s="6">
        <v>74.81</v>
      </c>
    </row>
    <row r="1376" spans="1:11" x14ac:dyDescent="0.3">
      <c r="A1376" s="7">
        <v>41941</v>
      </c>
      <c r="B1376" s="4">
        <f>YEAR(SalesData[[#This Row],[Order Date]])</f>
        <v>2014</v>
      </c>
      <c r="C1376" s="4">
        <f>MONTH(SalesData[[#This Row],[Order Date]])</f>
        <v>10</v>
      </c>
      <c r="D1376" s="3" t="s">
        <v>218</v>
      </c>
      <c r="E1376" s="3" t="s">
        <v>15</v>
      </c>
      <c r="F1376" s="3" t="s">
        <v>39</v>
      </c>
      <c r="G1376" s="3" t="s">
        <v>40</v>
      </c>
      <c r="H1376" s="3" t="s">
        <v>1018</v>
      </c>
      <c r="I1376" s="6">
        <v>2735.95</v>
      </c>
      <c r="J1376" s="4">
        <v>6</v>
      </c>
      <c r="K1376" s="6">
        <v>341.99</v>
      </c>
    </row>
    <row r="1377" spans="1:11" x14ac:dyDescent="0.3">
      <c r="A1377" s="7">
        <v>41941</v>
      </c>
      <c r="B1377" s="4">
        <f>YEAR(SalesData[[#This Row],[Order Date]])</f>
        <v>2014</v>
      </c>
      <c r="C1377" s="4">
        <f>MONTH(SalesData[[#This Row],[Order Date]])</f>
        <v>10</v>
      </c>
      <c r="D1377" s="3" t="s">
        <v>1519</v>
      </c>
      <c r="E1377" s="3" t="s">
        <v>129</v>
      </c>
      <c r="F1377" s="3" t="s">
        <v>39</v>
      </c>
      <c r="G1377" s="3" t="s">
        <v>52</v>
      </c>
      <c r="H1377" s="3" t="s">
        <v>1520</v>
      </c>
      <c r="I1377" s="6">
        <v>1.98</v>
      </c>
      <c r="J1377" s="4">
        <v>2</v>
      </c>
      <c r="K1377" s="6">
        <v>0.89</v>
      </c>
    </row>
    <row r="1378" spans="1:11" x14ac:dyDescent="0.3">
      <c r="A1378" s="7">
        <v>41941</v>
      </c>
      <c r="B1378" s="4">
        <f>YEAR(SalesData[[#This Row],[Order Date]])</f>
        <v>2014</v>
      </c>
      <c r="C1378" s="4">
        <f>MONTH(SalesData[[#This Row],[Order Date]])</f>
        <v>10</v>
      </c>
      <c r="D1378" s="3" t="s">
        <v>1519</v>
      </c>
      <c r="E1378" s="3" t="s">
        <v>129</v>
      </c>
      <c r="F1378" s="3" t="s">
        <v>11</v>
      </c>
      <c r="G1378" s="3" t="s">
        <v>12</v>
      </c>
      <c r="H1378" s="3" t="s">
        <v>1255</v>
      </c>
      <c r="I1378" s="6">
        <v>75.88</v>
      </c>
      <c r="J1378" s="4">
        <v>2</v>
      </c>
      <c r="K1378" s="6">
        <v>35.659999999999997</v>
      </c>
    </row>
    <row r="1379" spans="1:11" x14ac:dyDescent="0.3">
      <c r="A1379" s="7">
        <v>41943</v>
      </c>
      <c r="B1379" s="4">
        <f>YEAR(SalesData[[#This Row],[Order Date]])</f>
        <v>2014</v>
      </c>
      <c r="C1379" s="4">
        <f>MONTH(SalesData[[#This Row],[Order Date]])</f>
        <v>10</v>
      </c>
      <c r="D1379" s="3" t="s">
        <v>1521</v>
      </c>
      <c r="E1379" s="3" t="s">
        <v>27</v>
      </c>
      <c r="F1379" s="3" t="s">
        <v>11</v>
      </c>
      <c r="G1379" s="3" t="s">
        <v>43</v>
      </c>
      <c r="H1379" s="3" t="s">
        <v>160</v>
      </c>
      <c r="I1379" s="6">
        <v>11.34</v>
      </c>
      <c r="J1379" s="4">
        <v>3</v>
      </c>
      <c r="K1379" s="6">
        <v>5.22</v>
      </c>
    </row>
    <row r="1380" spans="1:11" x14ac:dyDescent="0.3">
      <c r="A1380" s="7">
        <v>41943</v>
      </c>
      <c r="B1380" s="4">
        <f>YEAR(SalesData[[#This Row],[Order Date]])</f>
        <v>2014</v>
      </c>
      <c r="C1380" s="4">
        <f>MONTH(SalesData[[#This Row],[Order Date]])</f>
        <v>10</v>
      </c>
      <c r="D1380" s="3" t="s">
        <v>1521</v>
      </c>
      <c r="E1380" s="3" t="s">
        <v>27</v>
      </c>
      <c r="F1380" s="3" t="s">
        <v>11</v>
      </c>
      <c r="G1380" s="3" t="s">
        <v>18</v>
      </c>
      <c r="H1380" s="3" t="s">
        <v>1522</v>
      </c>
      <c r="I1380" s="6">
        <v>80.3</v>
      </c>
      <c r="J1380" s="4">
        <v>5</v>
      </c>
      <c r="K1380" s="6">
        <v>20.88</v>
      </c>
    </row>
    <row r="1381" spans="1:11" x14ac:dyDescent="0.3">
      <c r="A1381" s="7">
        <v>41943</v>
      </c>
      <c r="B1381" s="4">
        <f>YEAR(SalesData[[#This Row],[Order Date]])</f>
        <v>2014</v>
      </c>
      <c r="C1381" s="4">
        <f>MONTH(SalesData[[#This Row],[Order Date]])</f>
        <v>10</v>
      </c>
      <c r="D1381" s="3" t="s">
        <v>1521</v>
      </c>
      <c r="E1381" s="3" t="s">
        <v>27</v>
      </c>
      <c r="F1381" s="3" t="s">
        <v>11</v>
      </c>
      <c r="G1381" s="3" t="s">
        <v>20</v>
      </c>
      <c r="H1381" s="3" t="s">
        <v>1523</v>
      </c>
      <c r="I1381" s="6">
        <v>15.97</v>
      </c>
      <c r="J1381" s="4">
        <v>2</v>
      </c>
      <c r="K1381" s="6">
        <v>5.39</v>
      </c>
    </row>
    <row r="1382" spans="1:11" x14ac:dyDescent="0.3">
      <c r="A1382" s="7">
        <v>41943</v>
      </c>
      <c r="B1382" s="4">
        <f>YEAR(SalesData[[#This Row],[Order Date]])</f>
        <v>2014</v>
      </c>
      <c r="C1382" s="4">
        <f>MONTH(SalesData[[#This Row],[Order Date]])</f>
        <v>10</v>
      </c>
      <c r="D1382" s="3" t="s">
        <v>1521</v>
      </c>
      <c r="E1382" s="3" t="s">
        <v>27</v>
      </c>
      <c r="F1382" s="3" t="s">
        <v>11</v>
      </c>
      <c r="G1382" s="3" t="s">
        <v>12</v>
      </c>
      <c r="H1382" s="3" t="s">
        <v>1524</v>
      </c>
      <c r="I1382" s="6">
        <v>64.739999999999995</v>
      </c>
      <c r="J1382" s="4">
        <v>13</v>
      </c>
      <c r="K1382" s="6">
        <v>30.43</v>
      </c>
    </row>
    <row r="1383" spans="1:11" x14ac:dyDescent="0.3">
      <c r="A1383" s="7">
        <v>41943</v>
      </c>
      <c r="B1383" s="4">
        <f>YEAR(SalesData[[#This Row],[Order Date]])</f>
        <v>2014</v>
      </c>
      <c r="C1383" s="4">
        <f>MONTH(SalesData[[#This Row],[Order Date]])</f>
        <v>10</v>
      </c>
      <c r="D1383" s="3" t="s">
        <v>1521</v>
      </c>
      <c r="E1383" s="3" t="s">
        <v>27</v>
      </c>
      <c r="F1383" s="3" t="s">
        <v>11</v>
      </c>
      <c r="G1383" s="3" t="s">
        <v>20</v>
      </c>
      <c r="H1383" s="3" t="s">
        <v>467</v>
      </c>
      <c r="I1383" s="6">
        <v>19.3</v>
      </c>
      <c r="J1383" s="4">
        <v>3</v>
      </c>
      <c r="K1383" s="6">
        <v>6.03</v>
      </c>
    </row>
    <row r="1384" spans="1:11" x14ac:dyDescent="0.3">
      <c r="A1384" s="7">
        <v>41943</v>
      </c>
      <c r="B1384" s="4">
        <f>YEAR(SalesData[[#This Row],[Order Date]])</f>
        <v>2014</v>
      </c>
      <c r="C1384" s="4">
        <f>MONTH(SalesData[[#This Row],[Order Date]])</f>
        <v>10</v>
      </c>
      <c r="D1384" s="3" t="s">
        <v>1521</v>
      </c>
      <c r="E1384" s="3" t="s">
        <v>27</v>
      </c>
      <c r="F1384" s="3" t="s">
        <v>11</v>
      </c>
      <c r="G1384" s="3" t="s">
        <v>18</v>
      </c>
      <c r="H1384" s="3" t="s">
        <v>1525</v>
      </c>
      <c r="I1384" s="6">
        <v>405.64</v>
      </c>
      <c r="J1384" s="4">
        <v>4</v>
      </c>
      <c r="K1384" s="6">
        <v>12.17</v>
      </c>
    </row>
    <row r="1385" spans="1:11" x14ac:dyDescent="0.3">
      <c r="A1385" s="7">
        <v>41943</v>
      </c>
      <c r="B1385" s="4">
        <f>YEAR(SalesData[[#This Row],[Order Date]])</f>
        <v>2014</v>
      </c>
      <c r="C1385" s="4">
        <f>MONTH(SalesData[[#This Row],[Order Date]])</f>
        <v>10</v>
      </c>
      <c r="D1385" s="3" t="s">
        <v>1521</v>
      </c>
      <c r="E1385" s="3" t="s">
        <v>27</v>
      </c>
      <c r="F1385" s="3" t="s">
        <v>34</v>
      </c>
      <c r="G1385" s="3" t="s">
        <v>35</v>
      </c>
      <c r="H1385" s="3" t="s">
        <v>1128</v>
      </c>
      <c r="I1385" s="6">
        <v>146.35</v>
      </c>
      <c r="J1385" s="4">
        <v>3</v>
      </c>
      <c r="K1385" s="6">
        <v>-9.15</v>
      </c>
    </row>
    <row r="1386" spans="1:11" x14ac:dyDescent="0.3">
      <c r="A1386" s="7">
        <v>41943</v>
      </c>
      <c r="B1386" s="4">
        <f>YEAR(SalesData[[#This Row],[Order Date]])</f>
        <v>2014</v>
      </c>
      <c r="C1386" s="4">
        <f>MONTH(SalesData[[#This Row],[Order Date]])</f>
        <v>10</v>
      </c>
      <c r="D1386" s="3" t="s">
        <v>1521</v>
      </c>
      <c r="E1386" s="3" t="s">
        <v>27</v>
      </c>
      <c r="F1386" s="3" t="s">
        <v>39</v>
      </c>
      <c r="G1386" s="3" t="s">
        <v>52</v>
      </c>
      <c r="H1386" s="3" t="s">
        <v>1526</v>
      </c>
      <c r="I1386" s="6">
        <v>251.91</v>
      </c>
      <c r="J1386" s="4">
        <v>9</v>
      </c>
      <c r="K1386" s="6">
        <v>47.86</v>
      </c>
    </row>
    <row r="1387" spans="1:11" x14ac:dyDescent="0.3">
      <c r="A1387" s="7">
        <v>41943</v>
      </c>
      <c r="B1387" s="4">
        <f>YEAR(SalesData[[#This Row],[Order Date]])</f>
        <v>2014</v>
      </c>
      <c r="C1387" s="4">
        <f>MONTH(SalesData[[#This Row],[Order Date]])</f>
        <v>10</v>
      </c>
      <c r="D1387" s="3" t="s">
        <v>1521</v>
      </c>
      <c r="E1387" s="3" t="s">
        <v>27</v>
      </c>
      <c r="F1387" s="3" t="s">
        <v>11</v>
      </c>
      <c r="G1387" s="3" t="s">
        <v>24</v>
      </c>
      <c r="H1387" s="3" t="s">
        <v>1527</v>
      </c>
      <c r="I1387" s="6">
        <v>12.39</v>
      </c>
      <c r="J1387" s="4">
        <v>3</v>
      </c>
      <c r="K1387" s="6">
        <v>3.72</v>
      </c>
    </row>
    <row r="1388" spans="1:11" x14ac:dyDescent="0.3">
      <c r="A1388" s="7">
        <v>41943</v>
      </c>
      <c r="B1388" s="4">
        <f>YEAR(SalesData[[#This Row],[Order Date]])</f>
        <v>2014</v>
      </c>
      <c r="C1388" s="4">
        <f>MONTH(SalesData[[#This Row],[Order Date]])</f>
        <v>10</v>
      </c>
      <c r="D1388" s="3" t="s">
        <v>1528</v>
      </c>
      <c r="E1388" s="3" t="s">
        <v>1529</v>
      </c>
      <c r="F1388" s="3" t="s">
        <v>11</v>
      </c>
      <c r="G1388" s="3" t="s">
        <v>24</v>
      </c>
      <c r="H1388" s="3" t="s">
        <v>1530</v>
      </c>
      <c r="I1388" s="6">
        <v>49.25</v>
      </c>
      <c r="J1388" s="4">
        <v>5</v>
      </c>
      <c r="K1388" s="6">
        <v>18.72</v>
      </c>
    </row>
    <row r="1389" spans="1:11" x14ac:dyDescent="0.3">
      <c r="A1389" s="7">
        <v>41943</v>
      </c>
      <c r="B1389" s="4">
        <f>YEAR(SalesData[[#This Row],[Order Date]])</f>
        <v>2014</v>
      </c>
      <c r="C1389" s="4">
        <f>MONTH(SalesData[[#This Row],[Order Date]])</f>
        <v>10</v>
      </c>
      <c r="D1389" s="3" t="s">
        <v>1528</v>
      </c>
      <c r="E1389" s="3" t="s">
        <v>1529</v>
      </c>
      <c r="F1389" s="3" t="s">
        <v>11</v>
      </c>
      <c r="G1389" s="3" t="s">
        <v>12</v>
      </c>
      <c r="H1389" s="3" t="s">
        <v>1531</v>
      </c>
      <c r="I1389" s="6">
        <v>10.16</v>
      </c>
      <c r="J1389" s="4">
        <v>2</v>
      </c>
      <c r="K1389" s="6">
        <v>4.78</v>
      </c>
    </row>
    <row r="1390" spans="1:11" x14ac:dyDescent="0.3">
      <c r="A1390" s="7">
        <v>41943</v>
      </c>
      <c r="B1390" s="4">
        <f>YEAR(SalesData[[#This Row],[Order Date]])</f>
        <v>2014</v>
      </c>
      <c r="C1390" s="4">
        <f>MONTH(SalesData[[#This Row],[Order Date]])</f>
        <v>10</v>
      </c>
      <c r="D1390" s="3" t="s">
        <v>1528</v>
      </c>
      <c r="E1390" s="3" t="s">
        <v>1529</v>
      </c>
      <c r="F1390" s="3" t="s">
        <v>34</v>
      </c>
      <c r="G1390" s="3" t="s">
        <v>47</v>
      </c>
      <c r="H1390" s="3" t="s">
        <v>1532</v>
      </c>
      <c r="I1390" s="6">
        <v>14.76</v>
      </c>
      <c r="J1390" s="4">
        <v>2</v>
      </c>
      <c r="K1390" s="6">
        <v>4.28</v>
      </c>
    </row>
    <row r="1391" spans="1:11" x14ac:dyDescent="0.3">
      <c r="A1391" s="7">
        <v>41943</v>
      </c>
      <c r="B1391" s="4">
        <f>YEAR(SalesData[[#This Row],[Order Date]])</f>
        <v>2014</v>
      </c>
      <c r="C1391" s="4">
        <f>MONTH(SalesData[[#This Row],[Order Date]])</f>
        <v>10</v>
      </c>
      <c r="D1391" s="3" t="s">
        <v>1528</v>
      </c>
      <c r="E1391" s="3" t="s">
        <v>1529</v>
      </c>
      <c r="F1391" s="3" t="s">
        <v>11</v>
      </c>
      <c r="G1391" s="3" t="s">
        <v>20</v>
      </c>
      <c r="H1391" s="3" t="s">
        <v>1533</v>
      </c>
      <c r="I1391" s="6">
        <v>34.08</v>
      </c>
      <c r="J1391" s="4">
        <v>2</v>
      </c>
      <c r="K1391" s="6">
        <v>15.68</v>
      </c>
    </row>
    <row r="1392" spans="1:11" x14ac:dyDescent="0.3">
      <c r="A1392" s="7">
        <v>41943</v>
      </c>
      <c r="B1392" s="4">
        <f>YEAR(SalesData[[#This Row],[Order Date]])</f>
        <v>2014</v>
      </c>
      <c r="C1392" s="4">
        <f>MONTH(SalesData[[#This Row],[Order Date]])</f>
        <v>10</v>
      </c>
      <c r="D1392" s="3" t="s">
        <v>1528</v>
      </c>
      <c r="E1392" s="3" t="s">
        <v>1529</v>
      </c>
      <c r="F1392" s="3" t="s">
        <v>34</v>
      </c>
      <c r="G1392" s="3" t="s">
        <v>47</v>
      </c>
      <c r="H1392" s="3" t="s">
        <v>281</v>
      </c>
      <c r="I1392" s="6">
        <v>17.670000000000002</v>
      </c>
      <c r="J1392" s="4">
        <v>3</v>
      </c>
      <c r="K1392" s="6">
        <v>7.77</v>
      </c>
    </row>
    <row r="1393" spans="1:11" x14ac:dyDescent="0.3">
      <c r="A1393" s="7">
        <v>41943</v>
      </c>
      <c r="B1393" s="4">
        <f>YEAR(SalesData[[#This Row],[Order Date]])</f>
        <v>2014</v>
      </c>
      <c r="C1393" s="4">
        <f>MONTH(SalesData[[#This Row],[Order Date]])</f>
        <v>10</v>
      </c>
      <c r="D1393" s="3" t="s">
        <v>1528</v>
      </c>
      <c r="E1393" s="3" t="s">
        <v>1529</v>
      </c>
      <c r="F1393" s="3" t="s">
        <v>34</v>
      </c>
      <c r="G1393" s="3" t="s">
        <v>35</v>
      </c>
      <c r="H1393" s="3" t="s">
        <v>650</v>
      </c>
      <c r="I1393" s="6">
        <v>1604.9</v>
      </c>
      <c r="J1393" s="4">
        <v>5</v>
      </c>
      <c r="K1393" s="6">
        <v>481.47</v>
      </c>
    </row>
    <row r="1394" spans="1:11" x14ac:dyDescent="0.3">
      <c r="A1394" s="7">
        <v>41943</v>
      </c>
      <c r="B1394" s="4">
        <f>YEAR(SalesData[[#This Row],[Order Date]])</f>
        <v>2014</v>
      </c>
      <c r="C1394" s="4">
        <f>MONTH(SalesData[[#This Row],[Order Date]])</f>
        <v>10</v>
      </c>
      <c r="D1394" s="3" t="s">
        <v>1528</v>
      </c>
      <c r="E1394" s="3" t="s">
        <v>1529</v>
      </c>
      <c r="F1394" s="3" t="s">
        <v>34</v>
      </c>
      <c r="G1394" s="3" t="s">
        <v>145</v>
      </c>
      <c r="H1394" s="3" t="s">
        <v>783</v>
      </c>
      <c r="I1394" s="6">
        <v>385.69</v>
      </c>
      <c r="J1394" s="4">
        <v>1</v>
      </c>
      <c r="K1394" s="6">
        <v>-60.61</v>
      </c>
    </row>
    <row r="1395" spans="1:11" x14ac:dyDescent="0.3">
      <c r="A1395" s="7">
        <v>41943</v>
      </c>
      <c r="B1395" s="4">
        <f>YEAR(SalesData[[#This Row],[Order Date]])</f>
        <v>2014</v>
      </c>
      <c r="C1395" s="4">
        <f>MONTH(SalesData[[#This Row],[Order Date]])</f>
        <v>10</v>
      </c>
      <c r="D1395" s="3" t="s">
        <v>1534</v>
      </c>
      <c r="E1395" s="3" t="s">
        <v>95</v>
      </c>
      <c r="F1395" s="3" t="s">
        <v>39</v>
      </c>
      <c r="G1395" s="3" t="s">
        <v>40</v>
      </c>
      <c r="H1395" s="3" t="s">
        <v>730</v>
      </c>
      <c r="I1395" s="6">
        <v>742.34</v>
      </c>
      <c r="J1395" s="4">
        <v>8</v>
      </c>
      <c r="K1395" s="6">
        <v>83.51</v>
      </c>
    </row>
    <row r="1396" spans="1:11" x14ac:dyDescent="0.3">
      <c r="A1396" s="7">
        <v>41943</v>
      </c>
      <c r="B1396" s="4">
        <f>YEAR(SalesData[[#This Row],[Order Date]])</f>
        <v>2014</v>
      </c>
      <c r="C1396" s="4">
        <f>MONTH(SalesData[[#This Row],[Order Date]])</f>
        <v>10</v>
      </c>
      <c r="D1396" s="3" t="s">
        <v>54</v>
      </c>
      <c r="E1396" s="3" t="s">
        <v>78</v>
      </c>
      <c r="F1396" s="3" t="s">
        <v>34</v>
      </c>
      <c r="G1396" s="3" t="s">
        <v>145</v>
      </c>
      <c r="H1396" s="3" t="s">
        <v>397</v>
      </c>
      <c r="I1396" s="6">
        <v>1421.66</v>
      </c>
      <c r="J1396" s="4">
        <v>8</v>
      </c>
      <c r="K1396" s="6">
        <v>-734.53</v>
      </c>
    </row>
    <row r="1397" spans="1:11" x14ac:dyDescent="0.3">
      <c r="A1397" s="7">
        <v>41943</v>
      </c>
      <c r="B1397" s="4">
        <f>YEAR(SalesData[[#This Row],[Order Date]])</f>
        <v>2014</v>
      </c>
      <c r="C1397" s="4">
        <f>MONTH(SalesData[[#This Row],[Order Date]])</f>
        <v>10</v>
      </c>
      <c r="D1397" s="3" t="s">
        <v>1535</v>
      </c>
      <c r="E1397" s="3" t="s">
        <v>27</v>
      </c>
      <c r="F1397" s="3" t="s">
        <v>39</v>
      </c>
      <c r="G1397" s="3" t="s">
        <v>40</v>
      </c>
      <c r="H1397" s="3" t="s">
        <v>707</v>
      </c>
      <c r="I1397" s="6">
        <v>73.58</v>
      </c>
      <c r="J1397" s="4">
        <v>2</v>
      </c>
      <c r="K1397" s="6">
        <v>8.2799999999999994</v>
      </c>
    </row>
    <row r="1398" spans="1:11" x14ac:dyDescent="0.3">
      <c r="A1398" s="7">
        <v>41944</v>
      </c>
      <c r="B1398" s="4">
        <f>YEAR(SalesData[[#This Row],[Order Date]])</f>
        <v>2014</v>
      </c>
      <c r="C1398" s="4">
        <f>MONTH(SalesData[[#This Row],[Order Date]])</f>
        <v>11</v>
      </c>
      <c r="D1398" s="3" t="s">
        <v>889</v>
      </c>
      <c r="E1398" s="3" t="s">
        <v>278</v>
      </c>
      <c r="F1398" s="3" t="s">
        <v>11</v>
      </c>
      <c r="G1398" s="3" t="s">
        <v>24</v>
      </c>
      <c r="H1398" s="3" t="s">
        <v>629</v>
      </c>
      <c r="I1398" s="6">
        <v>43.18</v>
      </c>
      <c r="J1398" s="4">
        <v>3</v>
      </c>
      <c r="K1398" s="6">
        <v>4.32</v>
      </c>
    </row>
    <row r="1399" spans="1:11" x14ac:dyDescent="0.3">
      <c r="A1399" s="7">
        <v>41944</v>
      </c>
      <c r="B1399" s="4">
        <f>YEAR(SalesData[[#This Row],[Order Date]])</f>
        <v>2014</v>
      </c>
      <c r="C1399" s="4">
        <f>MONTH(SalesData[[#This Row],[Order Date]])</f>
        <v>11</v>
      </c>
      <c r="D1399" s="3" t="s">
        <v>889</v>
      </c>
      <c r="E1399" s="3" t="s">
        <v>278</v>
      </c>
      <c r="F1399" s="3" t="s">
        <v>39</v>
      </c>
      <c r="G1399" s="3" t="s">
        <v>40</v>
      </c>
      <c r="H1399" s="3" t="s">
        <v>1536</v>
      </c>
      <c r="I1399" s="6">
        <v>1983.97</v>
      </c>
      <c r="J1399" s="4">
        <v>4</v>
      </c>
      <c r="K1399" s="6">
        <v>248</v>
      </c>
    </row>
    <row r="1400" spans="1:11" x14ac:dyDescent="0.3">
      <c r="A1400" s="7">
        <v>41944</v>
      </c>
      <c r="B1400" s="4">
        <f>YEAR(SalesData[[#This Row],[Order Date]])</f>
        <v>2014</v>
      </c>
      <c r="C1400" s="4">
        <f>MONTH(SalesData[[#This Row],[Order Date]])</f>
        <v>11</v>
      </c>
      <c r="D1400" s="3" t="s">
        <v>69</v>
      </c>
      <c r="E1400" s="3" t="s">
        <v>91</v>
      </c>
      <c r="F1400" s="3" t="s">
        <v>11</v>
      </c>
      <c r="G1400" s="3" t="s">
        <v>18</v>
      </c>
      <c r="H1400" s="3" t="s">
        <v>586</v>
      </c>
      <c r="I1400" s="6">
        <v>443.92</v>
      </c>
      <c r="J1400" s="4">
        <v>5</v>
      </c>
      <c r="K1400" s="6">
        <v>-94.33</v>
      </c>
    </row>
    <row r="1401" spans="1:11" x14ac:dyDescent="0.3">
      <c r="A1401" s="7">
        <v>41944</v>
      </c>
      <c r="B1401" s="4">
        <f>YEAR(SalesData[[#This Row],[Order Date]])</f>
        <v>2014</v>
      </c>
      <c r="C1401" s="4">
        <f>MONTH(SalesData[[#This Row],[Order Date]])</f>
        <v>11</v>
      </c>
      <c r="D1401" s="3" t="s">
        <v>69</v>
      </c>
      <c r="E1401" s="3" t="s">
        <v>91</v>
      </c>
      <c r="F1401" s="3" t="s">
        <v>39</v>
      </c>
      <c r="G1401" s="3" t="s">
        <v>40</v>
      </c>
      <c r="H1401" s="3" t="s">
        <v>1537</v>
      </c>
      <c r="I1401" s="6">
        <v>155.97999999999999</v>
      </c>
      <c r="J1401" s="4">
        <v>3</v>
      </c>
      <c r="K1401" s="6">
        <v>54.59</v>
      </c>
    </row>
    <row r="1402" spans="1:11" x14ac:dyDescent="0.3">
      <c r="A1402" s="7">
        <v>41944</v>
      </c>
      <c r="B1402" s="4">
        <f>YEAR(SalesData[[#This Row],[Order Date]])</f>
        <v>2014</v>
      </c>
      <c r="C1402" s="4">
        <f>MONTH(SalesData[[#This Row],[Order Date]])</f>
        <v>11</v>
      </c>
      <c r="D1402" s="3" t="s">
        <v>1538</v>
      </c>
      <c r="E1402" s="3" t="s">
        <v>245</v>
      </c>
      <c r="F1402" s="3" t="s">
        <v>11</v>
      </c>
      <c r="G1402" s="3" t="s">
        <v>43</v>
      </c>
      <c r="H1402" s="3" t="s">
        <v>160</v>
      </c>
      <c r="I1402" s="6">
        <v>7.52</v>
      </c>
      <c r="J1402" s="4">
        <v>5</v>
      </c>
      <c r="K1402" s="6">
        <v>1.41</v>
      </c>
    </row>
    <row r="1403" spans="1:11" x14ac:dyDescent="0.3">
      <c r="A1403" s="7">
        <v>41944</v>
      </c>
      <c r="B1403" s="4">
        <f>YEAR(SalesData[[#This Row],[Order Date]])</f>
        <v>2014</v>
      </c>
      <c r="C1403" s="4">
        <f>MONTH(SalesData[[#This Row],[Order Date]])</f>
        <v>11</v>
      </c>
      <c r="D1403" s="3" t="s">
        <v>1538</v>
      </c>
      <c r="E1403" s="3" t="s">
        <v>245</v>
      </c>
      <c r="F1403" s="3" t="s">
        <v>11</v>
      </c>
      <c r="G1403" s="3" t="s">
        <v>24</v>
      </c>
      <c r="H1403" s="3" t="s">
        <v>1270</v>
      </c>
      <c r="I1403" s="6">
        <v>10.27</v>
      </c>
      <c r="J1403" s="4">
        <v>3</v>
      </c>
      <c r="K1403" s="6">
        <v>0.9</v>
      </c>
    </row>
    <row r="1404" spans="1:11" x14ac:dyDescent="0.3">
      <c r="A1404" s="7">
        <v>41944</v>
      </c>
      <c r="B1404" s="4">
        <f>YEAR(SalesData[[#This Row],[Order Date]])</f>
        <v>2014</v>
      </c>
      <c r="C1404" s="4">
        <f>MONTH(SalesData[[#This Row],[Order Date]])</f>
        <v>11</v>
      </c>
      <c r="D1404" s="3" t="s">
        <v>1538</v>
      </c>
      <c r="E1404" s="3" t="s">
        <v>245</v>
      </c>
      <c r="F1404" s="3" t="s">
        <v>11</v>
      </c>
      <c r="G1404" s="3" t="s">
        <v>16</v>
      </c>
      <c r="H1404" s="3" t="s">
        <v>772</v>
      </c>
      <c r="I1404" s="6">
        <v>47.81</v>
      </c>
      <c r="J1404" s="4">
        <v>12</v>
      </c>
      <c r="K1404" s="6">
        <v>15.54</v>
      </c>
    </row>
    <row r="1405" spans="1:11" x14ac:dyDescent="0.3">
      <c r="A1405" s="7">
        <v>41944</v>
      </c>
      <c r="B1405" s="4">
        <f>YEAR(SalesData[[#This Row],[Order Date]])</f>
        <v>2014</v>
      </c>
      <c r="C1405" s="4">
        <f>MONTH(SalesData[[#This Row],[Order Date]])</f>
        <v>11</v>
      </c>
      <c r="D1405" s="3" t="s">
        <v>1538</v>
      </c>
      <c r="E1405" s="3" t="s">
        <v>245</v>
      </c>
      <c r="F1405" s="3" t="s">
        <v>39</v>
      </c>
      <c r="G1405" s="3" t="s">
        <v>40</v>
      </c>
      <c r="H1405" s="3" t="s">
        <v>1539</v>
      </c>
      <c r="I1405" s="6">
        <v>978.84</v>
      </c>
      <c r="J1405" s="4">
        <v>9</v>
      </c>
      <c r="K1405" s="6">
        <v>110.12</v>
      </c>
    </row>
    <row r="1406" spans="1:11" x14ac:dyDescent="0.3">
      <c r="A1406" s="7">
        <v>41944</v>
      </c>
      <c r="B1406" s="4">
        <f>YEAR(SalesData[[#This Row],[Order Date]])</f>
        <v>2014</v>
      </c>
      <c r="C1406" s="4">
        <f>MONTH(SalesData[[#This Row],[Order Date]])</f>
        <v>11</v>
      </c>
      <c r="D1406" s="3" t="s">
        <v>1401</v>
      </c>
      <c r="E1406" s="3" t="s">
        <v>15</v>
      </c>
      <c r="F1406" s="3" t="s">
        <v>11</v>
      </c>
      <c r="G1406" s="3" t="s">
        <v>12</v>
      </c>
      <c r="H1406" s="3" t="s">
        <v>1403</v>
      </c>
      <c r="I1406" s="6">
        <v>15.7</v>
      </c>
      <c r="J1406" s="4">
        <v>3</v>
      </c>
      <c r="K1406" s="6">
        <v>5.0999999999999996</v>
      </c>
    </row>
    <row r="1407" spans="1:11" x14ac:dyDescent="0.3">
      <c r="A1407" s="7">
        <v>41944</v>
      </c>
      <c r="B1407" s="4">
        <f>YEAR(SalesData[[#This Row],[Order Date]])</f>
        <v>2014</v>
      </c>
      <c r="C1407" s="4">
        <f>MONTH(SalesData[[#This Row],[Order Date]])</f>
        <v>11</v>
      </c>
      <c r="D1407" s="3" t="s">
        <v>29</v>
      </c>
      <c r="E1407" s="3" t="s">
        <v>33</v>
      </c>
      <c r="F1407" s="3" t="s">
        <v>11</v>
      </c>
      <c r="G1407" s="3" t="s">
        <v>18</v>
      </c>
      <c r="H1407" s="3" t="s">
        <v>1540</v>
      </c>
      <c r="I1407" s="6">
        <v>69.52</v>
      </c>
      <c r="J1407" s="4">
        <v>2</v>
      </c>
      <c r="K1407" s="6">
        <v>19.47</v>
      </c>
    </row>
    <row r="1408" spans="1:11" x14ac:dyDescent="0.3">
      <c r="A1408" s="7">
        <v>41944</v>
      </c>
      <c r="B1408" s="4">
        <f>YEAR(SalesData[[#This Row],[Order Date]])</f>
        <v>2014</v>
      </c>
      <c r="C1408" s="4">
        <f>MONTH(SalesData[[#This Row],[Order Date]])</f>
        <v>11</v>
      </c>
      <c r="D1408" s="3" t="s">
        <v>29</v>
      </c>
      <c r="E1408" s="3" t="s">
        <v>33</v>
      </c>
      <c r="F1408" s="3" t="s">
        <v>11</v>
      </c>
      <c r="G1408" s="3" t="s">
        <v>24</v>
      </c>
      <c r="H1408" s="3" t="s">
        <v>844</v>
      </c>
      <c r="I1408" s="6">
        <v>5.64</v>
      </c>
      <c r="J1408" s="4">
        <v>3</v>
      </c>
      <c r="K1408" s="6">
        <v>1.64</v>
      </c>
    </row>
    <row r="1409" spans="1:11" x14ac:dyDescent="0.3">
      <c r="A1409" s="7">
        <v>41944</v>
      </c>
      <c r="B1409" s="4">
        <f>YEAR(SalesData[[#This Row],[Order Date]])</f>
        <v>2014</v>
      </c>
      <c r="C1409" s="4">
        <f>MONTH(SalesData[[#This Row],[Order Date]])</f>
        <v>11</v>
      </c>
      <c r="D1409" s="3" t="s">
        <v>1541</v>
      </c>
      <c r="E1409" s="3" t="s">
        <v>27</v>
      </c>
      <c r="F1409" s="3" t="s">
        <v>11</v>
      </c>
      <c r="G1409" s="3" t="s">
        <v>16</v>
      </c>
      <c r="H1409" s="3" t="s">
        <v>1542</v>
      </c>
      <c r="I1409" s="6">
        <v>44.4</v>
      </c>
      <c r="J1409" s="4">
        <v>3</v>
      </c>
      <c r="K1409" s="6">
        <v>22.2</v>
      </c>
    </row>
    <row r="1410" spans="1:11" x14ac:dyDescent="0.3">
      <c r="A1410" s="7">
        <v>41944</v>
      </c>
      <c r="B1410" s="4">
        <f>YEAR(SalesData[[#This Row],[Order Date]])</f>
        <v>2014</v>
      </c>
      <c r="C1410" s="4">
        <f>MONTH(SalesData[[#This Row],[Order Date]])</f>
        <v>11</v>
      </c>
      <c r="D1410" s="3" t="s">
        <v>1541</v>
      </c>
      <c r="E1410" s="3" t="s">
        <v>27</v>
      </c>
      <c r="F1410" s="3" t="s">
        <v>11</v>
      </c>
      <c r="G1410" s="3" t="s">
        <v>12</v>
      </c>
      <c r="H1410" s="3" t="s">
        <v>625</v>
      </c>
      <c r="I1410" s="6">
        <v>21.4</v>
      </c>
      <c r="J1410" s="4">
        <v>5</v>
      </c>
      <c r="K1410" s="6">
        <v>9.6300000000000008</v>
      </c>
    </row>
    <row r="1411" spans="1:11" x14ac:dyDescent="0.3">
      <c r="A1411" s="7">
        <v>41944</v>
      </c>
      <c r="B1411" s="4">
        <f>YEAR(SalesData[[#This Row],[Order Date]])</f>
        <v>2014</v>
      </c>
      <c r="C1411" s="4">
        <f>MONTH(SalesData[[#This Row],[Order Date]])</f>
        <v>11</v>
      </c>
      <c r="D1411" s="3" t="s">
        <v>1267</v>
      </c>
      <c r="E1411" s="3" t="s">
        <v>149</v>
      </c>
      <c r="F1411" s="3" t="s">
        <v>11</v>
      </c>
      <c r="G1411" s="3" t="s">
        <v>92</v>
      </c>
      <c r="H1411" s="3" t="s">
        <v>1238</v>
      </c>
      <c r="I1411" s="6">
        <v>533.94000000000005</v>
      </c>
      <c r="J1411" s="4">
        <v>3</v>
      </c>
      <c r="K1411" s="6">
        <v>154.84</v>
      </c>
    </row>
    <row r="1412" spans="1:11" x14ac:dyDescent="0.3">
      <c r="A1412" s="7">
        <v>41944</v>
      </c>
      <c r="B1412" s="4">
        <f>YEAR(SalesData[[#This Row],[Order Date]])</f>
        <v>2014</v>
      </c>
      <c r="C1412" s="4">
        <f>MONTH(SalesData[[#This Row],[Order Date]])</f>
        <v>11</v>
      </c>
      <c r="D1412" s="3" t="s">
        <v>1267</v>
      </c>
      <c r="E1412" s="3" t="s">
        <v>149</v>
      </c>
      <c r="F1412" s="3" t="s">
        <v>11</v>
      </c>
      <c r="G1412" s="3" t="s">
        <v>12</v>
      </c>
      <c r="H1412" s="3" t="s">
        <v>1057</v>
      </c>
      <c r="I1412" s="6">
        <v>167.94</v>
      </c>
      <c r="J1412" s="4">
        <v>3</v>
      </c>
      <c r="K1412" s="6">
        <v>82.29</v>
      </c>
    </row>
    <row r="1413" spans="1:11" x14ac:dyDescent="0.3">
      <c r="A1413" s="7">
        <v>41944</v>
      </c>
      <c r="B1413" s="4">
        <f>YEAR(SalesData[[#This Row],[Order Date]])</f>
        <v>2014</v>
      </c>
      <c r="C1413" s="4">
        <f>MONTH(SalesData[[#This Row],[Order Date]])</f>
        <v>11</v>
      </c>
      <c r="D1413" s="3" t="s">
        <v>1267</v>
      </c>
      <c r="E1413" s="3" t="s">
        <v>149</v>
      </c>
      <c r="F1413" s="3" t="s">
        <v>34</v>
      </c>
      <c r="G1413" s="3" t="s">
        <v>47</v>
      </c>
      <c r="H1413" s="3" t="s">
        <v>1543</v>
      </c>
      <c r="I1413" s="6">
        <v>31.68</v>
      </c>
      <c r="J1413" s="4">
        <v>6</v>
      </c>
      <c r="K1413" s="6">
        <v>9.82</v>
      </c>
    </row>
    <row r="1414" spans="1:11" x14ac:dyDescent="0.3">
      <c r="A1414" s="7">
        <v>41944</v>
      </c>
      <c r="B1414" s="4">
        <f>YEAR(SalesData[[#This Row],[Order Date]])</f>
        <v>2014</v>
      </c>
      <c r="C1414" s="4">
        <f>MONTH(SalesData[[#This Row],[Order Date]])</f>
        <v>11</v>
      </c>
      <c r="D1414" s="3" t="s">
        <v>1544</v>
      </c>
      <c r="E1414" s="3" t="s">
        <v>177</v>
      </c>
      <c r="F1414" s="3" t="s">
        <v>11</v>
      </c>
      <c r="G1414" s="3" t="s">
        <v>92</v>
      </c>
      <c r="H1414" s="3" t="s">
        <v>1080</v>
      </c>
      <c r="I1414" s="6">
        <v>76.12</v>
      </c>
      <c r="J1414" s="4">
        <v>2</v>
      </c>
      <c r="K1414" s="6">
        <v>22.07</v>
      </c>
    </row>
    <row r="1415" spans="1:11" x14ac:dyDescent="0.3">
      <c r="A1415" s="7">
        <v>41944</v>
      </c>
      <c r="B1415" s="4">
        <f>YEAR(SalesData[[#This Row],[Order Date]])</f>
        <v>2014</v>
      </c>
      <c r="C1415" s="4">
        <f>MONTH(SalesData[[#This Row],[Order Date]])</f>
        <v>11</v>
      </c>
      <c r="D1415" s="3" t="s">
        <v>1287</v>
      </c>
      <c r="E1415" s="3" t="s">
        <v>78</v>
      </c>
      <c r="F1415" s="3" t="s">
        <v>34</v>
      </c>
      <c r="G1415" s="3" t="s">
        <v>47</v>
      </c>
      <c r="H1415" s="3" t="s">
        <v>1545</v>
      </c>
      <c r="I1415" s="6">
        <v>68.7</v>
      </c>
      <c r="J1415" s="4">
        <v>2</v>
      </c>
      <c r="K1415" s="6">
        <v>16.32</v>
      </c>
    </row>
    <row r="1416" spans="1:11" x14ac:dyDescent="0.3">
      <c r="A1416" s="7">
        <v>41944</v>
      </c>
      <c r="B1416" s="4">
        <f>YEAR(SalesData[[#This Row],[Order Date]])</f>
        <v>2014</v>
      </c>
      <c r="C1416" s="4">
        <f>MONTH(SalesData[[#This Row],[Order Date]])</f>
        <v>11</v>
      </c>
      <c r="D1416" s="3" t="s">
        <v>1287</v>
      </c>
      <c r="E1416" s="3" t="s">
        <v>78</v>
      </c>
      <c r="F1416" s="3" t="s">
        <v>11</v>
      </c>
      <c r="G1416" s="3" t="s">
        <v>20</v>
      </c>
      <c r="H1416" s="3" t="s">
        <v>995</v>
      </c>
      <c r="I1416" s="6">
        <v>3.13</v>
      </c>
      <c r="J1416" s="4">
        <v>2</v>
      </c>
      <c r="K1416" s="6">
        <v>-2.61</v>
      </c>
    </row>
    <row r="1417" spans="1:11" x14ac:dyDescent="0.3">
      <c r="A1417" s="7">
        <v>41944</v>
      </c>
      <c r="B1417" s="4">
        <f>YEAR(SalesData[[#This Row],[Order Date]])</f>
        <v>2014</v>
      </c>
      <c r="C1417" s="4">
        <f>MONTH(SalesData[[#This Row],[Order Date]])</f>
        <v>11</v>
      </c>
      <c r="D1417" s="3" t="s">
        <v>1287</v>
      </c>
      <c r="E1417" s="3" t="s">
        <v>78</v>
      </c>
      <c r="F1417" s="3" t="s">
        <v>11</v>
      </c>
      <c r="G1417" s="3" t="s">
        <v>20</v>
      </c>
      <c r="H1417" s="3" t="s">
        <v>765</v>
      </c>
      <c r="I1417" s="6">
        <v>22.43</v>
      </c>
      <c r="J1417" s="4">
        <v>3</v>
      </c>
      <c r="K1417" s="6">
        <v>-17.940000000000001</v>
      </c>
    </row>
    <row r="1418" spans="1:11" x14ac:dyDescent="0.3">
      <c r="A1418" s="7">
        <v>41945</v>
      </c>
      <c r="B1418" s="4">
        <f>YEAR(SalesData[[#This Row],[Order Date]])</f>
        <v>2014</v>
      </c>
      <c r="C1418" s="4">
        <f>MONTH(SalesData[[#This Row],[Order Date]])</f>
        <v>11</v>
      </c>
      <c r="D1418" s="3" t="s">
        <v>983</v>
      </c>
      <c r="E1418" s="3" t="s">
        <v>149</v>
      </c>
      <c r="F1418" s="3" t="s">
        <v>11</v>
      </c>
      <c r="G1418" s="3" t="s">
        <v>16</v>
      </c>
      <c r="H1418" s="3" t="s">
        <v>1336</v>
      </c>
      <c r="I1418" s="6">
        <v>34.86</v>
      </c>
      <c r="J1418" s="4">
        <v>7</v>
      </c>
      <c r="K1418" s="6">
        <v>16.04</v>
      </c>
    </row>
    <row r="1419" spans="1:11" x14ac:dyDescent="0.3">
      <c r="A1419" s="7">
        <v>41945</v>
      </c>
      <c r="B1419" s="4">
        <f>YEAR(SalesData[[#This Row],[Order Date]])</f>
        <v>2014</v>
      </c>
      <c r="C1419" s="4">
        <f>MONTH(SalesData[[#This Row],[Order Date]])</f>
        <v>11</v>
      </c>
      <c r="D1419" s="3" t="s">
        <v>983</v>
      </c>
      <c r="E1419" s="3" t="s">
        <v>149</v>
      </c>
      <c r="F1419" s="3" t="s">
        <v>34</v>
      </c>
      <c r="G1419" s="3" t="s">
        <v>47</v>
      </c>
      <c r="H1419" s="3" t="s">
        <v>1020</v>
      </c>
      <c r="I1419" s="6">
        <v>89.34</v>
      </c>
      <c r="J1419" s="4">
        <v>6</v>
      </c>
      <c r="K1419" s="6">
        <v>24.12</v>
      </c>
    </row>
    <row r="1420" spans="1:11" x14ac:dyDescent="0.3">
      <c r="A1420" s="7">
        <v>41945</v>
      </c>
      <c r="B1420" s="4">
        <f>YEAR(SalesData[[#This Row],[Order Date]])</f>
        <v>2014</v>
      </c>
      <c r="C1420" s="4">
        <f>MONTH(SalesData[[#This Row],[Order Date]])</f>
        <v>11</v>
      </c>
      <c r="D1420" s="3" t="s">
        <v>1546</v>
      </c>
      <c r="E1420" s="3" t="s">
        <v>10</v>
      </c>
      <c r="F1420" s="3" t="s">
        <v>39</v>
      </c>
      <c r="G1420" s="3" t="s">
        <v>40</v>
      </c>
      <c r="H1420" s="3" t="s">
        <v>901</v>
      </c>
      <c r="I1420" s="6">
        <v>88.78</v>
      </c>
      <c r="J1420" s="4">
        <v>3</v>
      </c>
      <c r="K1420" s="6">
        <v>7.77</v>
      </c>
    </row>
    <row r="1421" spans="1:11" x14ac:dyDescent="0.3">
      <c r="A1421" s="7">
        <v>41945</v>
      </c>
      <c r="B1421" s="4">
        <f>YEAR(SalesData[[#This Row],[Order Date]])</f>
        <v>2014</v>
      </c>
      <c r="C1421" s="4">
        <f>MONTH(SalesData[[#This Row],[Order Date]])</f>
        <v>11</v>
      </c>
      <c r="D1421" s="3" t="s">
        <v>154</v>
      </c>
      <c r="E1421" s="3" t="s">
        <v>78</v>
      </c>
      <c r="F1421" s="3" t="s">
        <v>39</v>
      </c>
      <c r="G1421" s="3" t="s">
        <v>40</v>
      </c>
      <c r="H1421" s="3" t="s">
        <v>1352</v>
      </c>
      <c r="I1421" s="6">
        <v>539.96</v>
      </c>
      <c r="J1421" s="4">
        <v>6</v>
      </c>
      <c r="K1421" s="6">
        <v>-107.99</v>
      </c>
    </row>
    <row r="1422" spans="1:11" x14ac:dyDescent="0.3">
      <c r="A1422" s="7">
        <v>41945</v>
      </c>
      <c r="B1422" s="4">
        <f>YEAR(SalesData[[#This Row],[Order Date]])</f>
        <v>2014</v>
      </c>
      <c r="C1422" s="4">
        <f>MONTH(SalesData[[#This Row],[Order Date]])</f>
        <v>11</v>
      </c>
      <c r="D1422" s="3" t="s">
        <v>154</v>
      </c>
      <c r="E1422" s="3" t="s">
        <v>78</v>
      </c>
      <c r="F1422" s="3" t="s">
        <v>39</v>
      </c>
      <c r="G1422" s="3" t="s">
        <v>40</v>
      </c>
      <c r="H1422" s="3" t="s">
        <v>735</v>
      </c>
      <c r="I1422" s="6">
        <v>50.23</v>
      </c>
      <c r="J1422" s="4">
        <v>7</v>
      </c>
      <c r="K1422" s="6">
        <v>-10.050000000000001</v>
      </c>
    </row>
    <row r="1423" spans="1:11" x14ac:dyDescent="0.3">
      <c r="A1423" s="7">
        <v>41945</v>
      </c>
      <c r="B1423" s="4">
        <f>YEAR(SalesData[[#This Row],[Order Date]])</f>
        <v>2014</v>
      </c>
      <c r="C1423" s="4">
        <f>MONTH(SalesData[[#This Row],[Order Date]])</f>
        <v>11</v>
      </c>
      <c r="D1423" s="3" t="s">
        <v>154</v>
      </c>
      <c r="E1423" s="3" t="s">
        <v>78</v>
      </c>
      <c r="F1423" s="3" t="s">
        <v>11</v>
      </c>
      <c r="G1423" s="3" t="s">
        <v>20</v>
      </c>
      <c r="H1423" s="3" t="s">
        <v>952</v>
      </c>
      <c r="I1423" s="6">
        <v>19.239999999999998</v>
      </c>
      <c r="J1423" s="4">
        <v>3</v>
      </c>
      <c r="K1423" s="6">
        <v>-13.47</v>
      </c>
    </row>
    <row r="1424" spans="1:11" x14ac:dyDescent="0.3">
      <c r="A1424" s="7">
        <v>41945</v>
      </c>
      <c r="B1424" s="4">
        <f>YEAR(SalesData[[#This Row],[Order Date]])</f>
        <v>2014</v>
      </c>
      <c r="C1424" s="4">
        <f>MONTH(SalesData[[#This Row],[Order Date]])</f>
        <v>11</v>
      </c>
      <c r="D1424" s="3" t="s">
        <v>1547</v>
      </c>
      <c r="E1424" s="3" t="s">
        <v>123</v>
      </c>
      <c r="F1424" s="3" t="s">
        <v>39</v>
      </c>
      <c r="G1424" s="3" t="s">
        <v>52</v>
      </c>
      <c r="H1424" s="3" t="s">
        <v>486</v>
      </c>
      <c r="I1424" s="6">
        <v>799.92</v>
      </c>
      <c r="J1424" s="4">
        <v>10</v>
      </c>
      <c r="K1424" s="6">
        <v>239.98</v>
      </c>
    </row>
    <row r="1425" spans="1:11" x14ac:dyDescent="0.3">
      <c r="A1425" s="7">
        <v>41945</v>
      </c>
      <c r="B1425" s="4">
        <f>YEAR(SalesData[[#This Row],[Order Date]])</f>
        <v>2014</v>
      </c>
      <c r="C1425" s="4">
        <f>MONTH(SalesData[[#This Row],[Order Date]])</f>
        <v>11</v>
      </c>
      <c r="D1425" s="3" t="s">
        <v>1548</v>
      </c>
      <c r="E1425" s="3" t="s">
        <v>27</v>
      </c>
      <c r="F1425" s="3" t="s">
        <v>39</v>
      </c>
      <c r="G1425" s="3" t="s">
        <v>40</v>
      </c>
      <c r="H1425" s="3" t="s">
        <v>174</v>
      </c>
      <c r="I1425" s="6">
        <v>46.38</v>
      </c>
      <c r="J1425" s="4">
        <v>2</v>
      </c>
      <c r="K1425" s="6">
        <v>5.22</v>
      </c>
    </row>
    <row r="1426" spans="1:11" x14ac:dyDescent="0.3">
      <c r="A1426" s="7">
        <v>41945</v>
      </c>
      <c r="B1426" s="4">
        <f>YEAR(SalesData[[#This Row],[Order Date]])</f>
        <v>2014</v>
      </c>
      <c r="C1426" s="4">
        <f>MONTH(SalesData[[#This Row],[Order Date]])</f>
        <v>11</v>
      </c>
      <c r="D1426" s="3" t="s">
        <v>1548</v>
      </c>
      <c r="E1426" s="3" t="s">
        <v>27</v>
      </c>
      <c r="F1426" s="3" t="s">
        <v>11</v>
      </c>
      <c r="G1426" s="3" t="s">
        <v>18</v>
      </c>
      <c r="H1426" s="3" t="s">
        <v>1549</v>
      </c>
      <c r="I1426" s="6">
        <v>362.92</v>
      </c>
      <c r="J1426" s="4">
        <v>2</v>
      </c>
      <c r="K1426" s="6">
        <v>105.25</v>
      </c>
    </row>
    <row r="1427" spans="1:11" x14ac:dyDescent="0.3">
      <c r="A1427" s="7">
        <v>41945</v>
      </c>
      <c r="B1427" s="4">
        <f>YEAR(SalesData[[#This Row],[Order Date]])</f>
        <v>2014</v>
      </c>
      <c r="C1427" s="4">
        <f>MONTH(SalesData[[#This Row],[Order Date]])</f>
        <v>11</v>
      </c>
      <c r="D1427" s="3" t="s">
        <v>1550</v>
      </c>
      <c r="E1427" s="3" t="s">
        <v>164</v>
      </c>
      <c r="F1427" s="3" t="s">
        <v>39</v>
      </c>
      <c r="G1427" s="3" t="s">
        <v>52</v>
      </c>
      <c r="H1427" s="3" t="s">
        <v>986</v>
      </c>
      <c r="I1427" s="6">
        <v>41.94</v>
      </c>
      <c r="J1427" s="4">
        <v>2</v>
      </c>
      <c r="K1427" s="6">
        <v>15.1</v>
      </c>
    </row>
    <row r="1428" spans="1:11" x14ac:dyDescent="0.3">
      <c r="A1428" s="7">
        <v>41945</v>
      </c>
      <c r="B1428" s="4">
        <f>YEAR(SalesData[[#This Row],[Order Date]])</f>
        <v>2014</v>
      </c>
      <c r="C1428" s="4">
        <f>MONTH(SalesData[[#This Row],[Order Date]])</f>
        <v>11</v>
      </c>
      <c r="D1428" s="3" t="s">
        <v>1550</v>
      </c>
      <c r="E1428" s="3" t="s">
        <v>164</v>
      </c>
      <c r="F1428" s="3" t="s">
        <v>39</v>
      </c>
      <c r="G1428" s="3" t="s">
        <v>40</v>
      </c>
      <c r="H1428" s="3" t="s">
        <v>1551</v>
      </c>
      <c r="I1428" s="6">
        <v>52.79</v>
      </c>
      <c r="J1428" s="4">
        <v>1</v>
      </c>
      <c r="K1428" s="6">
        <v>4.62</v>
      </c>
    </row>
    <row r="1429" spans="1:11" x14ac:dyDescent="0.3">
      <c r="A1429" s="7">
        <v>41946</v>
      </c>
      <c r="B1429" s="4">
        <f>YEAR(SalesData[[#This Row],[Order Date]])</f>
        <v>2014</v>
      </c>
      <c r="C1429" s="4">
        <f>MONTH(SalesData[[#This Row],[Order Date]])</f>
        <v>11</v>
      </c>
      <c r="D1429" s="3" t="s">
        <v>902</v>
      </c>
      <c r="E1429" s="3" t="s">
        <v>23</v>
      </c>
      <c r="F1429" s="3" t="s">
        <v>11</v>
      </c>
      <c r="G1429" s="3" t="s">
        <v>200</v>
      </c>
      <c r="H1429" s="3" t="s">
        <v>201</v>
      </c>
      <c r="I1429" s="6">
        <v>286.33999999999997</v>
      </c>
      <c r="J1429" s="4">
        <v>3</v>
      </c>
      <c r="K1429" s="6">
        <v>-64.430000000000007</v>
      </c>
    </row>
    <row r="1430" spans="1:11" x14ac:dyDescent="0.3">
      <c r="A1430" s="7">
        <v>41946</v>
      </c>
      <c r="B1430" s="4">
        <f>YEAR(SalesData[[#This Row],[Order Date]])</f>
        <v>2014</v>
      </c>
      <c r="C1430" s="4">
        <f>MONTH(SalesData[[#This Row],[Order Date]])</f>
        <v>11</v>
      </c>
      <c r="D1430" s="3" t="s">
        <v>128</v>
      </c>
      <c r="E1430" s="3" t="s">
        <v>149</v>
      </c>
      <c r="F1430" s="3" t="s">
        <v>39</v>
      </c>
      <c r="G1430" s="3" t="s">
        <v>40</v>
      </c>
      <c r="H1430" s="3" t="s">
        <v>287</v>
      </c>
      <c r="I1430" s="6">
        <v>783.96</v>
      </c>
      <c r="J1430" s="4">
        <v>4</v>
      </c>
      <c r="K1430" s="6">
        <v>219.51</v>
      </c>
    </row>
    <row r="1431" spans="1:11" x14ac:dyDescent="0.3">
      <c r="A1431" s="7">
        <v>41946</v>
      </c>
      <c r="B1431" s="4">
        <f>YEAR(SalesData[[#This Row],[Order Date]])</f>
        <v>2014</v>
      </c>
      <c r="C1431" s="4">
        <f>MONTH(SalesData[[#This Row],[Order Date]])</f>
        <v>11</v>
      </c>
      <c r="D1431" s="3" t="s">
        <v>128</v>
      </c>
      <c r="E1431" s="3" t="s">
        <v>149</v>
      </c>
      <c r="F1431" s="3" t="s">
        <v>11</v>
      </c>
      <c r="G1431" s="3" t="s">
        <v>20</v>
      </c>
      <c r="H1431" s="3" t="s">
        <v>162</v>
      </c>
      <c r="I1431" s="6">
        <v>48.9</v>
      </c>
      <c r="J1431" s="4">
        <v>2</v>
      </c>
      <c r="K1431" s="6">
        <v>18.34</v>
      </c>
    </row>
    <row r="1432" spans="1:11" x14ac:dyDescent="0.3">
      <c r="A1432" s="7">
        <v>41946</v>
      </c>
      <c r="B1432" s="4">
        <f>YEAR(SalesData[[#This Row],[Order Date]])</f>
        <v>2014</v>
      </c>
      <c r="C1432" s="4">
        <f>MONTH(SalesData[[#This Row],[Order Date]])</f>
        <v>11</v>
      </c>
      <c r="D1432" s="3" t="s">
        <v>128</v>
      </c>
      <c r="E1432" s="3" t="s">
        <v>149</v>
      </c>
      <c r="F1432" s="3" t="s">
        <v>11</v>
      </c>
      <c r="G1432" s="3" t="s">
        <v>20</v>
      </c>
      <c r="H1432" s="3" t="s">
        <v>1313</v>
      </c>
      <c r="I1432" s="6">
        <v>7.86</v>
      </c>
      <c r="J1432" s="4">
        <v>2</v>
      </c>
      <c r="K1432" s="6">
        <v>2.85</v>
      </c>
    </row>
    <row r="1433" spans="1:11" x14ac:dyDescent="0.3">
      <c r="A1433" s="7">
        <v>41946</v>
      </c>
      <c r="B1433" s="4">
        <f>YEAR(SalesData[[#This Row],[Order Date]])</f>
        <v>2014</v>
      </c>
      <c r="C1433" s="4">
        <f>MONTH(SalesData[[#This Row],[Order Date]])</f>
        <v>11</v>
      </c>
      <c r="D1433" s="3" t="s">
        <v>712</v>
      </c>
      <c r="E1433" s="3" t="s">
        <v>613</v>
      </c>
      <c r="F1433" s="3" t="s">
        <v>11</v>
      </c>
      <c r="G1433" s="3" t="s">
        <v>200</v>
      </c>
      <c r="H1433" s="3" t="s">
        <v>870</v>
      </c>
      <c r="I1433" s="6">
        <v>11.64</v>
      </c>
      <c r="J1433" s="4">
        <v>3</v>
      </c>
      <c r="K1433" s="6">
        <v>3.38</v>
      </c>
    </row>
    <row r="1434" spans="1:11" x14ac:dyDescent="0.3">
      <c r="A1434" s="7">
        <v>41946</v>
      </c>
      <c r="B1434" s="4">
        <f>YEAR(SalesData[[#This Row],[Order Date]])</f>
        <v>2014</v>
      </c>
      <c r="C1434" s="4">
        <f>MONTH(SalesData[[#This Row],[Order Date]])</f>
        <v>11</v>
      </c>
      <c r="D1434" s="3" t="s">
        <v>1196</v>
      </c>
      <c r="E1434" s="3" t="s">
        <v>120</v>
      </c>
      <c r="F1434" s="3" t="s">
        <v>11</v>
      </c>
      <c r="G1434" s="3" t="s">
        <v>12</v>
      </c>
      <c r="H1434" s="3" t="s">
        <v>1552</v>
      </c>
      <c r="I1434" s="6">
        <v>3.49</v>
      </c>
      <c r="J1434" s="4">
        <v>2</v>
      </c>
      <c r="K1434" s="6">
        <v>1.18</v>
      </c>
    </row>
    <row r="1435" spans="1:11" x14ac:dyDescent="0.3">
      <c r="A1435" s="7">
        <v>41946</v>
      </c>
      <c r="B1435" s="4">
        <f>YEAR(SalesData[[#This Row],[Order Date]])</f>
        <v>2014</v>
      </c>
      <c r="C1435" s="4">
        <f>MONTH(SalesData[[#This Row],[Order Date]])</f>
        <v>11</v>
      </c>
      <c r="D1435" s="3" t="s">
        <v>1196</v>
      </c>
      <c r="E1435" s="3" t="s">
        <v>120</v>
      </c>
      <c r="F1435" s="3" t="s">
        <v>11</v>
      </c>
      <c r="G1435" s="3" t="s">
        <v>12</v>
      </c>
      <c r="H1435" s="3" t="s">
        <v>1052</v>
      </c>
      <c r="I1435" s="6">
        <v>143.86000000000001</v>
      </c>
      <c r="J1435" s="4">
        <v>9</v>
      </c>
      <c r="K1435" s="6">
        <v>48.55</v>
      </c>
    </row>
    <row r="1436" spans="1:11" x14ac:dyDescent="0.3">
      <c r="A1436" s="7">
        <v>41946</v>
      </c>
      <c r="B1436" s="4">
        <f>YEAR(SalesData[[#This Row],[Order Date]])</f>
        <v>2014</v>
      </c>
      <c r="C1436" s="4">
        <f>MONTH(SalesData[[#This Row],[Order Date]])</f>
        <v>11</v>
      </c>
      <c r="D1436" s="3" t="s">
        <v>1548</v>
      </c>
      <c r="E1436" s="3" t="s">
        <v>245</v>
      </c>
      <c r="F1436" s="3" t="s">
        <v>11</v>
      </c>
      <c r="G1436" s="3" t="s">
        <v>18</v>
      </c>
      <c r="H1436" s="3" t="s">
        <v>179</v>
      </c>
      <c r="I1436" s="6">
        <v>25.98</v>
      </c>
      <c r="J1436" s="4">
        <v>2</v>
      </c>
      <c r="K1436" s="6">
        <v>-1.62</v>
      </c>
    </row>
    <row r="1437" spans="1:11" x14ac:dyDescent="0.3">
      <c r="A1437" s="7">
        <v>41946</v>
      </c>
      <c r="B1437" s="4">
        <f>YEAR(SalesData[[#This Row],[Order Date]])</f>
        <v>2014</v>
      </c>
      <c r="C1437" s="4">
        <f>MONTH(SalesData[[#This Row],[Order Date]])</f>
        <v>11</v>
      </c>
      <c r="D1437" s="3" t="s">
        <v>1548</v>
      </c>
      <c r="E1437" s="3" t="s">
        <v>245</v>
      </c>
      <c r="F1437" s="3" t="s">
        <v>34</v>
      </c>
      <c r="G1437" s="3" t="s">
        <v>145</v>
      </c>
      <c r="H1437" s="3" t="s">
        <v>1553</v>
      </c>
      <c r="I1437" s="6">
        <v>945.04</v>
      </c>
      <c r="J1437" s="4">
        <v>6</v>
      </c>
      <c r="K1437" s="6">
        <v>-299.26</v>
      </c>
    </row>
    <row r="1438" spans="1:11" x14ac:dyDescent="0.3">
      <c r="A1438" s="7">
        <v>41946</v>
      </c>
      <c r="B1438" s="4">
        <f>YEAR(SalesData[[#This Row],[Order Date]])</f>
        <v>2014</v>
      </c>
      <c r="C1438" s="4">
        <f>MONTH(SalesData[[#This Row],[Order Date]])</f>
        <v>11</v>
      </c>
      <c r="D1438" s="3" t="s">
        <v>1548</v>
      </c>
      <c r="E1438" s="3" t="s">
        <v>245</v>
      </c>
      <c r="F1438" s="3" t="s">
        <v>11</v>
      </c>
      <c r="G1438" s="3" t="s">
        <v>20</v>
      </c>
      <c r="H1438" s="3" t="s">
        <v>1377</v>
      </c>
      <c r="I1438" s="6">
        <v>14.3</v>
      </c>
      <c r="J1438" s="4">
        <v>7</v>
      </c>
      <c r="K1438" s="6">
        <v>-10.49</v>
      </c>
    </row>
    <row r="1439" spans="1:11" x14ac:dyDescent="0.3">
      <c r="A1439" s="7">
        <v>41946</v>
      </c>
      <c r="B1439" s="4">
        <f>YEAR(SalesData[[#This Row],[Order Date]])</f>
        <v>2014</v>
      </c>
      <c r="C1439" s="4">
        <f>MONTH(SalesData[[#This Row],[Order Date]])</f>
        <v>11</v>
      </c>
      <c r="D1439" s="3" t="s">
        <v>1548</v>
      </c>
      <c r="E1439" s="3" t="s">
        <v>245</v>
      </c>
      <c r="F1439" s="3" t="s">
        <v>34</v>
      </c>
      <c r="G1439" s="3" t="s">
        <v>47</v>
      </c>
      <c r="H1439" s="3" t="s">
        <v>1554</v>
      </c>
      <c r="I1439" s="6">
        <v>410.35</v>
      </c>
      <c r="J1439" s="4">
        <v>3</v>
      </c>
      <c r="K1439" s="6">
        <v>-51.29</v>
      </c>
    </row>
    <row r="1440" spans="1:11" x14ac:dyDescent="0.3">
      <c r="A1440" s="7">
        <v>41946</v>
      </c>
      <c r="B1440" s="4">
        <f>YEAR(SalesData[[#This Row],[Order Date]])</f>
        <v>2014</v>
      </c>
      <c r="C1440" s="4">
        <f>MONTH(SalesData[[#This Row],[Order Date]])</f>
        <v>11</v>
      </c>
      <c r="D1440" s="3" t="s">
        <v>1555</v>
      </c>
      <c r="E1440" s="3" t="s">
        <v>177</v>
      </c>
      <c r="F1440" s="3" t="s">
        <v>11</v>
      </c>
      <c r="G1440" s="3" t="s">
        <v>20</v>
      </c>
      <c r="H1440" s="3" t="s">
        <v>899</v>
      </c>
      <c r="I1440" s="6">
        <v>5.76</v>
      </c>
      <c r="J1440" s="4">
        <v>2</v>
      </c>
      <c r="K1440" s="6">
        <v>2.82</v>
      </c>
    </row>
    <row r="1441" spans="1:11" x14ac:dyDescent="0.3">
      <c r="A1441" s="7">
        <v>41946</v>
      </c>
      <c r="B1441" s="4">
        <f>YEAR(SalesData[[#This Row],[Order Date]])</f>
        <v>2014</v>
      </c>
      <c r="C1441" s="4">
        <f>MONTH(SalesData[[#This Row],[Order Date]])</f>
        <v>11</v>
      </c>
      <c r="D1441" s="3" t="s">
        <v>536</v>
      </c>
      <c r="E1441" s="3" t="s">
        <v>996</v>
      </c>
      <c r="F1441" s="3" t="s">
        <v>39</v>
      </c>
      <c r="G1441" s="3" t="s">
        <v>52</v>
      </c>
      <c r="H1441" s="3" t="s">
        <v>1556</v>
      </c>
      <c r="I1441" s="6">
        <v>89.97</v>
      </c>
      <c r="J1441" s="4">
        <v>3</v>
      </c>
      <c r="K1441" s="6">
        <v>18.89</v>
      </c>
    </row>
    <row r="1442" spans="1:11" x14ac:dyDescent="0.3">
      <c r="A1442" s="7">
        <v>41946</v>
      </c>
      <c r="B1442" s="4">
        <f>YEAR(SalesData[[#This Row],[Order Date]])</f>
        <v>2014</v>
      </c>
      <c r="C1442" s="4">
        <f>MONTH(SalesData[[#This Row],[Order Date]])</f>
        <v>11</v>
      </c>
      <c r="D1442" s="3" t="s">
        <v>1557</v>
      </c>
      <c r="E1442" s="3" t="s">
        <v>27</v>
      </c>
      <c r="F1442" s="3" t="s">
        <v>11</v>
      </c>
      <c r="G1442" s="3" t="s">
        <v>24</v>
      </c>
      <c r="H1442" s="3" t="s">
        <v>541</v>
      </c>
      <c r="I1442" s="6">
        <v>6.72</v>
      </c>
      <c r="J1442" s="4">
        <v>4</v>
      </c>
      <c r="K1442" s="6">
        <v>3.36</v>
      </c>
    </row>
    <row r="1443" spans="1:11" x14ac:dyDescent="0.3">
      <c r="A1443" s="7">
        <v>41947</v>
      </c>
      <c r="B1443" s="4">
        <f>YEAR(SalesData[[#This Row],[Order Date]])</f>
        <v>2014</v>
      </c>
      <c r="C1443" s="4">
        <f>MONTH(SalesData[[#This Row],[Order Date]])</f>
        <v>11</v>
      </c>
      <c r="D1443" s="3" t="s">
        <v>180</v>
      </c>
      <c r="E1443" s="3" t="s">
        <v>149</v>
      </c>
      <c r="F1443" s="3" t="s">
        <v>34</v>
      </c>
      <c r="G1443" s="3" t="s">
        <v>35</v>
      </c>
      <c r="H1443" s="3" t="s">
        <v>542</v>
      </c>
      <c r="I1443" s="6">
        <v>135.88</v>
      </c>
      <c r="J1443" s="4">
        <v>1</v>
      </c>
      <c r="K1443" s="6">
        <v>24.16</v>
      </c>
    </row>
    <row r="1444" spans="1:11" x14ac:dyDescent="0.3">
      <c r="A1444" s="7">
        <v>41947</v>
      </c>
      <c r="B1444" s="4">
        <f>YEAR(SalesData[[#This Row],[Order Date]])</f>
        <v>2014</v>
      </c>
      <c r="C1444" s="4">
        <f>MONTH(SalesData[[#This Row],[Order Date]])</f>
        <v>11</v>
      </c>
      <c r="D1444" s="3" t="s">
        <v>180</v>
      </c>
      <c r="E1444" s="3" t="s">
        <v>149</v>
      </c>
      <c r="F1444" s="3" t="s">
        <v>39</v>
      </c>
      <c r="G1444" s="3" t="s">
        <v>302</v>
      </c>
      <c r="H1444" s="3" t="s">
        <v>1558</v>
      </c>
      <c r="I1444" s="6">
        <v>3991.98</v>
      </c>
      <c r="J1444" s="4">
        <v>2</v>
      </c>
      <c r="K1444" s="6">
        <v>1995.99</v>
      </c>
    </row>
    <row r="1445" spans="1:11" x14ac:dyDescent="0.3">
      <c r="A1445" s="7">
        <v>41947</v>
      </c>
      <c r="B1445" s="4">
        <f>YEAR(SalesData[[#This Row],[Order Date]])</f>
        <v>2014</v>
      </c>
      <c r="C1445" s="4">
        <f>MONTH(SalesData[[#This Row],[Order Date]])</f>
        <v>11</v>
      </c>
      <c r="D1445" s="3" t="s">
        <v>180</v>
      </c>
      <c r="E1445" s="3" t="s">
        <v>149</v>
      </c>
      <c r="F1445" s="3" t="s">
        <v>39</v>
      </c>
      <c r="G1445" s="3" t="s">
        <v>40</v>
      </c>
      <c r="H1445" s="3" t="s">
        <v>863</v>
      </c>
      <c r="I1445" s="6">
        <v>275.94</v>
      </c>
      <c r="J1445" s="4">
        <v>6</v>
      </c>
      <c r="K1445" s="6">
        <v>80.02</v>
      </c>
    </row>
    <row r="1446" spans="1:11" x14ac:dyDescent="0.3">
      <c r="A1446" s="7">
        <v>41947</v>
      </c>
      <c r="B1446" s="4">
        <f>YEAR(SalesData[[#This Row],[Order Date]])</f>
        <v>2014</v>
      </c>
      <c r="C1446" s="4">
        <f>MONTH(SalesData[[#This Row],[Order Date]])</f>
        <v>11</v>
      </c>
      <c r="D1446" s="3" t="s">
        <v>180</v>
      </c>
      <c r="E1446" s="3" t="s">
        <v>149</v>
      </c>
      <c r="F1446" s="3" t="s">
        <v>39</v>
      </c>
      <c r="G1446" s="3" t="s">
        <v>52</v>
      </c>
      <c r="H1446" s="3" t="s">
        <v>1559</v>
      </c>
      <c r="I1446" s="6">
        <v>360</v>
      </c>
      <c r="J1446" s="4">
        <v>4</v>
      </c>
      <c r="K1446" s="6">
        <v>129.6</v>
      </c>
    </row>
    <row r="1447" spans="1:11" x14ac:dyDescent="0.3">
      <c r="A1447" s="7">
        <v>41947</v>
      </c>
      <c r="B1447" s="4">
        <f>YEAR(SalesData[[#This Row],[Order Date]])</f>
        <v>2014</v>
      </c>
      <c r="C1447" s="4">
        <f>MONTH(SalesData[[#This Row],[Order Date]])</f>
        <v>11</v>
      </c>
      <c r="D1447" s="3" t="s">
        <v>180</v>
      </c>
      <c r="E1447" s="3" t="s">
        <v>149</v>
      </c>
      <c r="F1447" s="3" t="s">
        <v>11</v>
      </c>
      <c r="G1447" s="3" t="s">
        <v>18</v>
      </c>
      <c r="H1447" s="3" t="s">
        <v>1560</v>
      </c>
      <c r="I1447" s="6">
        <v>43.57</v>
      </c>
      <c r="J1447" s="4">
        <v>1</v>
      </c>
      <c r="K1447" s="6">
        <v>13.07</v>
      </c>
    </row>
    <row r="1448" spans="1:11" x14ac:dyDescent="0.3">
      <c r="A1448" s="7">
        <v>41947</v>
      </c>
      <c r="B1448" s="4">
        <f>YEAR(SalesData[[#This Row],[Order Date]])</f>
        <v>2014</v>
      </c>
      <c r="C1448" s="4">
        <f>MONTH(SalesData[[#This Row],[Order Date]])</f>
        <v>11</v>
      </c>
      <c r="D1448" s="3" t="s">
        <v>1289</v>
      </c>
      <c r="E1448" s="3" t="s">
        <v>245</v>
      </c>
      <c r="F1448" s="3" t="s">
        <v>11</v>
      </c>
      <c r="G1448" s="3" t="s">
        <v>43</v>
      </c>
      <c r="H1448" s="3" t="s">
        <v>1561</v>
      </c>
      <c r="I1448" s="6">
        <v>8.3800000000000008</v>
      </c>
      <c r="J1448" s="4">
        <v>3</v>
      </c>
      <c r="K1448" s="6">
        <v>2.72</v>
      </c>
    </row>
    <row r="1449" spans="1:11" x14ac:dyDescent="0.3">
      <c r="A1449" s="7">
        <v>41947</v>
      </c>
      <c r="B1449" s="4">
        <f>YEAR(SalesData[[#This Row],[Order Date]])</f>
        <v>2014</v>
      </c>
      <c r="C1449" s="4">
        <f>MONTH(SalesData[[#This Row],[Order Date]])</f>
        <v>11</v>
      </c>
      <c r="D1449" s="3" t="s">
        <v>1289</v>
      </c>
      <c r="E1449" s="3" t="s">
        <v>245</v>
      </c>
      <c r="F1449" s="3" t="s">
        <v>11</v>
      </c>
      <c r="G1449" s="3" t="s">
        <v>92</v>
      </c>
      <c r="H1449" s="3" t="s">
        <v>764</v>
      </c>
      <c r="I1449" s="6">
        <v>58.24</v>
      </c>
      <c r="J1449" s="4">
        <v>5</v>
      </c>
      <c r="K1449" s="6">
        <v>5.0999999999999996</v>
      </c>
    </row>
    <row r="1450" spans="1:11" x14ac:dyDescent="0.3">
      <c r="A1450" s="7">
        <v>41947</v>
      </c>
      <c r="B1450" s="4">
        <f>YEAR(SalesData[[#This Row],[Order Date]])</f>
        <v>2014</v>
      </c>
      <c r="C1450" s="4">
        <f>MONTH(SalesData[[#This Row],[Order Date]])</f>
        <v>11</v>
      </c>
      <c r="D1450" s="3" t="s">
        <v>1562</v>
      </c>
      <c r="E1450" s="3" t="s">
        <v>27</v>
      </c>
      <c r="F1450" s="3" t="s">
        <v>34</v>
      </c>
      <c r="G1450" s="3" t="s">
        <v>47</v>
      </c>
      <c r="H1450" s="3" t="s">
        <v>1318</v>
      </c>
      <c r="I1450" s="6">
        <v>35.340000000000003</v>
      </c>
      <c r="J1450" s="4">
        <v>2</v>
      </c>
      <c r="K1450" s="6">
        <v>13.43</v>
      </c>
    </row>
    <row r="1451" spans="1:11" x14ac:dyDescent="0.3">
      <c r="A1451" s="7">
        <v>41947</v>
      </c>
      <c r="B1451" s="4">
        <f>YEAR(SalesData[[#This Row],[Order Date]])</f>
        <v>2014</v>
      </c>
      <c r="C1451" s="4">
        <f>MONTH(SalesData[[#This Row],[Order Date]])</f>
        <v>11</v>
      </c>
      <c r="D1451" s="3" t="s">
        <v>1563</v>
      </c>
      <c r="E1451" s="3" t="s">
        <v>27</v>
      </c>
      <c r="F1451" s="3" t="s">
        <v>39</v>
      </c>
      <c r="G1451" s="3" t="s">
        <v>40</v>
      </c>
      <c r="H1451" s="3" t="s">
        <v>1564</v>
      </c>
      <c r="I1451" s="6">
        <v>666.34</v>
      </c>
      <c r="J1451" s="4">
        <v>7</v>
      </c>
      <c r="K1451" s="6">
        <v>66.63</v>
      </c>
    </row>
    <row r="1452" spans="1:11" x14ac:dyDescent="0.3">
      <c r="A1452" s="7">
        <v>41947</v>
      </c>
      <c r="B1452" s="4">
        <f>YEAR(SalesData[[#This Row],[Order Date]])</f>
        <v>2014</v>
      </c>
      <c r="C1452" s="4">
        <f>MONTH(SalesData[[#This Row],[Order Date]])</f>
        <v>11</v>
      </c>
      <c r="D1452" s="3" t="s">
        <v>1563</v>
      </c>
      <c r="E1452" s="3" t="s">
        <v>27</v>
      </c>
      <c r="F1452" s="3" t="s">
        <v>34</v>
      </c>
      <c r="G1452" s="3" t="s">
        <v>145</v>
      </c>
      <c r="H1452" s="3" t="s">
        <v>790</v>
      </c>
      <c r="I1452" s="6">
        <v>573.73</v>
      </c>
      <c r="J1452" s="4">
        <v>4</v>
      </c>
      <c r="K1452" s="6">
        <v>-64.540000000000006</v>
      </c>
    </row>
    <row r="1453" spans="1:11" x14ac:dyDescent="0.3">
      <c r="A1453" s="7">
        <v>41947</v>
      </c>
      <c r="B1453" s="4">
        <f>YEAR(SalesData[[#This Row],[Order Date]])</f>
        <v>2014</v>
      </c>
      <c r="C1453" s="4">
        <f>MONTH(SalesData[[#This Row],[Order Date]])</f>
        <v>11</v>
      </c>
      <c r="D1453" s="3" t="s">
        <v>1563</v>
      </c>
      <c r="E1453" s="3" t="s">
        <v>27</v>
      </c>
      <c r="F1453" s="3" t="s">
        <v>11</v>
      </c>
      <c r="G1453" s="3" t="s">
        <v>20</v>
      </c>
      <c r="H1453" s="3" t="s">
        <v>1565</v>
      </c>
      <c r="I1453" s="6">
        <v>21.94</v>
      </c>
      <c r="J1453" s="4">
        <v>3</v>
      </c>
      <c r="K1453" s="6">
        <v>8.23</v>
      </c>
    </row>
    <row r="1454" spans="1:11" x14ac:dyDescent="0.3">
      <c r="A1454" s="7">
        <v>41947</v>
      </c>
      <c r="B1454" s="4">
        <f>YEAR(SalesData[[#This Row],[Order Date]])</f>
        <v>2014</v>
      </c>
      <c r="C1454" s="4">
        <f>MONTH(SalesData[[#This Row],[Order Date]])</f>
        <v>11</v>
      </c>
      <c r="D1454" s="3" t="s">
        <v>1563</v>
      </c>
      <c r="E1454" s="3" t="s">
        <v>27</v>
      </c>
      <c r="F1454" s="3" t="s">
        <v>11</v>
      </c>
      <c r="G1454" s="3" t="s">
        <v>12</v>
      </c>
      <c r="H1454" s="3" t="s">
        <v>1219</v>
      </c>
      <c r="I1454" s="6">
        <v>19.440000000000001</v>
      </c>
      <c r="J1454" s="4">
        <v>3</v>
      </c>
      <c r="K1454" s="6">
        <v>9.33</v>
      </c>
    </row>
    <row r="1455" spans="1:11" x14ac:dyDescent="0.3">
      <c r="A1455" s="7">
        <v>41947</v>
      </c>
      <c r="B1455" s="4">
        <f>YEAR(SalesData[[#This Row],[Order Date]])</f>
        <v>2014</v>
      </c>
      <c r="C1455" s="4">
        <f>MONTH(SalesData[[#This Row],[Order Date]])</f>
        <v>11</v>
      </c>
      <c r="D1455" s="3" t="s">
        <v>1563</v>
      </c>
      <c r="E1455" s="3" t="s">
        <v>27</v>
      </c>
      <c r="F1455" s="3" t="s">
        <v>39</v>
      </c>
      <c r="G1455" s="3" t="s">
        <v>302</v>
      </c>
      <c r="H1455" s="3" t="s">
        <v>1566</v>
      </c>
      <c r="I1455" s="6">
        <v>447.97</v>
      </c>
      <c r="J1455" s="4">
        <v>4</v>
      </c>
      <c r="K1455" s="6">
        <v>139.99</v>
      </c>
    </row>
    <row r="1456" spans="1:11" x14ac:dyDescent="0.3">
      <c r="A1456" s="7">
        <v>41947</v>
      </c>
      <c r="B1456" s="4">
        <f>YEAR(SalesData[[#This Row],[Order Date]])</f>
        <v>2014</v>
      </c>
      <c r="C1456" s="4">
        <f>MONTH(SalesData[[#This Row],[Order Date]])</f>
        <v>11</v>
      </c>
      <c r="D1456" s="3" t="s">
        <v>1223</v>
      </c>
      <c r="E1456" s="3" t="s">
        <v>149</v>
      </c>
      <c r="F1456" s="3" t="s">
        <v>11</v>
      </c>
      <c r="G1456" s="3" t="s">
        <v>20</v>
      </c>
      <c r="H1456" s="3" t="s">
        <v>1567</v>
      </c>
      <c r="I1456" s="6">
        <v>52.06</v>
      </c>
      <c r="J1456" s="4">
        <v>4</v>
      </c>
      <c r="K1456" s="6">
        <v>18.87</v>
      </c>
    </row>
    <row r="1457" spans="1:11" x14ac:dyDescent="0.3">
      <c r="A1457" s="7">
        <v>41947</v>
      </c>
      <c r="B1457" s="4">
        <f>YEAR(SalesData[[#This Row],[Order Date]])</f>
        <v>2014</v>
      </c>
      <c r="C1457" s="4">
        <f>MONTH(SalesData[[#This Row],[Order Date]])</f>
        <v>11</v>
      </c>
      <c r="D1457" s="3" t="s">
        <v>1568</v>
      </c>
      <c r="E1457" s="3" t="s">
        <v>27</v>
      </c>
      <c r="F1457" s="3" t="s">
        <v>11</v>
      </c>
      <c r="G1457" s="3" t="s">
        <v>24</v>
      </c>
      <c r="H1457" s="3" t="s">
        <v>1569</v>
      </c>
      <c r="I1457" s="6">
        <v>2.94</v>
      </c>
      <c r="J1457" s="4">
        <v>1</v>
      </c>
      <c r="K1457" s="6">
        <v>0.79</v>
      </c>
    </row>
    <row r="1458" spans="1:11" x14ac:dyDescent="0.3">
      <c r="A1458" s="7">
        <v>41948</v>
      </c>
      <c r="B1458" s="4">
        <f>YEAR(SalesData[[#This Row],[Order Date]])</f>
        <v>2014</v>
      </c>
      <c r="C1458" s="4">
        <f>MONTH(SalesData[[#This Row],[Order Date]])</f>
        <v>11</v>
      </c>
      <c r="D1458" s="3" t="s">
        <v>1143</v>
      </c>
      <c r="E1458" s="3" t="s">
        <v>27</v>
      </c>
      <c r="F1458" s="3" t="s">
        <v>34</v>
      </c>
      <c r="G1458" s="3" t="s">
        <v>47</v>
      </c>
      <c r="H1458" s="3" t="s">
        <v>1570</v>
      </c>
      <c r="I1458" s="6">
        <v>20.04</v>
      </c>
      <c r="J1458" s="4">
        <v>6</v>
      </c>
      <c r="K1458" s="6">
        <v>8.82</v>
      </c>
    </row>
    <row r="1459" spans="1:11" x14ac:dyDescent="0.3">
      <c r="A1459" s="7">
        <v>41948</v>
      </c>
      <c r="B1459" s="4">
        <f>YEAR(SalesData[[#This Row],[Order Date]])</f>
        <v>2014</v>
      </c>
      <c r="C1459" s="4">
        <f>MONTH(SalesData[[#This Row],[Order Date]])</f>
        <v>11</v>
      </c>
      <c r="D1459" s="3" t="s">
        <v>215</v>
      </c>
      <c r="E1459" s="3" t="s">
        <v>55</v>
      </c>
      <c r="F1459" s="3" t="s">
        <v>39</v>
      </c>
      <c r="G1459" s="3" t="s">
        <v>52</v>
      </c>
      <c r="H1459" s="3" t="s">
        <v>598</v>
      </c>
      <c r="I1459" s="6">
        <v>47.79</v>
      </c>
      <c r="J1459" s="4">
        <v>3</v>
      </c>
      <c r="K1459" s="6">
        <v>16.25</v>
      </c>
    </row>
    <row r="1460" spans="1:11" x14ac:dyDescent="0.3">
      <c r="A1460" s="7">
        <v>41948</v>
      </c>
      <c r="B1460" s="4">
        <f>YEAR(SalesData[[#This Row],[Order Date]])</f>
        <v>2014</v>
      </c>
      <c r="C1460" s="4">
        <f>MONTH(SalesData[[#This Row],[Order Date]])</f>
        <v>11</v>
      </c>
      <c r="D1460" s="3" t="s">
        <v>1571</v>
      </c>
      <c r="E1460" s="3" t="s">
        <v>23</v>
      </c>
      <c r="F1460" s="3" t="s">
        <v>34</v>
      </c>
      <c r="G1460" s="3" t="s">
        <v>47</v>
      </c>
      <c r="H1460" s="3" t="s">
        <v>1554</v>
      </c>
      <c r="I1460" s="6">
        <v>273.57</v>
      </c>
      <c r="J1460" s="4">
        <v>2</v>
      </c>
      <c r="K1460" s="6">
        <v>-34.200000000000003</v>
      </c>
    </row>
    <row r="1461" spans="1:11" x14ac:dyDescent="0.3">
      <c r="A1461" s="7">
        <v>41948</v>
      </c>
      <c r="B1461" s="4">
        <f>YEAR(SalesData[[#This Row],[Order Date]])</f>
        <v>2014</v>
      </c>
      <c r="C1461" s="4">
        <f>MONTH(SalesData[[#This Row],[Order Date]])</f>
        <v>11</v>
      </c>
      <c r="D1461" s="3" t="s">
        <v>1571</v>
      </c>
      <c r="E1461" s="3" t="s">
        <v>23</v>
      </c>
      <c r="F1461" s="3" t="s">
        <v>11</v>
      </c>
      <c r="G1461" s="3" t="s">
        <v>20</v>
      </c>
      <c r="H1461" s="3" t="s">
        <v>627</v>
      </c>
      <c r="I1461" s="6">
        <v>13.19</v>
      </c>
      <c r="J1461" s="4">
        <v>2</v>
      </c>
      <c r="K1461" s="6">
        <v>-8.8000000000000007</v>
      </c>
    </row>
    <row r="1462" spans="1:11" x14ac:dyDescent="0.3">
      <c r="A1462" s="7">
        <v>41948</v>
      </c>
      <c r="B1462" s="4">
        <f>YEAR(SalesData[[#This Row],[Order Date]])</f>
        <v>2014</v>
      </c>
      <c r="C1462" s="4">
        <f>MONTH(SalesData[[#This Row],[Order Date]])</f>
        <v>11</v>
      </c>
      <c r="D1462" s="3" t="s">
        <v>1571</v>
      </c>
      <c r="E1462" s="3" t="s">
        <v>23</v>
      </c>
      <c r="F1462" s="3" t="s">
        <v>11</v>
      </c>
      <c r="G1462" s="3" t="s">
        <v>18</v>
      </c>
      <c r="H1462" s="3" t="s">
        <v>1572</v>
      </c>
      <c r="I1462" s="6">
        <v>1080.0999999999999</v>
      </c>
      <c r="J1462" s="4">
        <v>6</v>
      </c>
      <c r="K1462" s="6">
        <v>-94.51</v>
      </c>
    </row>
    <row r="1463" spans="1:11" x14ac:dyDescent="0.3">
      <c r="A1463" s="7">
        <v>41948</v>
      </c>
      <c r="B1463" s="4">
        <f>YEAR(SalesData[[#This Row],[Order Date]])</f>
        <v>2014</v>
      </c>
      <c r="C1463" s="4">
        <f>MONTH(SalesData[[#This Row],[Order Date]])</f>
        <v>11</v>
      </c>
      <c r="D1463" s="3" t="s">
        <v>1571</v>
      </c>
      <c r="E1463" s="3" t="s">
        <v>23</v>
      </c>
      <c r="F1463" s="3" t="s">
        <v>39</v>
      </c>
      <c r="G1463" s="3" t="s">
        <v>52</v>
      </c>
      <c r="H1463" s="3" t="s">
        <v>1461</v>
      </c>
      <c r="I1463" s="6">
        <v>51.56</v>
      </c>
      <c r="J1463" s="4">
        <v>5</v>
      </c>
      <c r="K1463" s="6">
        <v>-6.45</v>
      </c>
    </row>
    <row r="1464" spans="1:11" x14ac:dyDescent="0.3">
      <c r="A1464" s="7">
        <v>41948</v>
      </c>
      <c r="B1464" s="4">
        <f>YEAR(SalesData[[#This Row],[Order Date]])</f>
        <v>2014</v>
      </c>
      <c r="C1464" s="4">
        <f>MONTH(SalesData[[#This Row],[Order Date]])</f>
        <v>11</v>
      </c>
      <c r="D1464" s="3" t="s">
        <v>1571</v>
      </c>
      <c r="E1464" s="3" t="s">
        <v>23</v>
      </c>
      <c r="F1464" s="3" t="s">
        <v>39</v>
      </c>
      <c r="G1464" s="3" t="s">
        <v>52</v>
      </c>
      <c r="H1464" s="3" t="s">
        <v>1573</v>
      </c>
      <c r="I1464" s="6">
        <v>58.42</v>
      </c>
      <c r="J1464" s="4">
        <v>2</v>
      </c>
      <c r="K1464" s="6">
        <v>16.79</v>
      </c>
    </row>
    <row r="1465" spans="1:11" x14ac:dyDescent="0.3">
      <c r="A1465" s="7">
        <v>41948</v>
      </c>
      <c r="B1465" s="4">
        <f>YEAR(SalesData[[#This Row],[Order Date]])</f>
        <v>2014</v>
      </c>
      <c r="C1465" s="4">
        <f>MONTH(SalesData[[#This Row],[Order Date]])</f>
        <v>11</v>
      </c>
      <c r="D1465" s="3" t="s">
        <v>1574</v>
      </c>
      <c r="E1465" s="3" t="s">
        <v>55</v>
      </c>
      <c r="F1465" s="3" t="s">
        <v>34</v>
      </c>
      <c r="G1465" s="3" t="s">
        <v>35</v>
      </c>
      <c r="H1465" s="3" t="s">
        <v>1575</v>
      </c>
      <c r="I1465" s="6">
        <v>149.9</v>
      </c>
      <c r="J1465" s="4">
        <v>5</v>
      </c>
      <c r="K1465" s="6">
        <v>40.47</v>
      </c>
    </row>
    <row r="1466" spans="1:11" x14ac:dyDescent="0.3">
      <c r="A1466" s="7">
        <v>41949</v>
      </c>
      <c r="B1466" s="4">
        <f>YEAR(SalesData[[#This Row],[Order Date]])</f>
        <v>2014</v>
      </c>
      <c r="C1466" s="4">
        <f>MONTH(SalesData[[#This Row],[Order Date]])</f>
        <v>11</v>
      </c>
      <c r="D1466" s="3" t="s">
        <v>680</v>
      </c>
      <c r="E1466" s="3" t="s">
        <v>30</v>
      </c>
      <c r="F1466" s="3" t="s">
        <v>11</v>
      </c>
      <c r="G1466" s="3" t="s">
        <v>12</v>
      </c>
      <c r="H1466" s="3" t="s">
        <v>240</v>
      </c>
      <c r="I1466" s="6">
        <v>43.68</v>
      </c>
      <c r="J1466" s="4">
        <v>6</v>
      </c>
      <c r="K1466" s="6">
        <v>20.97</v>
      </c>
    </row>
    <row r="1467" spans="1:11" x14ac:dyDescent="0.3">
      <c r="A1467" s="7">
        <v>41950</v>
      </c>
      <c r="B1467" s="4">
        <f>YEAR(SalesData[[#This Row],[Order Date]])</f>
        <v>2014</v>
      </c>
      <c r="C1467" s="4">
        <f>MONTH(SalesData[[#This Row],[Order Date]])</f>
        <v>11</v>
      </c>
      <c r="D1467" s="3" t="s">
        <v>1576</v>
      </c>
      <c r="E1467" s="3" t="s">
        <v>10</v>
      </c>
      <c r="F1467" s="3" t="s">
        <v>11</v>
      </c>
      <c r="G1467" s="3" t="s">
        <v>20</v>
      </c>
      <c r="H1467" s="3" t="s">
        <v>1139</v>
      </c>
      <c r="I1467" s="6">
        <v>26.05</v>
      </c>
      <c r="J1467" s="4">
        <v>3</v>
      </c>
      <c r="K1467" s="6">
        <v>-44.28</v>
      </c>
    </row>
    <row r="1468" spans="1:11" x14ac:dyDescent="0.3">
      <c r="A1468" s="7">
        <v>41950</v>
      </c>
      <c r="B1468" s="4">
        <f>YEAR(SalesData[[#This Row],[Order Date]])</f>
        <v>2014</v>
      </c>
      <c r="C1468" s="4">
        <f>MONTH(SalesData[[#This Row],[Order Date]])</f>
        <v>11</v>
      </c>
      <c r="D1468" s="3" t="s">
        <v>1576</v>
      </c>
      <c r="E1468" s="3" t="s">
        <v>10</v>
      </c>
      <c r="F1468" s="3" t="s">
        <v>11</v>
      </c>
      <c r="G1468" s="3" t="s">
        <v>63</v>
      </c>
      <c r="H1468" s="3" t="s">
        <v>64</v>
      </c>
      <c r="I1468" s="6">
        <v>74.349999999999994</v>
      </c>
      <c r="J1468" s="4">
        <v>3</v>
      </c>
      <c r="K1468" s="6">
        <v>26.95</v>
      </c>
    </row>
    <row r="1469" spans="1:11" x14ac:dyDescent="0.3">
      <c r="A1469" s="7">
        <v>41950</v>
      </c>
      <c r="B1469" s="4">
        <f>YEAR(SalesData[[#This Row],[Order Date]])</f>
        <v>2014</v>
      </c>
      <c r="C1469" s="4">
        <f>MONTH(SalesData[[#This Row],[Order Date]])</f>
        <v>11</v>
      </c>
      <c r="D1469" s="3" t="s">
        <v>1138</v>
      </c>
      <c r="E1469" s="3" t="s">
        <v>27</v>
      </c>
      <c r="F1469" s="3" t="s">
        <v>11</v>
      </c>
      <c r="G1469" s="3" t="s">
        <v>20</v>
      </c>
      <c r="H1469" s="3" t="s">
        <v>627</v>
      </c>
      <c r="I1469" s="6">
        <v>123.14</v>
      </c>
      <c r="J1469" s="4">
        <v>7</v>
      </c>
      <c r="K1469" s="6">
        <v>46.18</v>
      </c>
    </row>
    <row r="1470" spans="1:11" x14ac:dyDescent="0.3">
      <c r="A1470" s="7">
        <v>41950</v>
      </c>
      <c r="B1470" s="4">
        <f>YEAR(SalesData[[#This Row],[Order Date]])</f>
        <v>2014</v>
      </c>
      <c r="C1470" s="4">
        <f>MONTH(SalesData[[#This Row],[Order Date]])</f>
        <v>11</v>
      </c>
      <c r="D1470" s="3" t="s">
        <v>768</v>
      </c>
      <c r="E1470" s="3" t="s">
        <v>10</v>
      </c>
      <c r="F1470" s="3" t="s">
        <v>34</v>
      </c>
      <c r="G1470" s="3" t="s">
        <v>35</v>
      </c>
      <c r="H1470" s="3" t="s">
        <v>792</v>
      </c>
      <c r="I1470" s="6">
        <v>683.14</v>
      </c>
      <c r="J1470" s="4">
        <v>4</v>
      </c>
      <c r="K1470" s="6">
        <v>0</v>
      </c>
    </row>
    <row r="1471" spans="1:11" x14ac:dyDescent="0.3">
      <c r="A1471" s="7">
        <v>41950</v>
      </c>
      <c r="B1471" s="4">
        <f>YEAR(SalesData[[#This Row],[Order Date]])</f>
        <v>2014</v>
      </c>
      <c r="C1471" s="4">
        <f>MONTH(SalesData[[#This Row],[Order Date]])</f>
        <v>11</v>
      </c>
      <c r="D1471" s="3" t="s">
        <v>768</v>
      </c>
      <c r="E1471" s="3" t="s">
        <v>10</v>
      </c>
      <c r="F1471" s="3" t="s">
        <v>11</v>
      </c>
      <c r="G1471" s="3" t="s">
        <v>20</v>
      </c>
      <c r="H1471" s="3" t="s">
        <v>1577</v>
      </c>
      <c r="I1471" s="6">
        <v>1.48</v>
      </c>
      <c r="J1471" s="4">
        <v>3</v>
      </c>
      <c r="K1471" s="6">
        <v>-2.21</v>
      </c>
    </row>
    <row r="1472" spans="1:11" x14ac:dyDescent="0.3">
      <c r="A1472" s="7">
        <v>41950</v>
      </c>
      <c r="B1472" s="4">
        <f>YEAR(SalesData[[#This Row],[Order Date]])</f>
        <v>2014</v>
      </c>
      <c r="C1472" s="4">
        <f>MONTH(SalesData[[#This Row],[Order Date]])</f>
        <v>11</v>
      </c>
      <c r="D1472" s="3" t="s">
        <v>768</v>
      </c>
      <c r="E1472" s="3" t="s">
        <v>10</v>
      </c>
      <c r="F1472" s="3" t="s">
        <v>11</v>
      </c>
      <c r="G1472" s="3" t="s">
        <v>200</v>
      </c>
      <c r="H1472" s="3" t="s">
        <v>1578</v>
      </c>
      <c r="I1472" s="6">
        <v>40.71</v>
      </c>
      <c r="J1472" s="4">
        <v>7</v>
      </c>
      <c r="K1472" s="6">
        <v>3.56</v>
      </c>
    </row>
    <row r="1473" spans="1:11" x14ac:dyDescent="0.3">
      <c r="A1473" s="7">
        <v>41950</v>
      </c>
      <c r="B1473" s="4">
        <f>YEAR(SalesData[[#This Row],[Order Date]])</f>
        <v>2014</v>
      </c>
      <c r="C1473" s="4">
        <f>MONTH(SalesData[[#This Row],[Order Date]])</f>
        <v>11</v>
      </c>
      <c r="D1473" s="3" t="s">
        <v>1258</v>
      </c>
      <c r="E1473" s="3" t="s">
        <v>157</v>
      </c>
      <c r="F1473" s="3" t="s">
        <v>11</v>
      </c>
      <c r="G1473" s="3" t="s">
        <v>92</v>
      </c>
      <c r="H1473" s="3" t="s">
        <v>199</v>
      </c>
      <c r="I1473" s="6">
        <v>245.88</v>
      </c>
      <c r="J1473" s="4">
        <v>6</v>
      </c>
      <c r="K1473" s="6">
        <v>68.849999999999994</v>
      </c>
    </row>
    <row r="1474" spans="1:11" x14ac:dyDescent="0.3">
      <c r="A1474" s="7">
        <v>41950</v>
      </c>
      <c r="B1474" s="4">
        <f>YEAR(SalesData[[#This Row],[Order Date]])</f>
        <v>2014</v>
      </c>
      <c r="C1474" s="4">
        <f>MONTH(SalesData[[#This Row],[Order Date]])</f>
        <v>11</v>
      </c>
      <c r="D1474" s="3" t="s">
        <v>1258</v>
      </c>
      <c r="E1474" s="3" t="s">
        <v>157</v>
      </c>
      <c r="F1474" s="3" t="s">
        <v>11</v>
      </c>
      <c r="G1474" s="3" t="s">
        <v>18</v>
      </c>
      <c r="H1474" s="3" t="s">
        <v>1171</v>
      </c>
      <c r="I1474" s="6">
        <v>36.630000000000003</v>
      </c>
      <c r="J1474" s="4">
        <v>3</v>
      </c>
      <c r="K1474" s="6">
        <v>9.89</v>
      </c>
    </row>
    <row r="1475" spans="1:11" x14ac:dyDescent="0.3">
      <c r="A1475" s="7">
        <v>41950</v>
      </c>
      <c r="B1475" s="4">
        <f>YEAR(SalesData[[#This Row],[Order Date]])</f>
        <v>2014</v>
      </c>
      <c r="C1475" s="4">
        <f>MONTH(SalesData[[#This Row],[Order Date]])</f>
        <v>11</v>
      </c>
      <c r="D1475" s="3" t="s">
        <v>1258</v>
      </c>
      <c r="E1475" s="3" t="s">
        <v>157</v>
      </c>
      <c r="F1475" s="3" t="s">
        <v>11</v>
      </c>
      <c r="G1475" s="3" t="s">
        <v>18</v>
      </c>
      <c r="H1475" s="3" t="s">
        <v>585</v>
      </c>
      <c r="I1475" s="6">
        <v>22.58</v>
      </c>
      <c r="J1475" s="4">
        <v>2</v>
      </c>
      <c r="K1475" s="6">
        <v>5.87</v>
      </c>
    </row>
    <row r="1476" spans="1:11" x14ac:dyDescent="0.3">
      <c r="A1476" s="7">
        <v>41950</v>
      </c>
      <c r="B1476" s="4">
        <f>YEAR(SalesData[[#This Row],[Order Date]])</f>
        <v>2014</v>
      </c>
      <c r="C1476" s="4">
        <f>MONTH(SalesData[[#This Row],[Order Date]])</f>
        <v>11</v>
      </c>
      <c r="D1476" s="3" t="s">
        <v>1258</v>
      </c>
      <c r="E1476" s="3" t="s">
        <v>157</v>
      </c>
      <c r="F1476" s="3" t="s">
        <v>11</v>
      </c>
      <c r="G1476" s="3" t="s">
        <v>20</v>
      </c>
      <c r="H1476" s="3" t="s">
        <v>559</v>
      </c>
      <c r="I1476" s="6">
        <v>12.39</v>
      </c>
      <c r="J1476" s="4">
        <v>3</v>
      </c>
      <c r="K1476" s="6">
        <v>5.82</v>
      </c>
    </row>
    <row r="1477" spans="1:11" x14ac:dyDescent="0.3">
      <c r="A1477" s="7">
        <v>41950</v>
      </c>
      <c r="B1477" s="4">
        <f>YEAR(SalesData[[#This Row],[Order Date]])</f>
        <v>2014</v>
      </c>
      <c r="C1477" s="4">
        <f>MONTH(SalesData[[#This Row],[Order Date]])</f>
        <v>11</v>
      </c>
      <c r="D1477" s="3" t="s">
        <v>788</v>
      </c>
      <c r="E1477" s="3" t="s">
        <v>149</v>
      </c>
      <c r="F1477" s="3" t="s">
        <v>11</v>
      </c>
      <c r="G1477" s="3" t="s">
        <v>43</v>
      </c>
      <c r="H1477" s="3" t="s">
        <v>496</v>
      </c>
      <c r="I1477" s="6">
        <v>5.92</v>
      </c>
      <c r="J1477" s="4">
        <v>4</v>
      </c>
      <c r="K1477" s="6">
        <v>2.84</v>
      </c>
    </row>
    <row r="1478" spans="1:11" x14ac:dyDescent="0.3">
      <c r="A1478" s="7">
        <v>41950</v>
      </c>
      <c r="B1478" s="4">
        <f>YEAR(SalesData[[#This Row],[Order Date]])</f>
        <v>2014</v>
      </c>
      <c r="C1478" s="4">
        <f>MONTH(SalesData[[#This Row],[Order Date]])</f>
        <v>11</v>
      </c>
      <c r="D1478" s="3" t="s">
        <v>788</v>
      </c>
      <c r="E1478" s="3" t="s">
        <v>149</v>
      </c>
      <c r="F1478" s="3" t="s">
        <v>11</v>
      </c>
      <c r="G1478" s="3" t="s">
        <v>12</v>
      </c>
      <c r="H1478" s="3" t="s">
        <v>1141</v>
      </c>
      <c r="I1478" s="6">
        <v>30.18</v>
      </c>
      <c r="J1478" s="4">
        <v>3</v>
      </c>
      <c r="K1478" s="6">
        <v>13.88</v>
      </c>
    </row>
    <row r="1479" spans="1:11" x14ac:dyDescent="0.3">
      <c r="A1479" s="7">
        <v>41950</v>
      </c>
      <c r="B1479" s="4">
        <f>YEAR(SalesData[[#This Row],[Order Date]])</f>
        <v>2014</v>
      </c>
      <c r="C1479" s="4">
        <f>MONTH(SalesData[[#This Row],[Order Date]])</f>
        <v>11</v>
      </c>
      <c r="D1479" s="3" t="s">
        <v>208</v>
      </c>
      <c r="E1479" s="3" t="s">
        <v>91</v>
      </c>
      <c r="F1479" s="3" t="s">
        <v>11</v>
      </c>
      <c r="G1479" s="3" t="s">
        <v>12</v>
      </c>
      <c r="H1479" s="3" t="s">
        <v>880</v>
      </c>
      <c r="I1479" s="6">
        <v>25.92</v>
      </c>
      <c r="J1479" s="4">
        <v>5</v>
      </c>
      <c r="K1479" s="6">
        <v>9.07</v>
      </c>
    </row>
    <row r="1480" spans="1:11" x14ac:dyDescent="0.3">
      <c r="A1480" s="7">
        <v>41950</v>
      </c>
      <c r="B1480" s="4">
        <f>YEAR(SalesData[[#This Row],[Order Date]])</f>
        <v>2014</v>
      </c>
      <c r="C1480" s="4">
        <f>MONTH(SalesData[[#This Row],[Order Date]])</f>
        <v>11</v>
      </c>
      <c r="D1480" s="3" t="s">
        <v>208</v>
      </c>
      <c r="E1480" s="3" t="s">
        <v>91</v>
      </c>
      <c r="F1480" s="3" t="s">
        <v>11</v>
      </c>
      <c r="G1480" s="3" t="s">
        <v>24</v>
      </c>
      <c r="H1480" s="3" t="s">
        <v>1579</v>
      </c>
      <c r="I1480" s="6">
        <v>120.77</v>
      </c>
      <c r="J1480" s="4">
        <v>4</v>
      </c>
      <c r="K1480" s="6">
        <v>9.06</v>
      </c>
    </row>
    <row r="1481" spans="1:11" x14ac:dyDescent="0.3">
      <c r="A1481" s="7">
        <v>41951</v>
      </c>
      <c r="B1481" s="4">
        <f>YEAR(SalesData[[#This Row],[Order Date]])</f>
        <v>2014</v>
      </c>
      <c r="C1481" s="4">
        <f>MONTH(SalesData[[#This Row],[Order Date]])</f>
        <v>11</v>
      </c>
      <c r="D1481" s="3" t="s">
        <v>622</v>
      </c>
      <c r="E1481" s="3" t="s">
        <v>27</v>
      </c>
      <c r="F1481" s="3" t="s">
        <v>39</v>
      </c>
      <c r="G1481" s="3" t="s">
        <v>40</v>
      </c>
      <c r="H1481" s="3" t="s">
        <v>1580</v>
      </c>
      <c r="I1481" s="6">
        <v>333.58</v>
      </c>
      <c r="J1481" s="4">
        <v>3</v>
      </c>
      <c r="K1481" s="6">
        <v>25.02</v>
      </c>
    </row>
    <row r="1482" spans="1:11" x14ac:dyDescent="0.3">
      <c r="A1482" s="7">
        <v>41952</v>
      </c>
      <c r="B1482" s="4">
        <f>YEAR(SalesData[[#This Row],[Order Date]])</f>
        <v>2014</v>
      </c>
      <c r="C1482" s="4">
        <f>MONTH(SalesData[[#This Row],[Order Date]])</f>
        <v>11</v>
      </c>
      <c r="D1482" s="3" t="s">
        <v>1145</v>
      </c>
      <c r="E1482" s="3" t="s">
        <v>27</v>
      </c>
      <c r="F1482" s="3" t="s">
        <v>11</v>
      </c>
      <c r="G1482" s="3" t="s">
        <v>18</v>
      </c>
      <c r="H1482" s="3" t="s">
        <v>19</v>
      </c>
      <c r="I1482" s="6">
        <v>340.92</v>
      </c>
      <c r="J1482" s="4">
        <v>3</v>
      </c>
      <c r="K1482" s="6">
        <v>3.41</v>
      </c>
    </row>
    <row r="1483" spans="1:11" x14ac:dyDescent="0.3">
      <c r="A1483" s="7">
        <v>41952</v>
      </c>
      <c r="B1483" s="4">
        <f>YEAR(SalesData[[#This Row],[Order Date]])</f>
        <v>2014</v>
      </c>
      <c r="C1483" s="4">
        <f>MONTH(SalesData[[#This Row],[Order Date]])</f>
        <v>11</v>
      </c>
      <c r="D1483" s="3" t="s">
        <v>1145</v>
      </c>
      <c r="E1483" s="3" t="s">
        <v>27</v>
      </c>
      <c r="F1483" s="3" t="s">
        <v>34</v>
      </c>
      <c r="G1483" s="3" t="s">
        <v>74</v>
      </c>
      <c r="H1483" s="3" t="s">
        <v>1581</v>
      </c>
      <c r="I1483" s="6">
        <v>222.67</v>
      </c>
      <c r="J1483" s="4">
        <v>2</v>
      </c>
      <c r="K1483" s="6">
        <v>10.48</v>
      </c>
    </row>
    <row r="1484" spans="1:11" x14ac:dyDescent="0.3">
      <c r="A1484" s="7">
        <v>41952</v>
      </c>
      <c r="B1484" s="4">
        <f>YEAR(SalesData[[#This Row],[Order Date]])</f>
        <v>2014</v>
      </c>
      <c r="C1484" s="4">
        <f>MONTH(SalesData[[#This Row],[Order Date]])</f>
        <v>11</v>
      </c>
      <c r="D1484" s="3" t="s">
        <v>1145</v>
      </c>
      <c r="E1484" s="3" t="s">
        <v>27</v>
      </c>
      <c r="F1484" s="3" t="s">
        <v>39</v>
      </c>
      <c r="G1484" s="3" t="s">
        <v>40</v>
      </c>
      <c r="H1484" s="3" t="s">
        <v>750</v>
      </c>
      <c r="I1484" s="6">
        <v>703.97</v>
      </c>
      <c r="J1484" s="4">
        <v>4</v>
      </c>
      <c r="K1484" s="6">
        <v>88</v>
      </c>
    </row>
    <row r="1485" spans="1:11" x14ac:dyDescent="0.3">
      <c r="A1485" s="7">
        <v>41952</v>
      </c>
      <c r="B1485" s="4">
        <f>YEAR(SalesData[[#This Row],[Order Date]])</f>
        <v>2014</v>
      </c>
      <c r="C1485" s="4">
        <f>MONTH(SalesData[[#This Row],[Order Date]])</f>
        <v>11</v>
      </c>
      <c r="D1485" s="3" t="s">
        <v>1145</v>
      </c>
      <c r="E1485" s="3" t="s">
        <v>27</v>
      </c>
      <c r="F1485" s="3" t="s">
        <v>11</v>
      </c>
      <c r="G1485" s="3" t="s">
        <v>18</v>
      </c>
      <c r="H1485" s="3" t="s">
        <v>1331</v>
      </c>
      <c r="I1485" s="6">
        <v>92.52</v>
      </c>
      <c r="J1485" s="4">
        <v>6</v>
      </c>
      <c r="K1485" s="6">
        <v>24.98</v>
      </c>
    </row>
    <row r="1486" spans="1:11" x14ac:dyDescent="0.3">
      <c r="A1486" s="7">
        <v>41952</v>
      </c>
      <c r="B1486" s="4">
        <f>YEAR(SalesData[[#This Row],[Order Date]])</f>
        <v>2014</v>
      </c>
      <c r="C1486" s="4">
        <f>MONTH(SalesData[[#This Row],[Order Date]])</f>
        <v>11</v>
      </c>
      <c r="D1486" s="3" t="s">
        <v>1145</v>
      </c>
      <c r="E1486" s="3" t="s">
        <v>27</v>
      </c>
      <c r="F1486" s="3" t="s">
        <v>11</v>
      </c>
      <c r="G1486" s="3" t="s">
        <v>12</v>
      </c>
      <c r="H1486" s="3" t="s">
        <v>1582</v>
      </c>
      <c r="I1486" s="6">
        <v>62.65</v>
      </c>
      <c r="J1486" s="4">
        <v>7</v>
      </c>
      <c r="K1486" s="6">
        <v>28.82</v>
      </c>
    </row>
    <row r="1487" spans="1:11" x14ac:dyDescent="0.3">
      <c r="A1487" s="7">
        <v>41952</v>
      </c>
      <c r="B1487" s="4">
        <f>YEAR(SalesData[[#This Row],[Order Date]])</f>
        <v>2014</v>
      </c>
      <c r="C1487" s="4">
        <f>MONTH(SalesData[[#This Row],[Order Date]])</f>
        <v>11</v>
      </c>
      <c r="D1487" s="3" t="s">
        <v>1145</v>
      </c>
      <c r="E1487" s="3" t="s">
        <v>27</v>
      </c>
      <c r="F1487" s="3" t="s">
        <v>11</v>
      </c>
      <c r="G1487" s="3" t="s">
        <v>12</v>
      </c>
      <c r="H1487" s="3" t="s">
        <v>1583</v>
      </c>
      <c r="I1487" s="6">
        <v>94.85</v>
      </c>
      <c r="J1487" s="4">
        <v>5</v>
      </c>
      <c r="K1487" s="6">
        <v>45.53</v>
      </c>
    </row>
    <row r="1488" spans="1:11" x14ac:dyDescent="0.3">
      <c r="A1488" s="7">
        <v>41952</v>
      </c>
      <c r="B1488" s="4">
        <f>YEAR(SalesData[[#This Row],[Order Date]])</f>
        <v>2014</v>
      </c>
      <c r="C1488" s="4">
        <f>MONTH(SalesData[[#This Row],[Order Date]])</f>
        <v>11</v>
      </c>
      <c r="D1488" s="3" t="s">
        <v>1584</v>
      </c>
      <c r="E1488" s="3" t="s">
        <v>149</v>
      </c>
      <c r="F1488" s="3" t="s">
        <v>34</v>
      </c>
      <c r="G1488" s="3" t="s">
        <v>47</v>
      </c>
      <c r="H1488" s="3" t="s">
        <v>1585</v>
      </c>
      <c r="I1488" s="6">
        <v>56.52</v>
      </c>
      <c r="J1488" s="4">
        <v>9</v>
      </c>
      <c r="K1488" s="6">
        <v>21.48</v>
      </c>
    </row>
    <row r="1489" spans="1:11" x14ac:dyDescent="0.3">
      <c r="A1489" s="7">
        <v>41953</v>
      </c>
      <c r="B1489" s="4">
        <f>YEAR(SalesData[[#This Row],[Order Date]])</f>
        <v>2014</v>
      </c>
      <c r="C1489" s="4">
        <f>MONTH(SalesData[[#This Row],[Order Date]])</f>
        <v>11</v>
      </c>
      <c r="D1489" s="3" t="s">
        <v>465</v>
      </c>
      <c r="E1489" s="3" t="s">
        <v>27</v>
      </c>
      <c r="F1489" s="3" t="s">
        <v>39</v>
      </c>
      <c r="G1489" s="3" t="s">
        <v>40</v>
      </c>
      <c r="H1489" s="3" t="s">
        <v>138</v>
      </c>
      <c r="I1489" s="6">
        <v>601.54</v>
      </c>
      <c r="J1489" s="4">
        <v>8</v>
      </c>
      <c r="K1489" s="6">
        <v>60.15</v>
      </c>
    </row>
    <row r="1490" spans="1:11" x14ac:dyDescent="0.3">
      <c r="A1490" s="7">
        <v>41953</v>
      </c>
      <c r="B1490" s="4">
        <f>YEAR(SalesData[[#This Row],[Order Date]])</f>
        <v>2014</v>
      </c>
      <c r="C1490" s="4">
        <f>MONTH(SalesData[[#This Row],[Order Date]])</f>
        <v>11</v>
      </c>
      <c r="D1490" s="3" t="s">
        <v>465</v>
      </c>
      <c r="E1490" s="3" t="s">
        <v>27</v>
      </c>
      <c r="F1490" s="3" t="s">
        <v>39</v>
      </c>
      <c r="G1490" s="3" t="s">
        <v>52</v>
      </c>
      <c r="H1490" s="3" t="s">
        <v>1243</v>
      </c>
      <c r="I1490" s="6">
        <v>10.99</v>
      </c>
      <c r="J1490" s="4">
        <v>1</v>
      </c>
      <c r="K1490" s="6">
        <v>4.29</v>
      </c>
    </row>
    <row r="1491" spans="1:11" x14ac:dyDescent="0.3">
      <c r="A1491" s="7">
        <v>41953</v>
      </c>
      <c r="B1491" s="4">
        <f>YEAR(SalesData[[#This Row],[Order Date]])</f>
        <v>2014</v>
      </c>
      <c r="C1491" s="4">
        <f>MONTH(SalesData[[#This Row],[Order Date]])</f>
        <v>11</v>
      </c>
      <c r="D1491" s="3" t="s">
        <v>465</v>
      </c>
      <c r="E1491" s="3" t="s">
        <v>27</v>
      </c>
      <c r="F1491" s="3" t="s">
        <v>34</v>
      </c>
      <c r="G1491" s="3" t="s">
        <v>47</v>
      </c>
      <c r="H1491" s="3" t="s">
        <v>1586</v>
      </c>
      <c r="I1491" s="6">
        <v>39.880000000000003</v>
      </c>
      <c r="J1491" s="4">
        <v>2</v>
      </c>
      <c r="K1491" s="6">
        <v>11.17</v>
      </c>
    </row>
    <row r="1492" spans="1:11" x14ac:dyDescent="0.3">
      <c r="A1492" s="7">
        <v>41953</v>
      </c>
      <c r="B1492" s="4">
        <f>YEAR(SalesData[[#This Row],[Order Date]])</f>
        <v>2014</v>
      </c>
      <c r="C1492" s="4">
        <f>MONTH(SalesData[[#This Row],[Order Date]])</f>
        <v>11</v>
      </c>
      <c r="D1492" s="3" t="s">
        <v>465</v>
      </c>
      <c r="E1492" s="3" t="s">
        <v>27</v>
      </c>
      <c r="F1492" s="3" t="s">
        <v>11</v>
      </c>
      <c r="G1492" s="3" t="s">
        <v>12</v>
      </c>
      <c r="H1492" s="3" t="s">
        <v>284</v>
      </c>
      <c r="I1492" s="6">
        <v>62.24</v>
      </c>
      <c r="J1492" s="4">
        <v>8</v>
      </c>
      <c r="K1492" s="6">
        <v>28.01</v>
      </c>
    </row>
    <row r="1493" spans="1:11" x14ac:dyDescent="0.3">
      <c r="A1493" s="7">
        <v>41953</v>
      </c>
      <c r="B1493" s="4">
        <f>YEAR(SalesData[[#This Row],[Order Date]])</f>
        <v>2014</v>
      </c>
      <c r="C1493" s="4">
        <f>MONTH(SalesData[[#This Row],[Order Date]])</f>
        <v>11</v>
      </c>
      <c r="D1493" s="3" t="s">
        <v>465</v>
      </c>
      <c r="E1493" s="3" t="s">
        <v>27</v>
      </c>
      <c r="F1493" s="3" t="s">
        <v>34</v>
      </c>
      <c r="G1493" s="3" t="s">
        <v>47</v>
      </c>
      <c r="H1493" s="3" t="s">
        <v>1587</v>
      </c>
      <c r="I1493" s="6">
        <v>53.2</v>
      </c>
      <c r="J1493" s="4">
        <v>5</v>
      </c>
      <c r="K1493" s="6">
        <v>14.9</v>
      </c>
    </row>
    <row r="1494" spans="1:11" x14ac:dyDescent="0.3">
      <c r="A1494" s="7">
        <v>41953</v>
      </c>
      <c r="B1494" s="4">
        <f>YEAR(SalesData[[#This Row],[Order Date]])</f>
        <v>2014</v>
      </c>
      <c r="C1494" s="4">
        <f>MONTH(SalesData[[#This Row],[Order Date]])</f>
        <v>11</v>
      </c>
      <c r="D1494" s="3" t="s">
        <v>465</v>
      </c>
      <c r="E1494" s="3" t="s">
        <v>27</v>
      </c>
      <c r="F1494" s="3" t="s">
        <v>11</v>
      </c>
      <c r="G1494" s="3" t="s">
        <v>16</v>
      </c>
      <c r="H1494" s="3" t="s">
        <v>1588</v>
      </c>
      <c r="I1494" s="6">
        <v>39.840000000000003</v>
      </c>
      <c r="J1494" s="4">
        <v>8</v>
      </c>
      <c r="K1494" s="6">
        <v>18.329999999999998</v>
      </c>
    </row>
    <row r="1495" spans="1:11" x14ac:dyDescent="0.3">
      <c r="A1495" s="7">
        <v>41953</v>
      </c>
      <c r="B1495" s="4">
        <f>YEAR(SalesData[[#This Row],[Order Date]])</f>
        <v>2014</v>
      </c>
      <c r="C1495" s="4">
        <f>MONTH(SalesData[[#This Row],[Order Date]])</f>
        <v>11</v>
      </c>
      <c r="D1495" s="3" t="s">
        <v>252</v>
      </c>
      <c r="E1495" s="3" t="s">
        <v>110</v>
      </c>
      <c r="F1495" s="3" t="s">
        <v>11</v>
      </c>
      <c r="G1495" s="3" t="s">
        <v>24</v>
      </c>
      <c r="H1495" s="3" t="s">
        <v>1589</v>
      </c>
      <c r="I1495" s="6">
        <v>3.9</v>
      </c>
      <c r="J1495" s="4">
        <v>2</v>
      </c>
      <c r="K1495" s="6">
        <v>1.52</v>
      </c>
    </row>
    <row r="1496" spans="1:11" x14ac:dyDescent="0.3">
      <c r="A1496" s="7">
        <v>41953</v>
      </c>
      <c r="B1496" s="4">
        <f>YEAR(SalesData[[#This Row],[Order Date]])</f>
        <v>2014</v>
      </c>
      <c r="C1496" s="4">
        <f>MONTH(SalesData[[#This Row],[Order Date]])</f>
        <v>11</v>
      </c>
      <c r="D1496" s="3" t="s">
        <v>252</v>
      </c>
      <c r="E1496" s="3" t="s">
        <v>110</v>
      </c>
      <c r="F1496" s="3" t="s">
        <v>11</v>
      </c>
      <c r="G1496" s="3" t="s">
        <v>12</v>
      </c>
      <c r="H1496" s="3" t="s">
        <v>1590</v>
      </c>
      <c r="I1496" s="6">
        <v>12.84</v>
      </c>
      <c r="J1496" s="4">
        <v>3</v>
      </c>
      <c r="K1496" s="6">
        <v>5.78</v>
      </c>
    </row>
    <row r="1497" spans="1:11" x14ac:dyDescent="0.3">
      <c r="A1497" s="7">
        <v>41953</v>
      </c>
      <c r="B1497" s="4">
        <f>YEAR(SalesData[[#This Row],[Order Date]])</f>
        <v>2014</v>
      </c>
      <c r="C1497" s="4">
        <f>MONTH(SalesData[[#This Row],[Order Date]])</f>
        <v>11</v>
      </c>
      <c r="D1497" s="3" t="s">
        <v>252</v>
      </c>
      <c r="E1497" s="3" t="s">
        <v>110</v>
      </c>
      <c r="F1497" s="3" t="s">
        <v>11</v>
      </c>
      <c r="G1497" s="3" t="s">
        <v>12</v>
      </c>
      <c r="H1497" s="3" t="s">
        <v>1591</v>
      </c>
      <c r="I1497" s="6">
        <v>15.84</v>
      </c>
      <c r="J1497" s="4">
        <v>3</v>
      </c>
      <c r="K1497" s="6">
        <v>7.13</v>
      </c>
    </row>
    <row r="1498" spans="1:11" x14ac:dyDescent="0.3">
      <c r="A1498" s="7">
        <v>41953</v>
      </c>
      <c r="B1498" s="4">
        <f>YEAR(SalesData[[#This Row],[Order Date]])</f>
        <v>2014</v>
      </c>
      <c r="C1498" s="4">
        <f>MONTH(SalesData[[#This Row],[Order Date]])</f>
        <v>11</v>
      </c>
      <c r="D1498" s="3" t="s">
        <v>252</v>
      </c>
      <c r="E1498" s="3" t="s">
        <v>110</v>
      </c>
      <c r="F1498" s="3" t="s">
        <v>34</v>
      </c>
      <c r="G1498" s="3" t="s">
        <v>35</v>
      </c>
      <c r="H1498" s="3" t="s">
        <v>994</v>
      </c>
      <c r="I1498" s="6">
        <v>563.94000000000005</v>
      </c>
      <c r="J1498" s="4">
        <v>3</v>
      </c>
      <c r="K1498" s="6">
        <v>112.79</v>
      </c>
    </row>
    <row r="1499" spans="1:11" x14ac:dyDescent="0.3">
      <c r="A1499" s="7">
        <v>41953</v>
      </c>
      <c r="B1499" s="4">
        <f>YEAR(SalesData[[#This Row],[Order Date]])</f>
        <v>2014</v>
      </c>
      <c r="C1499" s="4">
        <f>MONTH(SalesData[[#This Row],[Order Date]])</f>
        <v>11</v>
      </c>
      <c r="D1499" s="3" t="s">
        <v>252</v>
      </c>
      <c r="E1499" s="3" t="s">
        <v>110</v>
      </c>
      <c r="F1499" s="3" t="s">
        <v>11</v>
      </c>
      <c r="G1499" s="3" t="s">
        <v>18</v>
      </c>
      <c r="H1499" s="3" t="s">
        <v>1592</v>
      </c>
      <c r="I1499" s="6">
        <v>62.94</v>
      </c>
      <c r="J1499" s="4">
        <v>3</v>
      </c>
      <c r="K1499" s="6">
        <v>11.96</v>
      </c>
    </row>
    <row r="1500" spans="1:11" x14ac:dyDescent="0.3">
      <c r="A1500" s="7">
        <v>41953</v>
      </c>
      <c r="B1500" s="4">
        <f>YEAR(SalesData[[#This Row],[Order Date]])</f>
        <v>2014</v>
      </c>
      <c r="C1500" s="4">
        <f>MONTH(SalesData[[#This Row],[Order Date]])</f>
        <v>11</v>
      </c>
      <c r="D1500" s="3" t="s">
        <v>252</v>
      </c>
      <c r="E1500" s="3" t="s">
        <v>110</v>
      </c>
      <c r="F1500" s="3" t="s">
        <v>11</v>
      </c>
      <c r="G1500" s="3" t="s">
        <v>18</v>
      </c>
      <c r="H1500" s="3" t="s">
        <v>308</v>
      </c>
      <c r="I1500" s="6">
        <v>535.41</v>
      </c>
      <c r="J1500" s="4">
        <v>3</v>
      </c>
      <c r="K1500" s="6">
        <v>160.62</v>
      </c>
    </row>
    <row r="1501" spans="1:11" x14ac:dyDescent="0.3">
      <c r="A1501" s="7">
        <v>41954</v>
      </c>
      <c r="B1501" s="4">
        <f>YEAR(SalesData[[#This Row],[Order Date]])</f>
        <v>2014</v>
      </c>
      <c r="C1501" s="4">
        <f>MONTH(SalesData[[#This Row],[Order Date]])</f>
        <v>11</v>
      </c>
      <c r="D1501" s="3" t="s">
        <v>1593</v>
      </c>
      <c r="E1501" s="3" t="s">
        <v>157</v>
      </c>
      <c r="F1501" s="3" t="s">
        <v>11</v>
      </c>
      <c r="G1501" s="3" t="s">
        <v>18</v>
      </c>
      <c r="H1501" s="3" t="s">
        <v>1594</v>
      </c>
      <c r="I1501" s="6">
        <v>665.88</v>
      </c>
      <c r="J1501" s="4">
        <v>6</v>
      </c>
      <c r="K1501" s="6">
        <v>13.32</v>
      </c>
    </row>
    <row r="1502" spans="1:11" x14ac:dyDescent="0.3">
      <c r="A1502" s="7">
        <v>41954</v>
      </c>
      <c r="B1502" s="4">
        <f>YEAR(SalesData[[#This Row],[Order Date]])</f>
        <v>2014</v>
      </c>
      <c r="C1502" s="4">
        <f>MONTH(SalesData[[#This Row],[Order Date]])</f>
        <v>11</v>
      </c>
      <c r="D1502" s="3" t="s">
        <v>1595</v>
      </c>
      <c r="E1502" s="3" t="s">
        <v>278</v>
      </c>
      <c r="F1502" s="3" t="s">
        <v>11</v>
      </c>
      <c r="G1502" s="3" t="s">
        <v>24</v>
      </c>
      <c r="H1502" s="3" t="s">
        <v>386</v>
      </c>
      <c r="I1502" s="6">
        <v>3.39</v>
      </c>
      <c r="J1502" s="4">
        <v>1</v>
      </c>
      <c r="K1502" s="6">
        <v>0.81</v>
      </c>
    </row>
    <row r="1503" spans="1:11" x14ac:dyDescent="0.3">
      <c r="A1503" s="7">
        <v>41954</v>
      </c>
      <c r="B1503" s="4">
        <f>YEAR(SalesData[[#This Row],[Order Date]])</f>
        <v>2014</v>
      </c>
      <c r="C1503" s="4">
        <f>MONTH(SalesData[[#This Row],[Order Date]])</f>
        <v>11</v>
      </c>
      <c r="D1503" s="3" t="s">
        <v>1595</v>
      </c>
      <c r="E1503" s="3" t="s">
        <v>278</v>
      </c>
      <c r="F1503" s="3" t="s">
        <v>39</v>
      </c>
      <c r="G1503" s="3" t="s">
        <v>40</v>
      </c>
      <c r="H1503" s="3" t="s">
        <v>1596</v>
      </c>
      <c r="I1503" s="6">
        <v>559.98</v>
      </c>
      <c r="J1503" s="4">
        <v>2</v>
      </c>
      <c r="K1503" s="6">
        <v>56</v>
      </c>
    </row>
    <row r="1504" spans="1:11" x14ac:dyDescent="0.3">
      <c r="A1504" s="7">
        <v>41954</v>
      </c>
      <c r="B1504" s="4">
        <f>YEAR(SalesData[[#This Row],[Order Date]])</f>
        <v>2014</v>
      </c>
      <c r="C1504" s="4">
        <f>MONTH(SalesData[[#This Row],[Order Date]])</f>
        <v>11</v>
      </c>
      <c r="D1504" s="3" t="s">
        <v>1595</v>
      </c>
      <c r="E1504" s="3" t="s">
        <v>278</v>
      </c>
      <c r="F1504" s="3" t="s">
        <v>34</v>
      </c>
      <c r="G1504" s="3" t="s">
        <v>35</v>
      </c>
      <c r="H1504" s="3" t="s">
        <v>1597</v>
      </c>
      <c r="I1504" s="6">
        <v>603.91999999999996</v>
      </c>
      <c r="J1504" s="4">
        <v>5</v>
      </c>
      <c r="K1504" s="6">
        <v>75.489999999999995</v>
      </c>
    </row>
    <row r="1505" spans="1:11" x14ac:dyDescent="0.3">
      <c r="A1505" s="7">
        <v>41954</v>
      </c>
      <c r="B1505" s="4">
        <f>YEAR(SalesData[[#This Row],[Order Date]])</f>
        <v>2014</v>
      </c>
      <c r="C1505" s="4">
        <f>MONTH(SalesData[[#This Row],[Order Date]])</f>
        <v>11</v>
      </c>
      <c r="D1505" s="3" t="s">
        <v>1598</v>
      </c>
      <c r="E1505" s="3" t="s">
        <v>10</v>
      </c>
      <c r="F1505" s="3" t="s">
        <v>11</v>
      </c>
      <c r="G1505" s="3" t="s">
        <v>20</v>
      </c>
      <c r="H1505" s="3" t="s">
        <v>1142</v>
      </c>
      <c r="I1505" s="6">
        <v>896.99</v>
      </c>
      <c r="J1505" s="4">
        <v>5</v>
      </c>
      <c r="K1505" s="6">
        <v>-1480.03</v>
      </c>
    </row>
    <row r="1506" spans="1:11" x14ac:dyDescent="0.3">
      <c r="A1506" s="7">
        <v>41954</v>
      </c>
      <c r="B1506" s="4">
        <f>YEAR(SalesData[[#This Row],[Order Date]])</f>
        <v>2014</v>
      </c>
      <c r="C1506" s="4">
        <f>MONTH(SalesData[[#This Row],[Order Date]])</f>
        <v>11</v>
      </c>
      <c r="D1506" s="3" t="s">
        <v>1598</v>
      </c>
      <c r="E1506" s="3" t="s">
        <v>10</v>
      </c>
      <c r="F1506" s="3" t="s">
        <v>11</v>
      </c>
      <c r="G1506" s="3" t="s">
        <v>20</v>
      </c>
      <c r="H1506" s="3" t="s">
        <v>1599</v>
      </c>
      <c r="I1506" s="6">
        <v>1.23</v>
      </c>
      <c r="J1506" s="4">
        <v>1</v>
      </c>
      <c r="K1506" s="6">
        <v>-1.97</v>
      </c>
    </row>
    <row r="1507" spans="1:11" x14ac:dyDescent="0.3">
      <c r="A1507" s="7">
        <v>41954</v>
      </c>
      <c r="B1507" s="4">
        <f>YEAR(SalesData[[#This Row],[Order Date]])</f>
        <v>2014</v>
      </c>
      <c r="C1507" s="4">
        <f>MONTH(SalesData[[#This Row],[Order Date]])</f>
        <v>11</v>
      </c>
      <c r="D1507" s="3" t="s">
        <v>1598</v>
      </c>
      <c r="E1507" s="3" t="s">
        <v>10</v>
      </c>
      <c r="F1507" s="3" t="s">
        <v>11</v>
      </c>
      <c r="G1507" s="3" t="s">
        <v>24</v>
      </c>
      <c r="H1507" s="3" t="s">
        <v>1600</v>
      </c>
      <c r="I1507" s="6">
        <v>67.56</v>
      </c>
      <c r="J1507" s="4">
        <v>3</v>
      </c>
      <c r="K1507" s="6">
        <v>6.76</v>
      </c>
    </row>
    <row r="1508" spans="1:11" x14ac:dyDescent="0.3">
      <c r="A1508" s="7">
        <v>41954</v>
      </c>
      <c r="B1508" s="4">
        <f>YEAR(SalesData[[#This Row],[Order Date]])</f>
        <v>2014</v>
      </c>
      <c r="C1508" s="4">
        <f>MONTH(SalesData[[#This Row],[Order Date]])</f>
        <v>11</v>
      </c>
      <c r="D1508" s="3" t="s">
        <v>1598</v>
      </c>
      <c r="E1508" s="3" t="s">
        <v>10</v>
      </c>
      <c r="F1508" s="3" t="s">
        <v>11</v>
      </c>
      <c r="G1508" s="3" t="s">
        <v>12</v>
      </c>
      <c r="H1508" s="3" t="s">
        <v>1337</v>
      </c>
      <c r="I1508" s="6">
        <v>21.72</v>
      </c>
      <c r="J1508" s="4">
        <v>5</v>
      </c>
      <c r="K1508" s="6">
        <v>7.87</v>
      </c>
    </row>
    <row r="1509" spans="1:11" x14ac:dyDescent="0.3">
      <c r="A1509" s="7">
        <v>41954</v>
      </c>
      <c r="B1509" s="4">
        <f>YEAR(SalesData[[#This Row],[Order Date]])</f>
        <v>2014</v>
      </c>
      <c r="C1509" s="4">
        <f>MONTH(SalesData[[#This Row],[Order Date]])</f>
        <v>11</v>
      </c>
      <c r="D1509" s="3" t="s">
        <v>1598</v>
      </c>
      <c r="E1509" s="3" t="s">
        <v>10</v>
      </c>
      <c r="F1509" s="3" t="s">
        <v>11</v>
      </c>
      <c r="G1509" s="3" t="s">
        <v>12</v>
      </c>
      <c r="H1509" s="3" t="s">
        <v>1601</v>
      </c>
      <c r="I1509" s="6">
        <v>262.33999999999997</v>
      </c>
      <c r="J1509" s="4">
        <v>8</v>
      </c>
      <c r="K1509" s="6">
        <v>95.1</v>
      </c>
    </row>
    <row r="1510" spans="1:11" x14ac:dyDescent="0.3">
      <c r="A1510" s="7">
        <v>41954</v>
      </c>
      <c r="B1510" s="4">
        <f>YEAR(SalesData[[#This Row],[Order Date]])</f>
        <v>2014</v>
      </c>
      <c r="C1510" s="4">
        <f>MONTH(SalesData[[#This Row],[Order Date]])</f>
        <v>11</v>
      </c>
      <c r="D1510" s="3" t="s">
        <v>1598</v>
      </c>
      <c r="E1510" s="3" t="s">
        <v>10</v>
      </c>
      <c r="F1510" s="3" t="s">
        <v>39</v>
      </c>
      <c r="G1510" s="3" t="s">
        <v>40</v>
      </c>
      <c r="H1510" s="3" t="s">
        <v>745</v>
      </c>
      <c r="I1510" s="6">
        <v>148.47999999999999</v>
      </c>
      <c r="J1510" s="4">
        <v>2</v>
      </c>
      <c r="K1510" s="6">
        <v>16.7</v>
      </c>
    </row>
    <row r="1511" spans="1:11" x14ac:dyDescent="0.3">
      <c r="A1511" s="7">
        <v>41954</v>
      </c>
      <c r="B1511" s="4">
        <f>YEAR(SalesData[[#This Row],[Order Date]])</f>
        <v>2014</v>
      </c>
      <c r="C1511" s="4">
        <f>MONTH(SalesData[[#This Row],[Order Date]])</f>
        <v>11</v>
      </c>
      <c r="D1511" s="3" t="s">
        <v>1598</v>
      </c>
      <c r="E1511" s="3" t="s">
        <v>10</v>
      </c>
      <c r="F1511" s="3" t="s">
        <v>39</v>
      </c>
      <c r="G1511" s="3" t="s">
        <v>40</v>
      </c>
      <c r="H1511" s="3" t="s">
        <v>1602</v>
      </c>
      <c r="I1511" s="6">
        <v>241.18</v>
      </c>
      <c r="J1511" s="4">
        <v>3</v>
      </c>
      <c r="K1511" s="6">
        <v>15.07</v>
      </c>
    </row>
    <row r="1512" spans="1:11" x14ac:dyDescent="0.3">
      <c r="A1512" s="7">
        <v>41954</v>
      </c>
      <c r="B1512" s="4">
        <f>YEAR(SalesData[[#This Row],[Order Date]])</f>
        <v>2014</v>
      </c>
      <c r="C1512" s="4">
        <f>MONTH(SalesData[[#This Row],[Order Date]])</f>
        <v>11</v>
      </c>
      <c r="D1512" s="3" t="s">
        <v>1152</v>
      </c>
      <c r="E1512" s="3" t="s">
        <v>27</v>
      </c>
      <c r="F1512" s="3" t="s">
        <v>11</v>
      </c>
      <c r="G1512" s="3" t="s">
        <v>24</v>
      </c>
      <c r="H1512" s="3" t="s">
        <v>1603</v>
      </c>
      <c r="I1512" s="6">
        <v>30.48</v>
      </c>
      <c r="J1512" s="4">
        <v>3</v>
      </c>
      <c r="K1512" s="6">
        <v>7.92</v>
      </c>
    </row>
    <row r="1513" spans="1:11" x14ac:dyDescent="0.3">
      <c r="A1513" s="7">
        <v>41954</v>
      </c>
      <c r="B1513" s="4">
        <f>YEAR(SalesData[[#This Row],[Order Date]])</f>
        <v>2014</v>
      </c>
      <c r="C1513" s="4">
        <f>MONTH(SalesData[[#This Row],[Order Date]])</f>
        <v>11</v>
      </c>
      <c r="D1513" s="3" t="s">
        <v>1152</v>
      </c>
      <c r="E1513" s="3" t="s">
        <v>27</v>
      </c>
      <c r="F1513" s="3" t="s">
        <v>34</v>
      </c>
      <c r="G1513" s="3" t="s">
        <v>35</v>
      </c>
      <c r="H1513" s="3" t="s">
        <v>723</v>
      </c>
      <c r="I1513" s="6">
        <v>112.65</v>
      </c>
      <c r="J1513" s="4">
        <v>1</v>
      </c>
      <c r="K1513" s="6">
        <v>11.26</v>
      </c>
    </row>
    <row r="1514" spans="1:11" x14ac:dyDescent="0.3">
      <c r="A1514" s="7">
        <v>41954</v>
      </c>
      <c r="B1514" s="4">
        <f>YEAR(SalesData[[#This Row],[Order Date]])</f>
        <v>2014</v>
      </c>
      <c r="C1514" s="4">
        <f>MONTH(SalesData[[#This Row],[Order Date]])</f>
        <v>11</v>
      </c>
      <c r="D1514" s="3" t="s">
        <v>1038</v>
      </c>
      <c r="E1514" s="3" t="s">
        <v>23</v>
      </c>
      <c r="F1514" s="3" t="s">
        <v>34</v>
      </c>
      <c r="G1514" s="3" t="s">
        <v>47</v>
      </c>
      <c r="H1514" s="3" t="s">
        <v>553</v>
      </c>
      <c r="I1514" s="6">
        <v>23.97</v>
      </c>
      <c r="J1514" s="4">
        <v>2</v>
      </c>
      <c r="K1514" s="6">
        <v>7.79</v>
      </c>
    </row>
    <row r="1515" spans="1:11" x14ac:dyDescent="0.3">
      <c r="A1515" s="7">
        <v>41954</v>
      </c>
      <c r="B1515" s="4">
        <f>YEAR(SalesData[[#This Row],[Order Date]])</f>
        <v>2014</v>
      </c>
      <c r="C1515" s="4">
        <f>MONTH(SalesData[[#This Row],[Order Date]])</f>
        <v>11</v>
      </c>
      <c r="D1515" s="3" t="s">
        <v>1038</v>
      </c>
      <c r="E1515" s="3" t="s">
        <v>23</v>
      </c>
      <c r="F1515" s="3" t="s">
        <v>34</v>
      </c>
      <c r="G1515" s="3" t="s">
        <v>74</v>
      </c>
      <c r="H1515" s="3" t="s">
        <v>1604</v>
      </c>
      <c r="I1515" s="6">
        <v>521.96</v>
      </c>
      <c r="J1515" s="4">
        <v>4</v>
      </c>
      <c r="K1515" s="6">
        <v>-250.54</v>
      </c>
    </row>
    <row r="1516" spans="1:11" x14ac:dyDescent="0.3">
      <c r="A1516" s="7">
        <v>41954</v>
      </c>
      <c r="B1516" s="4">
        <f>YEAR(SalesData[[#This Row],[Order Date]])</f>
        <v>2014</v>
      </c>
      <c r="C1516" s="4">
        <f>MONTH(SalesData[[#This Row],[Order Date]])</f>
        <v>11</v>
      </c>
      <c r="D1516" s="3" t="s">
        <v>1088</v>
      </c>
      <c r="E1516" s="3" t="s">
        <v>27</v>
      </c>
      <c r="F1516" s="3" t="s">
        <v>39</v>
      </c>
      <c r="G1516" s="3" t="s">
        <v>40</v>
      </c>
      <c r="H1516" s="3" t="s">
        <v>767</v>
      </c>
      <c r="I1516" s="6">
        <v>575.92999999999995</v>
      </c>
      <c r="J1516" s="4">
        <v>9</v>
      </c>
      <c r="K1516" s="6">
        <v>57.59</v>
      </c>
    </row>
    <row r="1517" spans="1:11" x14ac:dyDescent="0.3">
      <c r="A1517" s="7">
        <v>41954</v>
      </c>
      <c r="B1517" s="4">
        <f>YEAR(SalesData[[#This Row],[Order Date]])</f>
        <v>2014</v>
      </c>
      <c r="C1517" s="4">
        <f>MONTH(SalesData[[#This Row],[Order Date]])</f>
        <v>11</v>
      </c>
      <c r="D1517" s="3" t="s">
        <v>1088</v>
      </c>
      <c r="E1517" s="3" t="s">
        <v>27</v>
      </c>
      <c r="F1517" s="3" t="s">
        <v>11</v>
      </c>
      <c r="G1517" s="3" t="s">
        <v>92</v>
      </c>
      <c r="H1517" s="3" t="s">
        <v>776</v>
      </c>
      <c r="I1517" s="6">
        <v>7.78</v>
      </c>
      <c r="J1517" s="4">
        <v>2</v>
      </c>
      <c r="K1517" s="6">
        <v>2.02</v>
      </c>
    </row>
    <row r="1518" spans="1:11" x14ac:dyDescent="0.3">
      <c r="A1518" s="7">
        <v>41954</v>
      </c>
      <c r="B1518" s="4">
        <f>YEAR(SalesData[[#This Row],[Order Date]])</f>
        <v>2014</v>
      </c>
      <c r="C1518" s="4">
        <f>MONTH(SalesData[[#This Row],[Order Date]])</f>
        <v>11</v>
      </c>
      <c r="D1518" s="3" t="s">
        <v>1088</v>
      </c>
      <c r="E1518" s="3" t="s">
        <v>27</v>
      </c>
      <c r="F1518" s="3" t="s">
        <v>11</v>
      </c>
      <c r="G1518" s="3" t="s">
        <v>12</v>
      </c>
      <c r="H1518" s="3" t="s">
        <v>1605</v>
      </c>
      <c r="I1518" s="6">
        <v>123.92</v>
      </c>
      <c r="J1518" s="4">
        <v>4</v>
      </c>
      <c r="K1518" s="6">
        <v>55.76</v>
      </c>
    </row>
    <row r="1519" spans="1:11" x14ac:dyDescent="0.3">
      <c r="A1519" s="7">
        <v>41954</v>
      </c>
      <c r="B1519" s="4">
        <f>YEAR(SalesData[[#This Row],[Order Date]])</f>
        <v>2014</v>
      </c>
      <c r="C1519" s="4">
        <f>MONTH(SalesData[[#This Row],[Order Date]])</f>
        <v>11</v>
      </c>
      <c r="D1519" s="3" t="s">
        <v>450</v>
      </c>
      <c r="E1519" s="3" t="s">
        <v>164</v>
      </c>
      <c r="F1519" s="3" t="s">
        <v>11</v>
      </c>
      <c r="G1519" s="3" t="s">
        <v>92</v>
      </c>
      <c r="H1519" s="3" t="s">
        <v>801</v>
      </c>
      <c r="I1519" s="6">
        <v>22.98</v>
      </c>
      <c r="J1519" s="4">
        <v>1</v>
      </c>
      <c r="K1519" s="6">
        <v>6.89</v>
      </c>
    </row>
    <row r="1520" spans="1:11" x14ac:dyDescent="0.3">
      <c r="A1520" s="7">
        <v>41954</v>
      </c>
      <c r="B1520" s="4">
        <f>YEAR(SalesData[[#This Row],[Order Date]])</f>
        <v>2014</v>
      </c>
      <c r="C1520" s="4">
        <f>MONTH(SalesData[[#This Row],[Order Date]])</f>
        <v>11</v>
      </c>
      <c r="D1520" s="3" t="s">
        <v>450</v>
      </c>
      <c r="E1520" s="3" t="s">
        <v>164</v>
      </c>
      <c r="F1520" s="3" t="s">
        <v>39</v>
      </c>
      <c r="G1520" s="3" t="s">
        <v>52</v>
      </c>
      <c r="H1520" s="3" t="s">
        <v>1227</v>
      </c>
      <c r="I1520" s="6">
        <v>102.13</v>
      </c>
      <c r="J1520" s="4">
        <v>7</v>
      </c>
      <c r="K1520" s="6">
        <v>15.32</v>
      </c>
    </row>
    <row r="1521" spans="1:11" x14ac:dyDescent="0.3">
      <c r="A1521" s="7">
        <v>41954</v>
      </c>
      <c r="B1521" s="4">
        <f>YEAR(SalesData[[#This Row],[Order Date]])</f>
        <v>2014</v>
      </c>
      <c r="C1521" s="4">
        <f>MONTH(SalesData[[#This Row],[Order Date]])</f>
        <v>11</v>
      </c>
      <c r="D1521" s="3" t="s">
        <v>450</v>
      </c>
      <c r="E1521" s="3" t="s">
        <v>164</v>
      </c>
      <c r="F1521" s="3" t="s">
        <v>11</v>
      </c>
      <c r="G1521" s="3" t="s">
        <v>20</v>
      </c>
      <c r="H1521" s="3" t="s">
        <v>1606</v>
      </c>
      <c r="I1521" s="6">
        <v>2033.58</v>
      </c>
      <c r="J1521" s="4">
        <v>2</v>
      </c>
      <c r="K1521" s="6">
        <v>762.59</v>
      </c>
    </row>
    <row r="1522" spans="1:11" x14ac:dyDescent="0.3">
      <c r="A1522" s="7">
        <v>41954</v>
      </c>
      <c r="B1522" s="4">
        <f>YEAR(SalesData[[#This Row],[Order Date]])</f>
        <v>2014</v>
      </c>
      <c r="C1522" s="4">
        <f>MONTH(SalesData[[#This Row],[Order Date]])</f>
        <v>11</v>
      </c>
      <c r="D1522" s="3" t="s">
        <v>796</v>
      </c>
      <c r="E1522" s="3" t="s">
        <v>15</v>
      </c>
      <c r="F1522" s="3" t="s">
        <v>34</v>
      </c>
      <c r="G1522" s="3" t="s">
        <v>47</v>
      </c>
      <c r="H1522" s="3" t="s">
        <v>1607</v>
      </c>
      <c r="I1522" s="6">
        <v>10.98</v>
      </c>
      <c r="J1522" s="4">
        <v>2</v>
      </c>
      <c r="K1522" s="6">
        <v>-7.96</v>
      </c>
    </row>
    <row r="1523" spans="1:11" x14ac:dyDescent="0.3">
      <c r="A1523" s="7">
        <v>41954</v>
      </c>
      <c r="B1523" s="4">
        <f>YEAR(SalesData[[#This Row],[Order Date]])</f>
        <v>2014</v>
      </c>
      <c r="C1523" s="4">
        <f>MONTH(SalesData[[#This Row],[Order Date]])</f>
        <v>11</v>
      </c>
      <c r="D1523" s="3" t="s">
        <v>796</v>
      </c>
      <c r="E1523" s="3" t="s">
        <v>15</v>
      </c>
      <c r="F1523" s="3" t="s">
        <v>34</v>
      </c>
      <c r="G1523" s="3" t="s">
        <v>35</v>
      </c>
      <c r="H1523" s="3" t="s">
        <v>294</v>
      </c>
      <c r="I1523" s="6">
        <v>797.94</v>
      </c>
      <c r="J1523" s="4">
        <v>4</v>
      </c>
      <c r="K1523" s="6">
        <v>-57</v>
      </c>
    </row>
    <row r="1524" spans="1:11" x14ac:dyDescent="0.3">
      <c r="A1524" s="7">
        <v>41954</v>
      </c>
      <c r="B1524" s="4">
        <f>YEAR(SalesData[[#This Row],[Order Date]])</f>
        <v>2014</v>
      </c>
      <c r="C1524" s="4">
        <f>MONTH(SalesData[[#This Row],[Order Date]])</f>
        <v>11</v>
      </c>
      <c r="D1524" s="3" t="s">
        <v>239</v>
      </c>
      <c r="E1524" s="3" t="s">
        <v>149</v>
      </c>
      <c r="F1524" s="3" t="s">
        <v>11</v>
      </c>
      <c r="G1524" s="3" t="s">
        <v>12</v>
      </c>
      <c r="H1524" s="3" t="s">
        <v>1608</v>
      </c>
      <c r="I1524" s="6">
        <v>46.35</v>
      </c>
      <c r="J1524" s="4">
        <v>5</v>
      </c>
      <c r="K1524" s="6">
        <v>21.78</v>
      </c>
    </row>
    <row r="1525" spans="1:11" x14ac:dyDescent="0.3">
      <c r="A1525" s="7">
        <v>41954</v>
      </c>
      <c r="B1525" s="4">
        <f>YEAR(SalesData[[#This Row],[Order Date]])</f>
        <v>2014</v>
      </c>
      <c r="C1525" s="4">
        <f>MONTH(SalesData[[#This Row],[Order Date]])</f>
        <v>11</v>
      </c>
      <c r="D1525" s="3" t="s">
        <v>239</v>
      </c>
      <c r="E1525" s="3" t="s">
        <v>149</v>
      </c>
      <c r="F1525" s="3" t="s">
        <v>11</v>
      </c>
      <c r="G1525" s="3" t="s">
        <v>12</v>
      </c>
      <c r="H1525" s="3" t="s">
        <v>1609</v>
      </c>
      <c r="I1525" s="6">
        <v>223.92</v>
      </c>
      <c r="J1525" s="4">
        <v>4</v>
      </c>
      <c r="K1525" s="6">
        <v>109.72</v>
      </c>
    </row>
    <row r="1526" spans="1:11" x14ac:dyDescent="0.3">
      <c r="A1526" s="7">
        <v>41954</v>
      </c>
      <c r="B1526" s="4">
        <f>YEAR(SalesData[[#This Row],[Order Date]])</f>
        <v>2014</v>
      </c>
      <c r="C1526" s="4">
        <f>MONTH(SalesData[[#This Row],[Order Date]])</f>
        <v>11</v>
      </c>
      <c r="D1526" s="3" t="s">
        <v>239</v>
      </c>
      <c r="E1526" s="3" t="s">
        <v>149</v>
      </c>
      <c r="F1526" s="3" t="s">
        <v>11</v>
      </c>
      <c r="G1526" s="3" t="s">
        <v>200</v>
      </c>
      <c r="H1526" s="3" t="s">
        <v>1292</v>
      </c>
      <c r="I1526" s="6">
        <v>7.3</v>
      </c>
      <c r="J1526" s="4">
        <v>2</v>
      </c>
      <c r="K1526" s="6">
        <v>2.19</v>
      </c>
    </row>
    <row r="1527" spans="1:11" x14ac:dyDescent="0.3">
      <c r="A1527" s="7">
        <v>41955</v>
      </c>
      <c r="B1527" s="4">
        <f>YEAR(SalesData[[#This Row],[Order Date]])</f>
        <v>2014</v>
      </c>
      <c r="C1527" s="4">
        <f>MONTH(SalesData[[#This Row],[Order Date]])</f>
        <v>11</v>
      </c>
      <c r="D1527" s="3" t="s">
        <v>1610</v>
      </c>
      <c r="E1527" s="3" t="s">
        <v>10</v>
      </c>
      <c r="F1527" s="3" t="s">
        <v>11</v>
      </c>
      <c r="G1527" s="3" t="s">
        <v>18</v>
      </c>
      <c r="H1527" s="3" t="s">
        <v>1611</v>
      </c>
      <c r="I1527" s="6">
        <v>49.63</v>
      </c>
      <c r="J1527" s="4">
        <v>4</v>
      </c>
      <c r="K1527" s="6">
        <v>4.96</v>
      </c>
    </row>
    <row r="1528" spans="1:11" x14ac:dyDescent="0.3">
      <c r="A1528" s="7">
        <v>41955</v>
      </c>
      <c r="B1528" s="4">
        <f>YEAR(SalesData[[#This Row],[Order Date]])</f>
        <v>2014</v>
      </c>
      <c r="C1528" s="4">
        <f>MONTH(SalesData[[#This Row],[Order Date]])</f>
        <v>11</v>
      </c>
      <c r="D1528" s="3" t="s">
        <v>1320</v>
      </c>
      <c r="E1528" s="3" t="s">
        <v>27</v>
      </c>
      <c r="F1528" s="3" t="s">
        <v>11</v>
      </c>
      <c r="G1528" s="3" t="s">
        <v>12</v>
      </c>
      <c r="H1528" s="3" t="s">
        <v>1612</v>
      </c>
      <c r="I1528" s="6">
        <v>11.96</v>
      </c>
      <c r="J1528" s="4">
        <v>2</v>
      </c>
      <c r="K1528" s="6">
        <v>5.86</v>
      </c>
    </row>
    <row r="1529" spans="1:11" x14ac:dyDescent="0.3">
      <c r="A1529" s="7">
        <v>41955</v>
      </c>
      <c r="B1529" s="4">
        <f>YEAR(SalesData[[#This Row],[Order Date]])</f>
        <v>2014</v>
      </c>
      <c r="C1529" s="4">
        <f>MONTH(SalesData[[#This Row],[Order Date]])</f>
        <v>11</v>
      </c>
      <c r="D1529" s="3" t="s">
        <v>1320</v>
      </c>
      <c r="E1529" s="3" t="s">
        <v>27</v>
      </c>
      <c r="F1529" s="3" t="s">
        <v>34</v>
      </c>
      <c r="G1529" s="3" t="s">
        <v>145</v>
      </c>
      <c r="H1529" s="3" t="s">
        <v>1613</v>
      </c>
      <c r="I1529" s="6">
        <v>629.05999999999995</v>
      </c>
      <c r="J1529" s="4">
        <v>3</v>
      </c>
      <c r="K1529" s="6">
        <v>31.45</v>
      </c>
    </row>
    <row r="1530" spans="1:11" x14ac:dyDescent="0.3">
      <c r="A1530" s="7">
        <v>41955</v>
      </c>
      <c r="B1530" s="4">
        <f>YEAR(SalesData[[#This Row],[Order Date]])</f>
        <v>2014</v>
      </c>
      <c r="C1530" s="4">
        <f>MONTH(SalesData[[#This Row],[Order Date]])</f>
        <v>11</v>
      </c>
      <c r="D1530" s="3" t="s">
        <v>1555</v>
      </c>
      <c r="E1530" s="3" t="s">
        <v>245</v>
      </c>
      <c r="F1530" s="3" t="s">
        <v>11</v>
      </c>
      <c r="G1530" s="3" t="s">
        <v>24</v>
      </c>
      <c r="H1530" s="3" t="s">
        <v>620</v>
      </c>
      <c r="I1530" s="6">
        <v>7.87</v>
      </c>
      <c r="J1530" s="4">
        <v>3</v>
      </c>
      <c r="K1530" s="6">
        <v>0.89</v>
      </c>
    </row>
    <row r="1531" spans="1:11" x14ac:dyDescent="0.3">
      <c r="A1531" s="7">
        <v>41955</v>
      </c>
      <c r="B1531" s="4">
        <f>YEAR(SalesData[[#This Row],[Order Date]])</f>
        <v>2014</v>
      </c>
      <c r="C1531" s="4">
        <f>MONTH(SalesData[[#This Row],[Order Date]])</f>
        <v>11</v>
      </c>
      <c r="D1531" s="3" t="s">
        <v>1614</v>
      </c>
      <c r="E1531" s="3" t="s">
        <v>10</v>
      </c>
      <c r="F1531" s="3" t="s">
        <v>11</v>
      </c>
      <c r="G1531" s="3" t="s">
        <v>24</v>
      </c>
      <c r="H1531" s="3" t="s">
        <v>338</v>
      </c>
      <c r="I1531" s="6">
        <v>2.67</v>
      </c>
      <c r="J1531" s="4">
        <v>1</v>
      </c>
      <c r="K1531" s="6">
        <v>0.33</v>
      </c>
    </row>
    <row r="1532" spans="1:11" x14ac:dyDescent="0.3">
      <c r="A1532" s="7">
        <v>41955</v>
      </c>
      <c r="B1532" s="4">
        <f>YEAR(SalesData[[#This Row],[Order Date]])</f>
        <v>2014</v>
      </c>
      <c r="C1532" s="4">
        <f>MONTH(SalesData[[#This Row],[Order Date]])</f>
        <v>11</v>
      </c>
      <c r="D1532" s="3" t="s">
        <v>1614</v>
      </c>
      <c r="E1532" s="3" t="s">
        <v>10</v>
      </c>
      <c r="F1532" s="3" t="s">
        <v>11</v>
      </c>
      <c r="G1532" s="3" t="s">
        <v>200</v>
      </c>
      <c r="H1532" s="3" t="s">
        <v>1119</v>
      </c>
      <c r="I1532" s="6">
        <v>16.66</v>
      </c>
      <c r="J1532" s="4">
        <v>6</v>
      </c>
      <c r="K1532" s="6">
        <v>-3.12</v>
      </c>
    </row>
    <row r="1533" spans="1:11" x14ac:dyDescent="0.3">
      <c r="A1533" s="7">
        <v>41955</v>
      </c>
      <c r="B1533" s="4">
        <f>YEAR(SalesData[[#This Row],[Order Date]])</f>
        <v>2014</v>
      </c>
      <c r="C1533" s="4">
        <f>MONTH(SalesData[[#This Row],[Order Date]])</f>
        <v>11</v>
      </c>
      <c r="D1533" s="3" t="s">
        <v>1614</v>
      </c>
      <c r="E1533" s="3" t="s">
        <v>10</v>
      </c>
      <c r="F1533" s="3" t="s">
        <v>39</v>
      </c>
      <c r="G1533" s="3" t="s">
        <v>52</v>
      </c>
      <c r="H1533" s="3" t="s">
        <v>1615</v>
      </c>
      <c r="I1533" s="6">
        <v>79.510000000000005</v>
      </c>
      <c r="J1533" s="4">
        <v>3</v>
      </c>
      <c r="K1533" s="6">
        <v>20.87</v>
      </c>
    </row>
    <row r="1534" spans="1:11" x14ac:dyDescent="0.3">
      <c r="A1534" s="7">
        <v>41955</v>
      </c>
      <c r="B1534" s="4">
        <f>YEAR(SalesData[[#This Row],[Order Date]])</f>
        <v>2014</v>
      </c>
      <c r="C1534" s="4">
        <f>MONTH(SalesData[[#This Row],[Order Date]])</f>
        <v>11</v>
      </c>
      <c r="D1534" s="3" t="s">
        <v>1614</v>
      </c>
      <c r="E1534" s="3" t="s">
        <v>10</v>
      </c>
      <c r="F1534" s="3" t="s">
        <v>11</v>
      </c>
      <c r="G1534" s="3" t="s">
        <v>12</v>
      </c>
      <c r="H1534" s="3" t="s">
        <v>1203</v>
      </c>
      <c r="I1534" s="6">
        <v>36.29</v>
      </c>
      <c r="J1534" s="4">
        <v>7</v>
      </c>
      <c r="K1534" s="6">
        <v>12.7</v>
      </c>
    </row>
    <row r="1535" spans="1:11" x14ac:dyDescent="0.3">
      <c r="A1535" s="7">
        <v>41955</v>
      </c>
      <c r="B1535" s="4">
        <f>YEAR(SalesData[[#This Row],[Order Date]])</f>
        <v>2014</v>
      </c>
      <c r="C1535" s="4">
        <f>MONTH(SalesData[[#This Row],[Order Date]])</f>
        <v>11</v>
      </c>
      <c r="D1535" s="3" t="s">
        <v>1614</v>
      </c>
      <c r="E1535" s="3" t="s">
        <v>10</v>
      </c>
      <c r="F1535" s="3" t="s">
        <v>34</v>
      </c>
      <c r="G1535" s="3" t="s">
        <v>74</v>
      </c>
      <c r="H1535" s="3" t="s">
        <v>644</v>
      </c>
      <c r="I1535" s="6">
        <v>67.989999999999995</v>
      </c>
      <c r="J1535" s="4">
        <v>1</v>
      </c>
      <c r="K1535" s="6">
        <v>-13</v>
      </c>
    </row>
    <row r="1536" spans="1:11" x14ac:dyDescent="0.3">
      <c r="A1536" s="7">
        <v>41955</v>
      </c>
      <c r="B1536" s="4">
        <f>YEAR(SalesData[[#This Row],[Order Date]])</f>
        <v>2014</v>
      </c>
      <c r="C1536" s="4">
        <f>MONTH(SalesData[[#This Row],[Order Date]])</f>
        <v>11</v>
      </c>
      <c r="D1536" s="3" t="s">
        <v>9</v>
      </c>
      <c r="E1536" s="3" t="s">
        <v>10</v>
      </c>
      <c r="F1536" s="3" t="s">
        <v>34</v>
      </c>
      <c r="G1536" s="3" t="s">
        <v>47</v>
      </c>
      <c r="H1536" s="3" t="s">
        <v>132</v>
      </c>
      <c r="I1536" s="6">
        <v>25.13</v>
      </c>
      <c r="J1536" s="4">
        <v>3</v>
      </c>
      <c r="K1536" s="6">
        <v>-6.91</v>
      </c>
    </row>
    <row r="1537" spans="1:11" x14ac:dyDescent="0.3">
      <c r="A1537" s="7">
        <v>41955</v>
      </c>
      <c r="B1537" s="4">
        <f>YEAR(SalesData[[#This Row],[Order Date]])</f>
        <v>2014</v>
      </c>
      <c r="C1537" s="4">
        <f>MONTH(SalesData[[#This Row],[Order Date]])</f>
        <v>11</v>
      </c>
      <c r="D1537" s="3" t="s">
        <v>9</v>
      </c>
      <c r="E1537" s="3" t="s">
        <v>10</v>
      </c>
      <c r="F1537" s="3" t="s">
        <v>39</v>
      </c>
      <c r="G1537" s="3" t="s">
        <v>52</v>
      </c>
      <c r="H1537" s="3" t="s">
        <v>999</v>
      </c>
      <c r="I1537" s="6">
        <v>127.98</v>
      </c>
      <c r="J1537" s="4">
        <v>2</v>
      </c>
      <c r="K1537" s="6">
        <v>25.6</v>
      </c>
    </row>
    <row r="1538" spans="1:11" x14ac:dyDescent="0.3">
      <c r="A1538" s="7">
        <v>41957</v>
      </c>
      <c r="B1538" s="4">
        <f>YEAR(SalesData[[#This Row],[Order Date]])</f>
        <v>2014</v>
      </c>
      <c r="C1538" s="4">
        <f>MONTH(SalesData[[#This Row],[Order Date]])</f>
        <v>11</v>
      </c>
      <c r="D1538" s="3" t="s">
        <v>1616</v>
      </c>
      <c r="E1538" s="3" t="s">
        <v>613</v>
      </c>
      <c r="F1538" s="3" t="s">
        <v>39</v>
      </c>
      <c r="G1538" s="3" t="s">
        <v>40</v>
      </c>
      <c r="H1538" s="3" t="s">
        <v>1564</v>
      </c>
      <c r="I1538" s="6">
        <v>832.93</v>
      </c>
      <c r="J1538" s="4">
        <v>7</v>
      </c>
      <c r="K1538" s="6">
        <v>233.22</v>
      </c>
    </row>
    <row r="1539" spans="1:11" x14ac:dyDescent="0.3">
      <c r="A1539" s="7">
        <v>41957</v>
      </c>
      <c r="B1539" s="4">
        <f>YEAR(SalesData[[#This Row],[Order Date]])</f>
        <v>2014</v>
      </c>
      <c r="C1539" s="4">
        <f>MONTH(SalesData[[#This Row],[Order Date]])</f>
        <v>11</v>
      </c>
      <c r="D1539" s="3" t="s">
        <v>1616</v>
      </c>
      <c r="E1539" s="3" t="s">
        <v>613</v>
      </c>
      <c r="F1539" s="3" t="s">
        <v>11</v>
      </c>
      <c r="G1539" s="3" t="s">
        <v>20</v>
      </c>
      <c r="H1539" s="3" t="s">
        <v>1380</v>
      </c>
      <c r="I1539" s="6">
        <v>43.8</v>
      </c>
      <c r="J1539" s="4">
        <v>10</v>
      </c>
      <c r="K1539" s="6">
        <v>21.02</v>
      </c>
    </row>
    <row r="1540" spans="1:11" x14ac:dyDescent="0.3">
      <c r="A1540" s="7">
        <v>41957</v>
      </c>
      <c r="B1540" s="4">
        <f>YEAR(SalesData[[#This Row],[Order Date]])</f>
        <v>2014</v>
      </c>
      <c r="C1540" s="4">
        <f>MONTH(SalesData[[#This Row],[Order Date]])</f>
        <v>11</v>
      </c>
      <c r="D1540" s="3" t="s">
        <v>1617</v>
      </c>
      <c r="E1540" s="3" t="s">
        <v>110</v>
      </c>
      <c r="F1540" s="3" t="s">
        <v>11</v>
      </c>
      <c r="G1540" s="3" t="s">
        <v>20</v>
      </c>
      <c r="H1540" s="3" t="s">
        <v>834</v>
      </c>
      <c r="I1540" s="6">
        <v>12.72</v>
      </c>
      <c r="J1540" s="4">
        <v>3</v>
      </c>
      <c r="K1540" s="6">
        <v>6.36</v>
      </c>
    </row>
    <row r="1541" spans="1:11" x14ac:dyDescent="0.3">
      <c r="A1541" s="7">
        <v>41957</v>
      </c>
      <c r="B1541" s="4">
        <f>YEAR(SalesData[[#This Row],[Order Date]])</f>
        <v>2014</v>
      </c>
      <c r="C1541" s="4">
        <f>MONTH(SalesData[[#This Row],[Order Date]])</f>
        <v>11</v>
      </c>
      <c r="D1541" s="3" t="s">
        <v>1617</v>
      </c>
      <c r="E1541" s="3" t="s">
        <v>110</v>
      </c>
      <c r="F1541" s="3" t="s">
        <v>11</v>
      </c>
      <c r="G1541" s="3" t="s">
        <v>20</v>
      </c>
      <c r="H1541" s="3" t="s">
        <v>899</v>
      </c>
      <c r="I1541" s="6">
        <v>11.52</v>
      </c>
      <c r="J1541" s="4">
        <v>4</v>
      </c>
      <c r="K1541" s="6">
        <v>5.64</v>
      </c>
    </row>
    <row r="1542" spans="1:11" x14ac:dyDescent="0.3">
      <c r="A1542" s="7">
        <v>41957</v>
      </c>
      <c r="B1542" s="4">
        <f>YEAR(SalesData[[#This Row],[Order Date]])</f>
        <v>2014</v>
      </c>
      <c r="C1542" s="4">
        <f>MONTH(SalesData[[#This Row],[Order Date]])</f>
        <v>11</v>
      </c>
      <c r="D1542" s="3" t="s">
        <v>1618</v>
      </c>
      <c r="E1542" s="3" t="s">
        <v>10</v>
      </c>
      <c r="F1542" s="3" t="s">
        <v>11</v>
      </c>
      <c r="G1542" s="3" t="s">
        <v>12</v>
      </c>
      <c r="H1542" s="3" t="s">
        <v>1619</v>
      </c>
      <c r="I1542" s="6">
        <v>20.74</v>
      </c>
      <c r="J1542" s="4">
        <v>4</v>
      </c>
      <c r="K1542" s="6">
        <v>7.26</v>
      </c>
    </row>
    <row r="1543" spans="1:11" x14ac:dyDescent="0.3">
      <c r="A1543" s="7">
        <v>41957</v>
      </c>
      <c r="B1543" s="4">
        <f>YEAR(SalesData[[#This Row],[Order Date]])</f>
        <v>2014</v>
      </c>
      <c r="C1543" s="4">
        <f>MONTH(SalesData[[#This Row],[Order Date]])</f>
        <v>11</v>
      </c>
      <c r="D1543" s="3" t="s">
        <v>1620</v>
      </c>
      <c r="E1543" s="3" t="s">
        <v>149</v>
      </c>
      <c r="F1543" s="3" t="s">
        <v>11</v>
      </c>
      <c r="G1543" s="3" t="s">
        <v>12</v>
      </c>
      <c r="H1543" s="3" t="s">
        <v>1621</v>
      </c>
      <c r="I1543" s="6">
        <v>11.36</v>
      </c>
      <c r="J1543" s="4">
        <v>2</v>
      </c>
      <c r="K1543" s="6">
        <v>5.23</v>
      </c>
    </row>
    <row r="1544" spans="1:11" x14ac:dyDescent="0.3">
      <c r="A1544" s="7">
        <v>41957</v>
      </c>
      <c r="B1544" s="4">
        <f>YEAR(SalesData[[#This Row],[Order Date]])</f>
        <v>2014</v>
      </c>
      <c r="C1544" s="4">
        <f>MONTH(SalesData[[#This Row],[Order Date]])</f>
        <v>11</v>
      </c>
      <c r="D1544" s="3" t="s">
        <v>1620</v>
      </c>
      <c r="E1544" s="3" t="s">
        <v>149</v>
      </c>
      <c r="F1544" s="3" t="s">
        <v>34</v>
      </c>
      <c r="G1544" s="3" t="s">
        <v>35</v>
      </c>
      <c r="H1544" s="3" t="s">
        <v>944</v>
      </c>
      <c r="I1544" s="6">
        <v>69.260000000000005</v>
      </c>
      <c r="J1544" s="4">
        <v>2</v>
      </c>
      <c r="K1544" s="6">
        <v>14.62</v>
      </c>
    </row>
    <row r="1545" spans="1:11" x14ac:dyDescent="0.3">
      <c r="A1545" s="7">
        <v>41957</v>
      </c>
      <c r="B1545" s="4">
        <f>YEAR(SalesData[[#This Row],[Order Date]])</f>
        <v>2014</v>
      </c>
      <c r="C1545" s="4">
        <f>MONTH(SalesData[[#This Row],[Order Date]])</f>
        <v>11</v>
      </c>
      <c r="D1545" s="3" t="s">
        <v>1271</v>
      </c>
      <c r="E1545" s="3" t="s">
        <v>55</v>
      </c>
      <c r="F1545" s="3" t="s">
        <v>11</v>
      </c>
      <c r="G1545" s="3" t="s">
        <v>12</v>
      </c>
      <c r="H1545" s="3" t="s">
        <v>1622</v>
      </c>
      <c r="I1545" s="6">
        <v>32.4</v>
      </c>
      <c r="J1545" s="4">
        <v>5</v>
      </c>
      <c r="K1545" s="6">
        <v>15.55</v>
      </c>
    </row>
    <row r="1546" spans="1:11" x14ac:dyDescent="0.3">
      <c r="A1546" s="7">
        <v>41958</v>
      </c>
      <c r="B1546" s="4">
        <f>YEAR(SalesData[[#This Row],[Order Date]])</f>
        <v>2014</v>
      </c>
      <c r="C1546" s="4">
        <f>MONTH(SalesData[[#This Row],[Order Date]])</f>
        <v>11</v>
      </c>
      <c r="D1546" s="3" t="s">
        <v>1623</v>
      </c>
      <c r="E1546" s="3" t="s">
        <v>120</v>
      </c>
      <c r="F1546" s="3" t="s">
        <v>11</v>
      </c>
      <c r="G1546" s="3" t="s">
        <v>24</v>
      </c>
      <c r="H1546" s="3" t="s">
        <v>1624</v>
      </c>
      <c r="I1546" s="6">
        <v>4.22</v>
      </c>
      <c r="J1546" s="4">
        <v>3</v>
      </c>
      <c r="K1546" s="6">
        <v>0.48</v>
      </c>
    </row>
    <row r="1547" spans="1:11" x14ac:dyDescent="0.3">
      <c r="A1547" s="7">
        <v>41958</v>
      </c>
      <c r="B1547" s="4">
        <f>YEAR(SalesData[[#This Row],[Order Date]])</f>
        <v>2014</v>
      </c>
      <c r="C1547" s="4">
        <f>MONTH(SalesData[[#This Row],[Order Date]])</f>
        <v>11</v>
      </c>
      <c r="D1547" s="3" t="s">
        <v>1623</v>
      </c>
      <c r="E1547" s="3" t="s">
        <v>120</v>
      </c>
      <c r="F1547" s="3" t="s">
        <v>11</v>
      </c>
      <c r="G1547" s="3" t="s">
        <v>92</v>
      </c>
      <c r="H1547" s="3" t="s">
        <v>711</v>
      </c>
      <c r="I1547" s="6">
        <v>333.06</v>
      </c>
      <c r="J1547" s="4">
        <v>2</v>
      </c>
      <c r="K1547" s="6">
        <v>29.14</v>
      </c>
    </row>
    <row r="1548" spans="1:11" x14ac:dyDescent="0.3">
      <c r="A1548" s="7">
        <v>41958</v>
      </c>
      <c r="B1548" s="4">
        <f>YEAR(SalesData[[#This Row],[Order Date]])</f>
        <v>2014</v>
      </c>
      <c r="C1548" s="4">
        <f>MONTH(SalesData[[#This Row],[Order Date]])</f>
        <v>11</v>
      </c>
      <c r="D1548" s="3" t="s">
        <v>1623</v>
      </c>
      <c r="E1548" s="3" t="s">
        <v>120</v>
      </c>
      <c r="F1548" s="3" t="s">
        <v>11</v>
      </c>
      <c r="G1548" s="3" t="s">
        <v>12</v>
      </c>
      <c r="H1548" s="3" t="s">
        <v>284</v>
      </c>
      <c r="I1548" s="6">
        <v>24.9</v>
      </c>
      <c r="J1548" s="4">
        <v>4</v>
      </c>
      <c r="K1548" s="6">
        <v>7.78</v>
      </c>
    </row>
    <row r="1549" spans="1:11" x14ac:dyDescent="0.3">
      <c r="A1549" s="7">
        <v>41958</v>
      </c>
      <c r="B1549" s="4">
        <f>YEAR(SalesData[[#This Row],[Order Date]])</f>
        <v>2014</v>
      </c>
      <c r="C1549" s="4">
        <f>MONTH(SalesData[[#This Row],[Order Date]])</f>
        <v>11</v>
      </c>
      <c r="D1549" s="3" t="s">
        <v>1625</v>
      </c>
      <c r="E1549" s="3" t="s">
        <v>10</v>
      </c>
      <c r="F1549" s="3" t="s">
        <v>11</v>
      </c>
      <c r="G1549" s="3" t="s">
        <v>63</v>
      </c>
      <c r="H1549" s="3" t="s">
        <v>1626</v>
      </c>
      <c r="I1549" s="6">
        <v>604.66</v>
      </c>
      <c r="J1549" s="4">
        <v>9</v>
      </c>
      <c r="K1549" s="6">
        <v>204.07</v>
      </c>
    </row>
    <row r="1550" spans="1:11" x14ac:dyDescent="0.3">
      <c r="A1550" s="7">
        <v>41958</v>
      </c>
      <c r="B1550" s="4">
        <f>YEAR(SalesData[[#This Row],[Order Date]])</f>
        <v>2014</v>
      </c>
      <c r="C1550" s="4">
        <f>MONTH(SalesData[[#This Row],[Order Date]])</f>
        <v>11</v>
      </c>
      <c r="D1550" s="3" t="s">
        <v>740</v>
      </c>
      <c r="E1550" s="3" t="s">
        <v>27</v>
      </c>
      <c r="F1550" s="3" t="s">
        <v>34</v>
      </c>
      <c r="G1550" s="3" t="s">
        <v>47</v>
      </c>
      <c r="H1550" s="3" t="s">
        <v>1627</v>
      </c>
      <c r="I1550" s="6">
        <v>10.11</v>
      </c>
      <c r="J1550" s="4">
        <v>3</v>
      </c>
      <c r="K1550" s="6">
        <v>3.24</v>
      </c>
    </row>
    <row r="1551" spans="1:11" x14ac:dyDescent="0.3">
      <c r="A1551" s="7">
        <v>41958</v>
      </c>
      <c r="B1551" s="4">
        <f>YEAR(SalesData[[#This Row],[Order Date]])</f>
        <v>2014</v>
      </c>
      <c r="C1551" s="4">
        <f>MONTH(SalesData[[#This Row],[Order Date]])</f>
        <v>11</v>
      </c>
      <c r="D1551" s="3" t="s">
        <v>740</v>
      </c>
      <c r="E1551" s="3" t="s">
        <v>27</v>
      </c>
      <c r="F1551" s="3" t="s">
        <v>39</v>
      </c>
      <c r="G1551" s="3" t="s">
        <v>52</v>
      </c>
      <c r="H1551" s="3" t="s">
        <v>1628</v>
      </c>
      <c r="I1551" s="6">
        <v>772.47</v>
      </c>
      <c r="J1551" s="4">
        <v>3</v>
      </c>
      <c r="K1551" s="6">
        <v>146.77000000000001</v>
      </c>
    </row>
    <row r="1552" spans="1:11" x14ac:dyDescent="0.3">
      <c r="A1552" s="7">
        <v>41958</v>
      </c>
      <c r="B1552" s="4">
        <f>YEAR(SalesData[[#This Row],[Order Date]])</f>
        <v>2014</v>
      </c>
      <c r="C1552" s="4">
        <f>MONTH(SalesData[[#This Row],[Order Date]])</f>
        <v>11</v>
      </c>
      <c r="D1552" s="3" t="s">
        <v>740</v>
      </c>
      <c r="E1552" s="3" t="s">
        <v>27</v>
      </c>
      <c r="F1552" s="3" t="s">
        <v>11</v>
      </c>
      <c r="G1552" s="3" t="s">
        <v>200</v>
      </c>
      <c r="H1552" s="3" t="s">
        <v>1053</v>
      </c>
      <c r="I1552" s="6">
        <v>20.46</v>
      </c>
      <c r="J1552" s="4">
        <v>2</v>
      </c>
      <c r="K1552" s="6">
        <v>5.32</v>
      </c>
    </row>
    <row r="1553" spans="1:11" x14ac:dyDescent="0.3">
      <c r="A1553" s="7">
        <v>41958</v>
      </c>
      <c r="B1553" s="4">
        <f>YEAR(SalesData[[#This Row],[Order Date]])</f>
        <v>2014</v>
      </c>
      <c r="C1553" s="4">
        <f>MONTH(SalesData[[#This Row],[Order Date]])</f>
        <v>11</v>
      </c>
      <c r="D1553" s="3" t="s">
        <v>475</v>
      </c>
      <c r="E1553" s="3" t="s">
        <v>27</v>
      </c>
      <c r="F1553" s="3" t="s">
        <v>11</v>
      </c>
      <c r="G1553" s="3" t="s">
        <v>200</v>
      </c>
      <c r="H1553" s="3" t="s">
        <v>1292</v>
      </c>
      <c r="I1553" s="6">
        <v>10.95</v>
      </c>
      <c r="J1553" s="4">
        <v>3</v>
      </c>
      <c r="K1553" s="6">
        <v>3.29</v>
      </c>
    </row>
    <row r="1554" spans="1:11" x14ac:dyDescent="0.3">
      <c r="A1554" s="7">
        <v>41959</v>
      </c>
      <c r="B1554" s="4">
        <f>YEAR(SalesData[[#This Row],[Order Date]])</f>
        <v>2014</v>
      </c>
      <c r="C1554" s="4">
        <f>MONTH(SalesData[[#This Row],[Order Date]])</f>
        <v>11</v>
      </c>
      <c r="D1554" s="3" t="s">
        <v>1629</v>
      </c>
      <c r="E1554" s="3" t="s">
        <v>1283</v>
      </c>
      <c r="F1554" s="3" t="s">
        <v>39</v>
      </c>
      <c r="G1554" s="3" t="s">
        <v>40</v>
      </c>
      <c r="H1554" s="3" t="s">
        <v>1101</v>
      </c>
      <c r="I1554" s="6">
        <v>273.95999999999998</v>
      </c>
      <c r="J1554" s="4">
        <v>2</v>
      </c>
      <c r="K1554" s="6">
        <v>10.96</v>
      </c>
    </row>
    <row r="1555" spans="1:11" x14ac:dyDescent="0.3">
      <c r="A1555" s="7">
        <v>41959</v>
      </c>
      <c r="B1555" s="4">
        <f>YEAR(SalesData[[#This Row],[Order Date]])</f>
        <v>2014</v>
      </c>
      <c r="C1555" s="4">
        <f>MONTH(SalesData[[#This Row],[Order Date]])</f>
        <v>11</v>
      </c>
      <c r="D1555" s="3" t="s">
        <v>215</v>
      </c>
      <c r="E1555" s="3" t="s">
        <v>129</v>
      </c>
      <c r="F1555" s="3" t="s">
        <v>11</v>
      </c>
      <c r="G1555" s="3" t="s">
        <v>63</v>
      </c>
      <c r="H1555" s="3" t="s">
        <v>1350</v>
      </c>
      <c r="I1555" s="6">
        <v>78.349999999999994</v>
      </c>
      <c r="J1555" s="4">
        <v>5</v>
      </c>
      <c r="K1555" s="6">
        <v>36.82</v>
      </c>
    </row>
    <row r="1556" spans="1:11" x14ac:dyDescent="0.3">
      <c r="A1556" s="7">
        <v>41959</v>
      </c>
      <c r="B1556" s="4">
        <f>YEAR(SalesData[[#This Row],[Order Date]])</f>
        <v>2014</v>
      </c>
      <c r="C1556" s="4">
        <f>MONTH(SalesData[[#This Row],[Order Date]])</f>
        <v>11</v>
      </c>
      <c r="D1556" s="3" t="s">
        <v>215</v>
      </c>
      <c r="E1556" s="3" t="s">
        <v>129</v>
      </c>
      <c r="F1556" s="3" t="s">
        <v>11</v>
      </c>
      <c r="G1556" s="3" t="s">
        <v>12</v>
      </c>
      <c r="H1556" s="3" t="s">
        <v>1376</v>
      </c>
      <c r="I1556" s="6">
        <v>31.68</v>
      </c>
      <c r="J1556" s="4">
        <v>6</v>
      </c>
      <c r="K1556" s="6">
        <v>14.26</v>
      </c>
    </row>
    <row r="1557" spans="1:11" x14ac:dyDescent="0.3">
      <c r="A1557" s="7">
        <v>41959</v>
      </c>
      <c r="B1557" s="4">
        <f>YEAR(SalesData[[#This Row],[Order Date]])</f>
        <v>2014</v>
      </c>
      <c r="C1557" s="4">
        <f>MONTH(SalesData[[#This Row],[Order Date]])</f>
        <v>11</v>
      </c>
      <c r="D1557" s="3" t="s">
        <v>215</v>
      </c>
      <c r="E1557" s="3" t="s">
        <v>129</v>
      </c>
      <c r="F1557" s="3" t="s">
        <v>11</v>
      </c>
      <c r="G1557" s="3" t="s">
        <v>20</v>
      </c>
      <c r="H1557" s="3" t="s">
        <v>1630</v>
      </c>
      <c r="I1557" s="6">
        <v>29.12</v>
      </c>
      <c r="J1557" s="4">
        <v>4</v>
      </c>
      <c r="K1557" s="6">
        <v>14.27</v>
      </c>
    </row>
    <row r="1558" spans="1:11" x14ac:dyDescent="0.3">
      <c r="A1558" s="7">
        <v>41959</v>
      </c>
      <c r="B1558" s="4">
        <f>YEAR(SalesData[[#This Row],[Order Date]])</f>
        <v>2014</v>
      </c>
      <c r="C1558" s="4">
        <f>MONTH(SalesData[[#This Row],[Order Date]])</f>
        <v>11</v>
      </c>
      <c r="D1558" s="3" t="s">
        <v>215</v>
      </c>
      <c r="E1558" s="3" t="s">
        <v>129</v>
      </c>
      <c r="F1558" s="3" t="s">
        <v>11</v>
      </c>
      <c r="G1558" s="3" t="s">
        <v>18</v>
      </c>
      <c r="H1558" s="3" t="s">
        <v>1360</v>
      </c>
      <c r="I1558" s="6">
        <v>169.45</v>
      </c>
      <c r="J1558" s="4">
        <v>5</v>
      </c>
      <c r="K1558" s="6">
        <v>42.36</v>
      </c>
    </row>
    <row r="1559" spans="1:11" x14ac:dyDescent="0.3">
      <c r="A1559" s="7">
        <v>41959</v>
      </c>
      <c r="B1559" s="4">
        <f>YEAR(SalesData[[#This Row],[Order Date]])</f>
        <v>2014</v>
      </c>
      <c r="C1559" s="4">
        <f>MONTH(SalesData[[#This Row],[Order Date]])</f>
        <v>11</v>
      </c>
      <c r="D1559" s="3" t="s">
        <v>1631</v>
      </c>
      <c r="E1559" s="3" t="s">
        <v>27</v>
      </c>
      <c r="F1559" s="3" t="s">
        <v>11</v>
      </c>
      <c r="G1559" s="3" t="s">
        <v>16</v>
      </c>
      <c r="H1559" s="3" t="s">
        <v>1632</v>
      </c>
      <c r="I1559" s="6">
        <v>5.22</v>
      </c>
      <c r="J1559" s="4">
        <v>2</v>
      </c>
      <c r="K1559" s="6">
        <v>2.4</v>
      </c>
    </row>
    <row r="1560" spans="1:11" x14ac:dyDescent="0.3">
      <c r="A1560" s="7">
        <v>41959</v>
      </c>
      <c r="B1560" s="4">
        <f>YEAR(SalesData[[#This Row],[Order Date]])</f>
        <v>2014</v>
      </c>
      <c r="C1560" s="4">
        <f>MONTH(SalesData[[#This Row],[Order Date]])</f>
        <v>11</v>
      </c>
      <c r="D1560" s="3" t="s">
        <v>1633</v>
      </c>
      <c r="E1560" s="3" t="s">
        <v>15</v>
      </c>
      <c r="F1560" s="3" t="s">
        <v>34</v>
      </c>
      <c r="G1560" s="3" t="s">
        <v>35</v>
      </c>
      <c r="H1560" s="3" t="s">
        <v>1634</v>
      </c>
      <c r="I1560" s="6">
        <v>37.299999999999997</v>
      </c>
      <c r="J1560" s="4">
        <v>2</v>
      </c>
      <c r="K1560" s="6">
        <v>-1.07</v>
      </c>
    </row>
    <row r="1561" spans="1:11" x14ac:dyDescent="0.3">
      <c r="A1561" s="7">
        <v>41959</v>
      </c>
      <c r="B1561" s="4">
        <f>YEAR(SalesData[[#This Row],[Order Date]])</f>
        <v>2014</v>
      </c>
      <c r="C1561" s="4">
        <f>MONTH(SalesData[[#This Row],[Order Date]])</f>
        <v>11</v>
      </c>
      <c r="D1561" s="3" t="s">
        <v>1635</v>
      </c>
      <c r="E1561" s="3" t="s">
        <v>27</v>
      </c>
      <c r="F1561" s="3" t="s">
        <v>39</v>
      </c>
      <c r="G1561" s="3" t="s">
        <v>40</v>
      </c>
      <c r="H1561" s="3" t="s">
        <v>1636</v>
      </c>
      <c r="I1561" s="6">
        <v>79.97</v>
      </c>
      <c r="J1561" s="4">
        <v>4</v>
      </c>
      <c r="K1561" s="6">
        <v>-17.989999999999998</v>
      </c>
    </row>
    <row r="1562" spans="1:11" x14ac:dyDescent="0.3">
      <c r="A1562" s="7">
        <v>41959</v>
      </c>
      <c r="B1562" s="4">
        <f>YEAR(SalesData[[#This Row],[Order Date]])</f>
        <v>2014</v>
      </c>
      <c r="C1562" s="4">
        <f>MONTH(SalesData[[#This Row],[Order Date]])</f>
        <v>11</v>
      </c>
      <c r="D1562" s="3" t="s">
        <v>1635</v>
      </c>
      <c r="E1562" s="3" t="s">
        <v>27</v>
      </c>
      <c r="F1562" s="3" t="s">
        <v>34</v>
      </c>
      <c r="G1562" s="3" t="s">
        <v>74</v>
      </c>
      <c r="H1562" s="3" t="s">
        <v>1637</v>
      </c>
      <c r="I1562" s="6">
        <v>305.97000000000003</v>
      </c>
      <c r="J1562" s="4">
        <v>3</v>
      </c>
      <c r="K1562" s="6">
        <v>25.2</v>
      </c>
    </row>
    <row r="1563" spans="1:11" x14ac:dyDescent="0.3">
      <c r="A1563" s="7">
        <v>41959</v>
      </c>
      <c r="B1563" s="4">
        <f>YEAR(SalesData[[#This Row],[Order Date]])</f>
        <v>2014</v>
      </c>
      <c r="C1563" s="4">
        <f>MONTH(SalesData[[#This Row],[Order Date]])</f>
        <v>11</v>
      </c>
      <c r="D1563" s="3" t="s">
        <v>1635</v>
      </c>
      <c r="E1563" s="3" t="s">
        <v>27</v>
      </c>
      <c r="F1563" s="3" t="s">
        <v>11</v>
      </c>
      <c r="G1563" s="3" t="s">
        <v>18</v>
      </c>
      <c r="H1563" s="3" t="s">
        <v>153</v>
      </c>
      <c r="I1563" s="6">
        <v>344.91</v>
      </c>
      <c r="J1563" s="4">
        <v>3</v>
      </c>
      <c r="K1563" s="6">
        <v>10.35</v>
      </c>
    </row>
    <row r="1564" spans="1:11" x14ac:dyDescent="0.3">
      <c r="A1564" s="7">
        <v>41960</v>
      </c>
      <c r="B1564" s="4">
        <f>YEAR(SalesData[[#This Row],[Order Date]])</f>
        <v>2014</v>
      </c>
      <c r="C1564" s="4">
        <f>MONTH(SalesData[[#This Row],[Order Date]])</f>
        <v>11</v>
      </c>
      <c r="D1564" s="3" t="s">
        <v>413</v>
      </c>
      <c r="E1564" s="3" t="s">
        <v>315</v>
      </c>
      <c r="F1564" s="3" t="s">
        <v>34</v>
      </c>
      <c r="G1564" s="3" t="s">
        <v>35</v>
      </c>
      <c r="H1564" s="3" t="s">
        <v>1256</v>
      </c>
      <c r="I1564" s="6">
        <v>479.9</v>
      </c>
      <c r="J1564" s="4">
        <v>5</v>
      </c>
      <c r="K1564" s="6">
        <v>81.58</v>
      </c>
    </row>
    <row r="1565" spans="1:11" x14ac:dyDescent="0.3">
      <c r="A1565" s="7">
        <v>41960</v>
      </c>
      <c r="B1565" s="4">
        <f>YEAR(SalesData[[#This Row],[Order Date]])</f>
        <v>2014</v>
      </c>
      <c r="C1565" s="4">
        <f>MONTH(SalesData[[#This Row],[Order Date]])</f>
        <v>11</v>
      </c>
      <c r="D1565" s="3" t="s">
        <v>1638</v>
      </c>
      <c r="E1565" s="3" t="s">
        <v>59</v>
      </c>
      <c r="F1565" s="3" t="s">
        <v>11</v>
      </c>
      <c r="G1565" s="3" t="s">
        <v>18</v>
      </c>
      <c r="H1565" s="3" t="s">
        <v>1048</v>
      </c>
      <c r="I1565" s="6">
        <v>2934.33</v>
      </c>
      <c r="J1565" s="4">
        <v>7</v>
      </c>
      <c r="K1565" s="6">
        <v>792.27</v>
      </c>
    </row>
    <row r="1566" spans="1:11" x14ac:dyDescent="0.3">
      <c r="A1566" s="7">
        <v>41960</v>
      </c>
      <c r="B1566" s="4">
        <f>YEAR(SalesData[[#This Row],[Order Date]])</f>
        <v>2014</v>
      </c>
      <c r="C1566" s="4">
        <f>MONTH(SalesData[[#This Row],[Order Date]])</f>
        <v>11</v>
      </c>
      <c r="D1566" s="3" t="s">
        <v>1638</v>
      </c>
      <c r="E1566" s="3" t="s">
        <v>59</v>
      </c>
      <c r="F1566" s="3" t="s">
        <v>34</v>
      </c>
      <c r="G1566" s="3" t="s">
        <v>47</v>
      </c>
      <c r="H1566" s="3" t="s">
        <v>1639</v>
      </c>
      <c r="I1566" s="6">
        <v>124.41</v>
      </c>
      <c r="J1566" s="4">
        <v>3</v>
      </c>
      <c r="K1566" s="6">
        <v>14.93</v>
      </c>
    </row>
    <row r="1567" spans="1:11" x14ac:dyDescent="0.3">
      <c r="A1567" s="7">
        <v>41960</v>
      </c>
      <c r="B1567" s="4">
        <f>YEAR(SalesData[[#This Row],[Order Date]])</f>
        <v>2014</v>
      </c>
      <c r="C1567" s="4">
        <f>MONTH(SalesData[[#This Row],[Order Date]])</f>
        <v>11</v>
      </c>
      <c r="D1567" s="3" t="s">
        <v>1638</v>
      </c>
      <c r="E1567" s="3" t="s">
        <v>59</v>
      </c>
      <c r="F1567" s="3" t="s">
        <v>11</v>
      </c>
      <c r="G1567" s="3" t="s">
        <v>24</v>
      </c>
      <c r="H1567" s="3" t="s">
        <v>808</v>
      </c>
      <c r="I1567" s="6">
        <v>57.75</v>
      </c>
      <c r="J1567" s="4">
        <v>5</v>
      </c>
      <c r="K1567" s="6">
        <v>26.57</v>
      </c>
    </row>
    <row r="1568" spans="1:11" x14ac:dyDescent="0.3">
      <c r="A1568" s="7">
        <v>41960</v>
      </c>
      <c r="B1568" s="4">
        <f>YEAR(SalesData[[#This Row],[Order Date]])</f>
        <v>2014</v>
      </c>
      <c r="C1568" s="4">
        <f>MONTH(SalesData[[#This Row],[Order Date]])</f>
        <v>11</v>
      </c>
      <c r="D1568" s="3" t="s">
        <v>355</v>
      </c>
      <c r="E1568" s="3" t="s">
        <v>27</v>
      </c>
      <c r="F1568" s="3" t="s">
        <v>39</v>
      </c>
      <c r="G1568" s="3" t="s">
        <v>52</v>
      </c>
      <c r="H1568" s="3" t="s">
        <v>1008</v>
      </c>
      <c r="I1568" s="6">
        <v>99.98</v>
      </c>
      <c r="J1568" s="4">
        <v>2</v>
      </c>
      <c r="K1568" s="6">
        <v>8</v>
      </c>
    </row>
    <row r="1569" spans="1:11" x14ac:dyDescent="0.3">
      <c r="A1569" s="7">
        <v>41960</v>
      </c>
      <c r="B1569" s="4">
        <f>YEAR(SalesData[[#This Row],[Order Date]])</f>
        <v>2014</v>
      </c>
      <c r="C1569" s="4">
        <f>MONTH(SalesData[[#This Row],[Order Date]])</f>
        <v>11</v>
      </c>
      <c r="D1569" s="3" t="s">
        <v>355</v>
      </c>
      <c r="E1569" s="3" t="s">
        <v>27</v>
      </c>
      <c r="F1569" s="3" t="s">
        <v>11</v>
      </c>
      <c r="G1569" s="3" t="s">
        <v>12</v>
      </c>
      <c r="H1569" s="3" t="s">
        <v>882</v>
      </c>
      <c r="I1569" s="6">
        <v>733.95</v>
      </c>
      <c r="J1569" s="4">
        <v>7</v>
      </c>
      <c r="K1569" s="6">
        <v>352.3</v>
      </c>
    </row>
    <row r="1570" spans="1:11" x14ac:dyDescent="0.3">
      <c r="A1570" s="7">
        <v>41960</v>
      </c>
      <c r="B1570" s="4">
        <f>YEAR(SalesData[[#This Row],[Order Date]])</f>
        <v>2014</v>
      </c>
      <c r="C1570" s="4">
        <f>MONTH(SalesData[[#This Row],[Order Date]])</f>
        <v>11</v>
      </c>
      <c r="D1570" s="3" t="s">
        <v>355</v>
      </c>
      <c r="E1570" s="3" t="s">
        <v>27</v>
      </c>
      <c r="F1570" s="3" t="s">
        <v>11</v>
      </c>
      <c r="G1570" s="3" t="s">
        <v>92</v>
      </c>
      <c r="H1570" s="3" t="s">
        <v>1640</v>
      </c>
      <c r="I1570" s="6">
        <v>241.44</v>
      </c>
      <c r="J1570" s="4">
        <v>3</v>
      </c>
      <c r="K1570" s="6">
        <v>72.430000000000007</v>
      </c>
    </row>
    <row r="1571" spans="1:11" x14ac:dyDescent="0.3">
      <c r="A1571" s="7">
        <v>41960</v>
      </c>
      <c r="B1571" s="4">
        <f>YEAR(SalesData[[#This Row],[Order Date]])</f>
        <v>2014</v>
      </c>
      <c r="C1571" s="4">
        <f>MONTH(SalesData[[#This Row],[Order Date]])</f>
        <v>11</v>
      </c>
      <c r="D1571" s="3" t="s">
        <v>1641</v>
      </c>
      <c r="E1571" s="3" t="s">
        <v>23</v>
      </c>
      <c r="F1571" s="3" t="s">
        <v>11</v>
      </c>
      <c r="G1571" s="3" t="s">
        <v>12</v>
      </c>
      <c r="H1571" s="3" t="s">
        <v>284</v>
      </c>
      <c r="I1571" s="6">
        <v>12.45</v>
      </c>
      <c r="J1571" s="4">
        <v>2</v>
      </c>
      <c r="K1571" s="6">
        <v>3.89</v>
      </c>
    </row>
    <row r="1572" spans="1:11" x14ac:dyDescent="0.3">
      <c r="A1572" s="7">
        <v>41960</v>
      </c>
      <c r="B1572" s="4">
        <f>YEAR(SalesData[[#This Row],[Order Date]])</f>
        <v>2014</v>
      </c>
      <c r="C1572" s="4">
        <f>MONTH(SalesData[[#This Row],[Order Date]])</f>
        <v>11</v>
      </c>
      <c r="D1572" s="3" t="s">
        <v>1641</v>
      </c>
      <c r="E1572" s="3" t="s">
        <v>23</v>
      </c>
      <c r="F1572" s="3" t="s">
        <v>34</v>
      </c>
      <c r="G1572" s="3" t="s">
        <v>35</v>
      </c>
      <c r="H1572" s="3" t="s">
        <v>994</v>
      </c>
      <c r="I1572" s="6">
        <v>657.93</v>
      </c>
      <c r="J1572" s="4">
        <v>5</v>
      </c>
      <c r="K1572" s="6">
        <v>-93.99</v>
      </c>
    </row>
    <row r="1573" spans="1:11" x14ac:dyDescent="0.3">
      <c r="A1573" s="7">
        <v>41960</v>
      </c>
      <c r="B1573" s="4">
        <f>YEAR(SalesData[[#This Row],[Order Date]])</f>
        <v>2014</v>
      </c>
      <c r="C1573" s="4">
        <f>MONTH(SalesData[[#This Row],[Order Date]])</f>
        <v>11</v>
      </c>
      <c r="D1573" s="3" t="s">
        <v>352</v>
      </c>
      <c r="E1573" s="3" t="s">
        <v>10</v>
      </c>
      <c r="F1573" s="3" t="s">
        <v>11</v>
      </c>
      <c r="G1573" s="3" t="s">
        <v>63</v>
      </c>
      <c r="H1573" s="3" t="s">
        <v>1165</v>
      </c>
      <c r="I1573" s="6">
        <v>7.08</v>
      </c>
      <c r="J1573" s="4">
        <v>3</v>
      </c>
      <c r="K1573" s="6">
        <v>2.48</v>
      </c>
    </row>
    <row r="1574" spans="1:11" x14ac:dyDescent="0.3">
      <c r="A1574" s="7">
        <v>41960</v>
      </c>
      <c r="B1574" s="4">
        <f>YEAR(SalesData[[#This Row],[Order Date]])</f>
        <v>2014</v>
      </c>
      <c r="C1574" s="4">
        <f>MONTH(SalesData[[#This Row],[Order Date]])</f>
        <v>11</v>
      </c>
      <c r="D1574" s="3" t="s">
        <v>709</v>
      </c>
      <c r="E1574" s="3" t="s">
        <v>149</v>
      </c>
      <c r="F1574" s="3" t="s">
        <v>11</v>
      </c>
      <c r="G1574" s="3" t="s">
        <v>20</v>
      </c>
      <c r="H1574" s="3" t="s">
        <v>1142</v>
      </c>
      <c r="I1574" s="6">
        <v>2152.7800000000002</v>
      </c>
      <c r="J1574" s="4">
        <v>3</v>
      </c>
      <c r="K1574" s="6">
        <v>726.56</v>
      </c>
    </row>
    <row r="1575" spans="1:11" x14ac:dyDescent="0.3">
      <c r="A1575" s="7">
        <v>41960</v>
      </c>
      <c r="B1575" s="4">
        <f>YEAR(SalesData[[#This Row],[Order Date]])</f>
        <v>2014</v>
      </c>
      <c r="C1575" s="4">
        <f>MONTH(SalesData[[#This Row],[Order Date]])</f>
        <v>11</v>
      </c>
      <c r="D1575" s="3" t="s">
        <v>709</v>
      </c>
      <c r="E1575" s="3" t="s">
        <v>149</v>
      </c>
      <c r="F1575" s="3" t="s">
        <v>34</v>
      </c>
      <c r="G1575" s="3" t="s">
        <v>74</v>
      </c>
      <c r="H1575" s="3" t="s">
        <v>1344</v>
      </c>
      <c r="I1575" s="6">
        <v>4007.84</v>
      </c>
      <c r="J1575" s="4">
        <v>10</v>
      </c>
      <c r="K1575" s="6">
        <v>-50.1</v>
      </c>
    </row>
    <row r="1576" spans="1:11" x14ac:dyDescent="0.3">
      <c r="A1576" s="7">
        <v>41960</v>
      </c>
      <c r="B1576" s="4">
        <f>YEAR(SalesData[[#This Row],[Order Date]])</f>
        <v>2014</v>
      </c>
      <c r="C1576" s="4">
        <f>MONTH(SalesData[[#This Row],[Order Date]])</f>
        <v>11</v>
      </c>
      <c r="D1576" s="3" t="s">
        <v>696</v>
      </c>
      <c r="E1576" s="3" t="s">
        <v>149</v>
      </c>
      <c r="F1576" s="3" t="s">
        <v>11</v>
      </c>
      <c r="G1576" s="3" t="s">
        <v>12</v>
      </c>
      <c r="H1576" s="3" t="s">
        <v>1642</v>
      </c>
      <c r="I1576" s="6">
        <v>34.44</v>
      </c>
      <c r="J1576" s="4">
        <v>3</v>
      </c>
      <c r="K1576" s="6">
        <v>17.22</v>
      </c>
    </row>
    <row r="1577" spans="1:11" x14ac:dyDescent="0.3">
      <c r="A1577" s="7">
        <v>41961</v>
      </c>
      <c r="B1577" s="4">
        <f>YEAR(SalesData[[#This Row],[Order Date]])</f>
        <v>2014</v>
      </c>
      <c r="C1577" s="4">
        <f>MONTH(SalesData[[#This Row],[Order Date]])</f>
        <v>11</v>
      </c>
      <c r="D1577" s="3" t="s">
        <v>1643</v>
      </c>
      <c r="E1577" s="3" t="s">
        <v>278</v>
      </c>
      <c r="F1577" s="3" t="s">
        <v>34</v>
      </c>
      <c r="G1577" s="3" t="s">
        <v>145</v>
      </c>
      <c r="H1577" s="3" t="s">
        <v>1644</v>
      </c>
      <c r="I1577" s="6">
        <v>145.97999999999999</v>
      </c>
      <c r="J1577" s="4">
        <v>2</v>
      </c>
      <c r="K1577" s="6">
        <v>-99.27</v>
      </c>
    </row>
    <row r="1578" spans="1:11" x14ac:dyDescent="0.3">
      <c r="A1578" s="7">
        <v>41961</v>
      </c>
      <c r="B1578" s="4">
        <f>YEAR(SalesData[[#This Row],[Order Date]])</f>
        <v>2014</v>
      </c>
      <c r="C1578" s="4">
        <f>MONTH(SalesData[[#This Row],[Order Date]])</f>
        <v>11</v>
      </c>
      <c r="D1578" s="3" t="s">
        <v>1643</v>
      </c>
      <c r="E1578" s="3" t="s">
        <v>278</v>
      </c>
      <c r="F1578" s="3" t="s">
        <v>11</v>
      </c>
      <c r="G1578" s="3" t="s">
        <v>12</v>
      </c>
      <c r="H1578" s="3" t="s">
        <v>276</v>
      </c>
      <c r="I1578" s="6">
        <v>35.81</v>
      </c>
      <c r="J1578" s="4">
        <v>4</v>
      </c>
      <c r="K1578" s="6">
        <v>12.53</v>
      </c>
    </row>
    <row r="1579" spans="1:11" x14ac:dyDescent="0.3">
      <c r="A1579" s="7">
        <v>41961</v>
      </c>
      <c r="B1579" s="4">
        <f>YEAR(SalesData[[#This Row],[Order Date]])</f>
        <v>2014</v>
      </c>
      <c r="C1579" s="4">
        <f>MONTH(SalesData[[#This Row],[Order Date]])</f>
        <v>11</v>
      </c>
      <c r="D1579" s="3" t="s">
        <v>791</v>
      </c>
      <c r="E1579" s="3" t="s">
        <v>23</v>
      </c>
      <c r="F1579" s="3" t="s">
        <v>11</v>
      </c>
      <c r="G1579" s="3" t="s">
        <v>20</v>
      </c>
      <c r="H1579" s="3" t="s">
        <v>528</v>
      </c>
      <c r="I1579" s="6">
        <v>51</v>
      </c>
      <c r="J1579" s="4">
        <v>1</v>
      </c>
      <c r="K1579" s="6">
        <v>-40.799999999999997</v>
      </c>
    </row>
    <row r="1580" spans="1:11" x14ac:dyDescent="0.3">
      <c r="A1580" s="7">
        <v>41961</v>
      </c>
      <c r="B1580" s="4">
        <f>YEAR(SalesData[[#This Row],[Order Date]])</f>
        <v>2014</v>
      </c>
      <c r="C1580" s="4">
        <f>MONTH(SalesData[[#This Row],[Order Date]])</f>
        <v>11</v>
      </c>
      <c r="D1580" s="3" t="s">
        <v>791</v>
      </c>
      <c r="E1580" s="3" t="s">
        <v>23</v>
      </c>
      <c r="F1580" s="3" t="s">
        <v>11</v>
      </c>
      <c r="G1580" s="3" t="s">
        <v>18</v>
      </c>
      <c r="H1580" s="3" t="s">
        <v>1645</v>
      </c>
      <c r="I1580" s="6">
        <v>76.790000000000006</v>
      </c>
      <c r="J1580" s="4">
        <v>1</v>
      </c>
      <c r="K1580" s="6">
        <v>-16.32</v>
      </c>
    </row>
    <row r="1581" spans="1:11" x14ac:dyDescent="0.3">
      <c r="A1581" s="7">
        <v>41961</v>
      </c>
      <c r="B1581" s="4">
        <f>YEAR(SalesData[[#This Row],[Order Date]])</f>
        <v>2014</v>
      </c>
      <c r="C1581" s="4">
        <f>MONTH(SalesData[[#This Row],[Order Date]])</f>
        <v>11</v>
      </c>
      <c r="D1581" s="3" t="s">
        <v>791</v>
      </c>
      <c r="E1581" s="3" t="s">
        <v>23</v>
      </c>
      <c r="F1581" s="3" t="s">
        <v>39</v>
      </c>
      <c r="G1581" s="3" t="s">
        <v>40</v>
      </c>
      <c r="H1581" s="3" t="s">
        <v>439</v>
      </c>
      <c r="I1581" s="6">
        <v>539.96</v>
      </c>
      <c r="J1581" s="4">
        <v>6</v>
      </c>
      <c r="K1581" s="6">
        <v>-107.99</v>
      </c>
    </row>
    <row r="1582" spans="1:11" x14ac:dyDescent="0.3">
      <c r="A1582" s="7">
        <v>41961</v>
      </c>
      <c r="B1582" s="4">
        <f>YEAR(SalesData[[#This Row],[Order Date]])</f>
        <v>2014</v>
      </c>
      <c r="C1582" s="4">
        <f>MONTH(SalesData[[#This Row],[Order Date]])</f>
        <v>11</v>
      </c>
      <c r="D1582" s="3" t="s">
        <v>791</v>
      </c>
      <c r="E1582" s="3" t="s">
        <v>23</v>
      </c>
      <c r="F1582" s="3" t="s">
        <v>34</v>
      </c>
      <c r="G1582" s="3" t="s">
        <v>47</v>
      </c>
      <c r="H1582" s="3" t="s">
        <v>1646</v>
      </c>
      <c r="I1582" s="6">
        <v>60.31</v>
      </c>
      <c r="J1582" s="4">
        <v>3</v>
      </c>
      <c r="K1582" s="6">
        <v>5.28</v>
      </c>
    </row>
    <row r="1583" spans="1:11" x14ac:dyDescent="0.3">
      <c r="A1583" s="7">
        <v>41961</v>
      </c>
      <c r="B1583" s="4">
        <f>YEAR(SalesData[[#This Row],[Order Date]])</f>
        <v>2014</v>
      </c>
      <c r="C1583" s="4">
        <f>MONTH(SalesData[[#This Row],[Order Date]])</f>
        <v>11</v>
      </c>
      <c r="D1583" s="3" t="s">
        <v>791</v>
      </c>
      <c r="E1583" s="3" t="s">
        <v>23</v>
      </c>
      <c r="F1583" s="3" t="s">
        <v>11</v>
      </c>
      <c r="G1583" s="3" t="s">
        <v>20</v>
      </c>
      <c r="H1583" s="3" t="s">
        <v>1647</v>
      </c>
      <c r="I1583" s="6">
        <v>1.94</v>
      </c>
      <c r="J1583" s="4">
        <v>3</v>
      </c>
      <c r="K1583" s="6">
        <v>-1.43</v>
      </c>
    </row>
    <row r="1584" spans="1:11" x14ac:dyDescent="0.3">
      <c r="A1584" s="7">
        <v>41961</v>
      </c>
      <c r="B1584" s="4">
        <f>YEAR(SalesData[[#This Row],[Order Date]])</f>
        <v>2014</v>
      </c>
      <c r="C1584" s="4">
        <f>MONTH(SalesData[[#This Row],[Order Date]])</f>
        <v>11</v>
      </c>
      <c r="D1584" s="3" t="s">
        <v>1648</v>
      </c>
      <c r="E1584" s="3" t="s">
        <v>15</v>
      </c>
      <c r="F1584" s="3" t="s">
        <v>11</v>
      </c>
      <c r="G1584" s="3" t="s">
        <v>20</v>
      </c>
      <c r="H1584" s="3" t="s">
        <v>1649</v>
      </c>
      <c r="I1584" s="6">
        <v>14.48</v>
      </c>
      <c r="J1584" s="4">
        <v>5</v>
      </c>
      <c r="K1584" s="6">
        <v>-23.89</v>
      </c>
    </row>
    <row r="1585" spans="1:11" x14ac:dyDescent="0.3">
      <c r="A1585" s="7">
        <v>41961</v>
      </c>
      <c r="B1585" s="4">
        <f>YEAR(SalesData[[#This Row],[Order Date]])</f>
        <v>2014</v>
      </c>
      <c r="C1585" s="4">
        <f>MONTH(SalesData[[#This Row],[Order Date]])</f>
        <v>11</v>
      </c>
      <c r="D1585" s="3" t="s">
        <v>1562</v>
      </c>
      <c r="E1585" s="3" t="s">
        <v>78</v>
      </c>
      <c r="F1585" s="3" t="s">
        <v>11</v>
      </c>
      <c r="G1585" s="3" t="s">
        <v>20</v>
      </c>
      <c r="H1585" s="3" t="s">
        <v>1650</v>
      </c>
      <c r="I1585" s="6">
        <v>11.81</v>
      </c>
      <c r="J1585" s="4">
        <v>8</v>
      </c>
      <c r="K1585" s="6">
        <v>-8.66</v>
      </c>
    </row>
    <row r="1586" spans="1:11" x14ac:dyDescent="0.3">
      <c r="A1586" s="7">
        <v>41961</v>
      </c>
      <c r="B1586" s="4">
        <f>YEAR(SalesData[[#This Row],[Order Date]])</f>
        <v>2014</v>
      </c>
      <c r="C1586" s="4">
        <f>MONTH(SalesData[[#This Row],[Order Date]])</f>
        <v>11</v>
      </c>
      <c r="D1586" s="3" t="s">
        <v>1562</v>
      </c>
      <c r="E1586" s="3" t="s">
        <v>78</v>
      </c>
      <c r="F1586" s="3" t="s">
        <v>39</v>
      </c>
      <c r="G1586" s="3" t="s">
        <v>40</v>
      </c>
      <c r="H1586" s="3" t="s">
        <v>1651</v>
      </c>
      <c r="I1586" s="6">
        <v>9.59</v>
      </c>
      <c r="J1586" s="4">
        <v>2</v>
      </c>
      <c r="K1586" s="6">
        <v>-2.08</v>
      </c>
    </row>
    <row r="1587" spans="1:11" x14ac:dyDescent="0.3">
      <c r="A1587" s="7">
        <v>41961</v>
      </c>
      <c r="B1587" s="4">
        <f>YEAR(SalesData[[#This Row],[Order Date]])</f>
        <v>2014</v>
      </c>
      <c r="C1587" s="4">
        <f>MONTH(SalesData[[#This Row],[Order Date]])</f>
        <v>11</v>
      </c>
      <c r="D1587" s="3" t="s">
        <v>462</v>
      </c>
      <c r="E1587" s="3" t="s">
        <v>296</v>
      </c>
      <c r="F1587" s="3" t="s">
        <v>11</v>
      </c>
      <c r="G1587" s="3" t="s">
        <v>12</v>
      </c>
      <c r="H1587" s="3" t="s">
        <v>619</v>
      </c>
      <c r="I1587" s="6">
        <v>21.98</v>
      </c>
      <c r="J1587" s="4">
        <v>7</v>
      </c>
      <c r="K1587" s="6">
        <v>9.89</v>
      </c>
    </row>
    <row r="1588" spans="1:11" x14ac:dyDescent="0.3">
      <c r="A1588" s="7">
        <v>41961</v>
      </c>
      <c r="B1588" s="4">
        <f>YEAR(SalesData[[#This Row],[Order Date]])</f>
        <v>2014</v>
      </c>
      <c r="C1588" s="4">
        <f>MONTH(SalesData[[#This Row],[Order Date]])</f>
        <v>11</v>
      </c>
      <c r="D1588" s="3" t="s">
        <v>1652</v>
      </c>
      <c r="E1588" s="3" t="s">
        <v>15</v>
      </c>
      <c r="F1588" s="3" t="s">
        <v>34</v>
      </c>
      <c r="G1588" s="3" t="s">
        <v>145</v>
      </c>
      <c r="H1588" s="3" t="s">
        <v>1653</v>
      </c>
      <c r="I1588" s="6">
        <v>292.10000000000002</v>
      </c>
      <c r="J1588" s="4">
        <v>4</v>
      </c>
      <c r="K1588" s="6">
        <v>-175.26</v>
      </c>
    </row>
    <row r="1589" spans="1:11" x14ac:dyDescent="0.3">
      <c r="A1589" s="7">
        <v>41961</v>
      </c>
      <c r="B1589" s="4">
        <f>YEAR(SalesData[[#This Row],[Order Date]])</f>
        <v>2014</v>
      </c>
      <c r="C1589" s="4">
        <f>MONTH(SalesData[[#This Row],[Order Date]])</f>
        <v>11</v>
      </c>
      <c r="D1589" s="3" t="s">
        <v>1652</v>
      </c>
      <c r="E1589" s="3" t="s">
        <v>15</v>
      </c>
      <c r="F1589" s="3" t="s">
        <v>34</v>
      </c>
      <c r="G1589" s="3" t="s">
        <v>47</v>
      </c>
      <c r="H1589" s="3" t="s">
        <v>1355</v>
      </c>
      <c r="I1589" s="6">
        <v>8.5399999999999991</v>
      </c>
      <c r="J1589" s="4">
        <v>2</v>
      </c>
      <c r="K1589" s="6">
        <v>-7.48</v>
      </c>
    </row>
    <row r="1590" spans="1:11" x14ac:dyDescent="0.3">
      <c r="A1590" s="7">
        <v>41961</v>
      </c>
      <c r="B1590" s="4">
        <f>YEAR(SalesData[[#This Row],[Order Date]])</f>
        <v>2014</v>
      </c>
      <c r="C1590" s="4">
        <f>MONTH(SalesData[[#This Row],[Order Date]])</f>
        <v>11</v>
      </c>
      <c r="D1590" s="3" t="s">
        <v>1652</v>
      </c>
      <c r="E1590" s="3" t="s">
        <v>15</v>
      </c>
      <c r="F1590" s="3" t="s">
        <v>34</v>
      </c>
      <c r="G1590" s="3" t="s">
        <v>74</v>
      </c>
      <c r="H1590" s="3" t="s">
        <v>1654</v>
      </c>
      <c r="I1590" s="6">
        <v>424.12</v>
      </c>
      <c r="J1590" s="4">
        <v>6</v>
      </c>
      <c r="K1590" s="6">
        <v>-30.29</v>
      </c>
    </row>
    <row r="1591" spans="1:11" x14ac:dyDescent="0.3">
      <c r="A1591" s="7">
        <v>41961</v>
      </c>
      <c r="B1591" s="4">
        <f>YEAR(SalesData[[#This Row],[Order Date]])</f>
        <v>2014</v>
      </c>
      <c r="C1591" s="4">
        <f>MONTH(SalesData[[#This Row],[Order Date]])</f>
        <v>11</v>
      </c>
      <c r="D1591" s="3" t="s">
        <v>1652</v>
      </c>
      <c r="E1591" s="3" t="s">
        <v>15</v>
      </c>
      <c r="F1591" s="3" t="s">
        <v>11</v>
      </c>
      <c r="G1591" s="3" t="s">
        <v>20</v>
      </c>
      <c r="H1591" s="3" t="s">
        <v>189</v>
      </c>
      <c r="I1591" s="6">
        <v>2.89</v>
      </c>
      <c r="J1591" s="4">
        <v>3</v>
      </c>
      <c r="K1591" s="6">
        <v>-4.92</v>
      </c>
    </row>
    <row r="1592" spans="1:11" x14ac:dyDescent="0.3">
      <c r="A1592" s="7">
        <v>41961</v>
      </c>
      <c r="B1592" s="4">
        <f>YEAR(SalesData[[#This Row],[Order Date]])</f>
        <v>2014</v>
      </c>
      <c r="C1592" s="4">
        <f>MONTH(SalesData[[#This Row],[Order Date]])</f>
        <v>11</v>
      </c>
      <c r="D1592" s="3" t="s">
        <v>1652</v>
      </c>
      <c r="E1592" s="3" t="s">
        <v>15</v>
      </c>
      <c r="F1592" s="3" t="s">
        <v>11</v>
      </c>
      <c r="G1592" s="3" t="s">
        <v>18</v>
      </c>
      <c r="H1592" s="3" t="s">
        <v>68</v>
      </c>
      <c r="I1592" s="6">
        <v>381.72</v>
      </c>
      <c r="J1592" s="4">
        <v>5</v>
      </c>
      <c r="K1592" s="6">
        <v>-66.8</v>
      </c>
    </row>
    <row r="1593" spans="1:11" x14ac:dyDescent="0.3">
      <c r="A1593" s="7">
        <v>41961</v>
      </c>
      <c r="B1593" s="4">
        <f>YEAR(SalesData[[#This Row],[Order Date]])</f>
        <v>2014</v>
      </c>
      <c r="C1593" s="4">
        <f>MONTH(SalesData[[#This Row],[Order Date]])</f>
        <v>11</v>
      </c>
      <c r="D1593" s="3" t="s">
        <v>1655</v>
      </c>
      <c r="E1593" s="3" t="s">
        <v>315</v>
      </c>
      <c r="F1593" s="3" t="s">
        <v>11</v>
      </c>
      <c r="G1593" s="3" t="s">
        <v>18</v>
      </c>
      <c r="H1593" s="3" t="s">
        <v>1656</v>
      </c>
      <c r="I1593" s="6">
        <v>67.150000000000006</v>
      </c>
      <c r="J1593" s="4">
        <v>5</v>
      </c>
      <c r="K1593" s="6">
        <v>16.79</v>
      </c>
    </row>
    <row r="1594" spans="1:11" x14ac:dyDescent="0.3">
      <c r="A1594" s="7">
        <v>41961</v>
      </c>
      <c r="B1594" s="4">
        <f>YEAR(SalesData[[#This Row],[Order Date]])</f>
        <v>2014</v>
      </c>
      <c r="C1594" s="4">
        <f>MONTH(SalesData[[#This Row],[Order Date]])</f>
        <v>11</v>
      </c>
      <c r="D1594" s="3" t="s">
        <v>1657</v>
      </c>
      <c r="E1594" s="3" t="s">
        <v>157</v>
      </c>
      <c r="F1594" s="3" t="s">
        <v>34</v>
      </c>
      <c r="G1594" s="3" t="s">
        <v>35</v>
      </c>
      <c r="H1594" s="3" t="s">
        <v>371</v>
      </c>
      <c r="I1594" s="6">
        <v>392.94</v>
      </c>
      <c r="J1594" s="4">
        <v>3</v>
      </c>
      <c r="K1594" s="6">
        <v>43.22</v>
      </c>
    </row>
    <row r="1595" spans="1:11" x14ac:dyDescent="0.3">
      <c r="A1595" s="7">
        <v>41961</v>
      </c>
      <c r="B1595" s="4">
        <f>YEAR(SalesData[[#This Row],[Order Date]])</f>
        <v>2014</v>
      </c>
      <c r="C1595" s="4">
        <f>MONTH(SalesData[[#This Row],[Order Date]])</f>
        <v>11</v>
      </c>
      <c r="D1595" s="3" t="s">
        <v>727</v>
      </c>
      <c r="E1595" s="3" t="s">
        <v>164</v>
      </c>
      <c r="F1595" s="3" t="s">
        <v>34</v>
      </c>
      <c r="G1595" s="3" t="s">
        <v>47</v>
      </c>
      <c r="H1595" s="3" t="s">
        <v>1658</v>
      </c>
      <c r="I1595" s="6">
        <v>137.54</v>
      </c>
      <c r="J1595" s="4">
        <v>2</v>
      </c>
      <c r="K1595" s="6">
        <v>55.02</v>
      </c>
    </row>
    <row r="1596" spans="1:11" x14ac:dyDescent="0.3">
      <c r="A1596" s="7">
        <v>41961</v>
      </c>
      <c r="B1596" s="4">
        <f>YEAR(SalesData[[#This Row],[Order Date]])</f>
        <v>2014</v>
      </c>
      <c r="C1596" s="4">
        <f>MONTH(SalesData[[#This Row],[Order Date]])</f>
        <v>11</v>
      </c>
      <c r="D1596" s="3" t="s">
        <v>727</v>
      </c>
      <c r="E1596" s="3" t="s">
        <v>164</v>
      </c>
      <c r="F1596" s="3" t="s">
        <v>34</v>
      </c>
      <c r="G1596" s="3" t="s">
        <v>145</v>
      </c>
      <c r="H1596" s="3" t="s">
        <v>1496</v>
      </c>
      <c r="I1596" s="6">
        <v>730.2</v>
      </c>
      <c r="J1596" s="4">
        <v>4</v>
      </c>
      <c r="K1596" s="6">
        <v>94.93</v>
      </c>
    </row>
    <row r="1597" spans="1:11" x14ac:dyDescent="0.3">
      <c r="A1597" s="7">
        <v>41962</v>
      </c>
      <c r="B1597" s="4">
        <f>YEAR(SalesData[[#This Row],[Order Date]])</f>
        <v>2014</v>
      </c>
      <c r="C1597" s="4">
        <f>MONTH(SalesData[[#This Row],[Order Date]])</f>
        <v>11</v>
      </c>
      <c r="D1597" s="3" t="s">
        <v>1620</v>
      </c>
      <c r="E1597" s="3" t="s">
        <v>62</v>
      </c>
      <c r="F1597" s="3" t="s">
        <v>39</v>
      </c>
      <c r="G1597" s="3" t="s">
        <v>40</v>
      </c>
      <c r="H1597" s="3" t="s">
        <v>400</v>
      </c>
      <c r="I1597" s="6">
        <v>503.96</v>
      </c>
      <c r="J1597" s="4">
        <v>4</v>
      </c>
      <c r="K1597" s="6">
        <v>131.03</v>
      </c>
    </row>
    <row r="1598" spans="1:11" x14ac:dyDescent="0.3">
      <c r="A1598" s="7">
        <v>41962</v>
      </c>
      <c r="B1598" s="4">
        <f>YEAR(SalesData[[#This Row],[Order Date]])</f>
        <v>2014</v>
      </c>
      <c r="C1598" s="4">
        <f>MONTH(SalesData[[#This Row],[Order Date]])</f>
        <v>11</v>
      </c>
      <c r="D1598" s="3" t="s">
        <v>1620</v>
      </c>
      <c r="E1598" s="3" t="s">
        <v>62</v>
      </c>
      <c r="F1598" s="3" t="s">
        <v>39</v>
      </c>
      <c r="G1598" s="3" t="s">
        <v>40</v>
      </c>
      <c r="H1598" s="3" t="s">
        <v>1659</v>
      </c>
      <c r="I1598" s="6">
        <v>149.94999999999999</v>
      </c>
      <c r="J1598" s="4">
        <v>5</v>
      </c>
      <c r="K1598" s="6">
        <v>41.99</v>
      </c>
    </row>
    <row r="1599" spans="1:11" x14ac:dyDescent="0.3">
      <c r="A1599" s="7">
        <v>41962</v>
      </c>
      <c r="B1599" s="4">
        <f>YEAR(SalesData[[#This Row],[Order Date]])</f>
        <v>2014</v>
      </c>
      <c r="C1599" s="4">
        <f>MONTH(SalesData[[#This Row],[Order Date]])</f>
        <v>11</v>
      </c>
      <c r="D1599" s="3" t="s">
        <v>1620</v>
      </c>
      <c r="E1599" s="3" t="s">
        <v>62</v>
      </c>
      <c r="F1599" s="3" t="s">
        <v>39</v>
      </c>
      <c r="G1599" s="3" t="s">
        <v>52</v>
      </c>
      <c r="H1599" s="3" t="s">
        <v>1660</v>
      </c>
      <c r="I1599" s="6">
        <v>29</v>
      </c>
      <c r="J1599" s="4">
        <v>2</v>
      </c>
      <c r="K1599" s="6">
        <v>7.25</v>
      </c>
    </row>
    <row r="1600" spans="1:11" x14ac:dyDescent="0.3">
      <c r="A1600" s="7">
        <v>41962</v>
      </c>
      <c r="B1600" s="4">
        <f>YEAR(SalesData[[#This Row],[Order Date]])</f>
        <v>2014</v>
      </c>
      <c r="C1600" s="4">
        <f>MONTH(SalesData[[#This Row],[Order Date]])</f>
        <v>11</v>
      </c>
      <c r="D1600" s="3" t="s">
        <v>1661</v>
      </c>
      <c r="E1600" s="3" t="s">
        <v>149</v>
      </c>
      <c r="F1600" s="3" t="s">
        <v>39</v>
      </c>
      <c r="G1600" s="3" t="s">
        <v>40</v>
      </c>
      <c r="H1600" s="3" t="s">
        <v>676</v>
      </c>
      <c r="I1600" s="6">
        <v>4548.8100000000004</v>
      </c>
      <c r="J1600" s="4">
        <v>7</v>
      </c>
      <c r="K1600" s="6">
        <v>1228.18</v>
      </c>
    </row>
    <row r="1601" spans="1:11" x14ac:dyDescent="0.3">
      <c r="A1601" s="7">
        <v>41962</v>
      </c>
      <c r="B1601" s="4">
        <f>YEAR(SalesData[[#This Row],[Order Date]])</f>
        <v>2014</v>
      </c>
      <c r="C1601" s="4">
        <f>MONTH(SalesData[[#This Row],[Order Date]])</f>
        <v>11</v>
      </c>
      <c r="D1601" s="3" t="s">
        <v>1662</v>
      </c>
      <c r="E1601" s="3" t="s">
        <v>59</v>
      </c>
      <c r="F1601" s="3" t="s">
        <v>11</v>
      </c>
      <c r="G1601" s="3" t="s">
        <v>16</v>
      </c>
      <c r="H1601" s="3" t="s">
        <v>172</v>
      </c>
      <c r="I1601" s="6">
        <v>22.5</v>
      </c>
      <c r="J1601" s="4">
        <v>6</v>
      </c>
      <c r="K1601" s="6">
        <v>10.8</v>
      </c>
    </row>
    <row r="1602" spans="1:11" x14ac:dyDescent="0.3">
      <c r="A1602" s="7">
        <v>41962</v>
      </c>
      <c r="B1602" s="4">
        <f>YEAR(SalesData[[#This Row],[Order Date]])</f>
        <v>2014</v>
      </c>
      <c r="C1602" s="4">
        <f>MONTH(SalesData[[#This Row],[Order Date]])</f>
        <v>11</v>
      </c>
      <c r="D1602" s="3" t="s">
        <v>1662</v>
      </c>
      <c r="E1602" s="3" t="s">
        <v>59</v>
      </c>
      <c r="F1602" s="3" t="s">
        <v>11</v>
      </c>
      <c r="G1602" s="3" t="s">
        <v>16</v>
      </c>
      <c r="H1602" s="3" t="s">
        <v>1336</v>
      </c>
      <c r="I1602" s="6">
        <v>9.9600000000000009</v>
      </c>
      <c r="J1602" s="4">
        <v>2</v>
      </c>
      <c r="K1602" s="6">
        <v>4.58</v>
      </c>
    </row>
    <row r="1603" spans="1:11" x14ac:dyDescent="0.3">
      <c r="A1603" s="7">
        <v>41962</v>
      </c>
      <c r="B1603" s="4">
        <f>YEAR(SalesData[[#This Row],[Order Date]])</f>
        <v>2014</v>
      </c>
      <c r="C1603" s="4">
        <f>MONTH(SalesData[[#This Row],[Order Date]])</f>
        <v>11</v>
      </c>
      <c r="D1603" s="3" t="s">
        <v>1662</v>
      </c>
      <c r="E1603" s="3" t="s">
        <v>59</v>
      </c>
      <c r="F1603" s="3" t="s">
        <v>11</v>
      </c>
      <c r="G1603" s="3" t="s">
        <v>20</v>
      </c>
      <c r="H1603" s="3" t="s">
        <v>1281</v>
      </c>
      <c r="I1603" s="6">
        <v>213.08</v>
      </c>
      <c r="J1603" s="4">
        <v>7</v>
      </c>
      <c r="K1603" s="6">
        <v>102.28</v>
      </c>
    </row>
    <row r="1604" spans="1:11" x14ac:dyDescent="0.3">
      <c r="A1604" s="7">
        <v>41962</v>
      </c>
      <c r="B1604" s="4">
        <f>YEAR(SalesData[[#This Row],[Order Date]])</f>
        <v>2014</v>
      </c>
      <c r="C1604" s="4">
        <f>MONTH(SalesData[[#This Row],[Order Date]])</f>
        <v>11</v>
      </c>
      <c r="D1604" s="3" t="s">
        <v>1662</v>
      </c>
      <c r="E1604" s="3" t="s">
        <v>59</v>
      </c>
      <c r="F1604" s="3" t="s">
        <v>34</v>
      </c>
      <c r="G1604" s="3" t="s">
        <v>74</v>
      </c>
      <c r="H1604" s="3" t="s">
        <v>719</v>
      </c>
      <c r="I1604" s="6">
        <v>1025.8800000000001</v>
      </c>
      <c r="J1604" s="4">
        <v>6</v>
      </c>
      <c r="K1604" s="6">
        <v>235.95</v>
      </c>
    </row>
    <row r="1605" spans="1:11" x14ac:dyDescent="0.3">
      <c r="A1605" s="7">
        <v>41962</v>
      </c>
      <c r="B1605" s="4">
        <f>YEAR(SalesData[[#This Row],[Order Date]])</f>
        <v>2014</v>
      </c>
      <c r="C1605" s="4">
        <f>MONTH(SalesData[[#This Row],[Order Date]])</f>
        <v>11</v>
      </c>
      <c r="D1605" s="3" t="s">
        <v>1663</v>
      </c>
      <c r="E1605" s="3" t="s">
        <v>296</v>
      </c>
      <c r="F1605" s="3" t="s">
        <v>11</v>
      </c>
      <c r="G1605" s="3" t="s">
        <v>12</v>
      </c>
      <c r="H1605" s="3" t="s">
        <v>1664</v>
      </c>
      <c r="I1605" s="6">
        <v>166.44</v>
      </c>
      <c r="J1605" s="4">
        <v>3</v>
      </c>
      <c r="K1605" s="6">
        <v>79.89</v>
      </c>
    </row>
    <row r="1606" spans="1:11" x14ac:dyDescent="0.3">
      <c r="A1606" s="7">
        <v>41962</v>
      </c>
      <c r="B1606" s="4">
        <f>YEAR(SalesData[[#This Row],[Order Date]])</f>
        <v>2014</v>
      </c>
      <c r="C1606" s="4">
        <f>MONTH(SalesData[[#This Row],[Order Date]])</f>
        <v>11</v>
      </c>
      <c r="D1606" s="3" t="s">
        <v>465</v>
      </c>
      <c r="E1606" s="3" t="s">
        <v>23</v>
      </c>
      <c r="F1606" s="3" t="s">
        <v>39</v>
      </c>
      <c r="G1606" s="3" t="s">
        <v>52</v>
      </c>
      <c r="H1606" s="3" t="s">
        <v>1428</v>
      </c>
      <c r="I1606" s="6">
        <v>47.5</v>
      </c>
      <c r="J1606" s="4">
        <v>1</v>
      </c>
      <c r="K1606" s="6">
        <v>-1.19</v>
      </c>
    </row>
    <row r="1607" spans="1:11" x14ac:dyDescent="0.3">
      <c r="A1607" s="7">
        <v>41962</v>
      </c>
      <c r="B1607" s="4">
        <f>YEAR(SalesData[[#This Row],[Order Date]])</f>
        <v>2014</v>
      </c>
      <c r="C1607" s="4">
        <f>MONTH(SalesData[[#This Row],[Order Date]])</f>
        <v>11</v>
      </c>
      <c r="D1607" s="3" t="s">
        <v>1172</v>
      </c>
      <c r="E1607" s="3" t="s">
        <v>315</v>
      </c>
      <c r="F1607" s="3" t="s">
        <v>11</v>
      </c>
      <c r="G1607" s="3" t="s">
        <v>18</v>
      </c>
      <c r="H1607" s="3" t="s">
        <v>580</v>
      </c>
      <c r="I1607" s="6">
        <v>221.16</v>
      </c>
      <c r="J1607" s="4">
        <v>4</v>
      </c>
      <c r="K1607" s="6">
        <v>57.5</v>
      </c>
    </row>
    <row r="1608" spans="1:11" x14ac:dyDescent="0.3">
      <c r="A1608" s="7">
        <v>41962</v>
      </c>
      <c r="B1608" s="4">
        <f>YEAR(SalesData[[#This Row],[Order Date]])</f>
        <v>2014</v>
      </c>
      <c r="C1608" s="4">
        <f>MONTH(SalesData[[#This Row],[Order Date]])</f>
        <v>11</v>
      </c>
      <c r="D1608" s="3" t="s">
        <v>1172</v>
      </c>
      <c r="E1608" s="3" t="s">
        <v>315</v>
      </c>
      <c r="F1608" s="3" t="s">
        <v>39</v>
      </c>
      <c r="G1608" s="3" t="s">
        <v>40</v>
      </c>
      <c r="H1608" s="3" t="s">
        <v>138</v>
      </c>
      <c r="I1608" s="6">
        <v>281.97000000000003</v>
      </c>
      <c r="J1608" s="4">
        <v>3</v>
      </c>
      <c r="K1608" s="6">
        <v>78.95</v>
      </c>
    </row>
    <row r="1609" spans="1:11" x14ac:dyDescent="0.3">
      <c r="A1609" s="7">
        <v>41962</v>
      </c>
      <c r="B1609" s="4">
        <f>YEAR(SalesData[[#This Row],[Order Date]])</f>
        <v>2014</v>
      </c>
      <c r="C1609" s="4">
        <f>MONTH(SalesData[[#This Row],[Order Date]])</f>
        <v>11</v>
      </c>
      <c r="D1609" s="3" t="s">
        <v>1665</v>
      </c>
      <c r="E1609" s="3" t="s">
        <v>23</v>
      </c>
      <c r="F1609" s="3" t="s">
        <v>11</v>
      </c>
      <c r="G1609" s="3" t="s">
        <v>12</v>
      </c>
      <c r="H1609" s="3" t="s">
        <v>1666</v>
      </c>
      <c r="I1609" s="6">
        <v>5.88</v>
      </c>
      <c r="J1609" s="4">
        <v>1</v>
      </c>
      <c r="K1609" s="6">
        <v>1.98</v>
      </c>
    </row>
    <row r="1610" spans="1:11" x14ac:dyDescent="0.3">
      <c r="A1610" s="7">
        <v>41963</v>
      </c>
      <c r="B1610" s="4">
        <f>YEAR(SalesData[[#This Row],[Order Date]])</f>
        <v>2014</v>
      </c>
      <c r="C1610" s="4">
        <f>MONTH(SalesData[[#This Row],[Order Date]])</f>
        <v>11</v>
      </c>
      <c r="D1610" s="3" t="s">
        <v>433</v>
      </c>
      <c r="E1610" s="3" t="s">
        <v>149</v>
      </c>
      <c r="F1610" s="3" t="s">
        <v>11</v>
      </c>
      <c r="G1610" s="3" t="s">
        <v>63</v>
      </c>
      <c r="H1610" s="3" t="s">
        <v>1667</v>
      </c>
      <c r="I1610" s="6">
        <v>34.74</v>
      </c>
      <c r="J1610" s="4">
        <v>3</v>
      </c>
      <c r="K1610" s="6">
        <v>17.37</v>
      </c>
    </row>
    <row r="1611" spans="1:11" x14ac:dyDescent="0.3">
      <c r="A1611" s="7">
        <v>41963</v>
      </c>
      <c r="B1611" s="4">
        <f>YEAR(SalesData[[#This Row],[Order Date]])</f>
        <v>2014</v>
      </c>
      <c r="C1611" s="4">
        <f>MONTH(SalesData[[#This Row],[Order Date]])</f>
        <v>11</v>
      </c>
      <c r="D1611" s="3" t="s">
        <v>433</v>
      </c>
      <c r="E1611" s="3" t="s">
        <v>149</v>
      </c>
      <c r="F1611" s="3" t="s">
        <v>39</v>
      </c>
      <c r="G1611" s="3" t="s">
        <v>40</v>
      </c>
      <c r="H1611" s="3" t="s">
        <v>1580</v>
      </c>
      <c r="I1611" s="6">
        <v>833.94</v>
      </c>
      <c r="J1611" s="4">
        <v>6</v>
      </c>
      <c r="K1611" s="6">
        <v>216.82</v>
      </c>
    </row>
    <row r="1612" spans="1:11" x14ac:dyDescent="0.3">
      <c r="A1612" s="7">
        <v>41963</v>
      </c>
      <c r="B1612" s="4">
        <f>YEAR(SalesData[[#This Row],[Order Date]])</f>
        <v>2014</v>
      </c>
      <c r="C1612" s="4">
        <f>MONTH(SalesData[[#This Row],[Order Date]])</f>
        <v>11</v>
      </c>
      <c r="D1612" s="3" t="s">
        <v>433</v>
      </c>
      <c r="E1612" s="3" t="s">
        <v>149</v>
      </c>
      <c r="F1612" s="3" t="s">
        <v>11</v>
      </c>
      <c r="G1612" s="3" t="s">
        <v>20</v>
      </c>
      <c r="H1612" s="3" t="s">
        <v>1668</v>
      </c>
      <c r="I1612" s="6">
        <v>12.96</v>
      </c>
      <c r="J1612" s="4">
        <v>3</v>
      </c>
      <c r="K1612" s="6">
        <v>4.54</v>
      </c>
    </row>
    <row r="1613" spans="1:11" x14ac:dyDescent="0.3">
      <c r="A1613" s="7">
        <v>41963</v>
      </c>
      <c r="B1613" s="4">
        <f>YEAR(SalesData[[#This Row],[Order Date]])</f>
        <v>2014</v>
      </c>
      <c r="C1613" s="4">
        <f>MONTH(SalesData[[#This Row],[Order Date]])</f>
        <v>11</v>
      </c>
      <c r="D1613" s="3" t="s">
        <v>433</v>
      </c>
      <c r="E1613" s="3" t="s">
        <v>149</v>
      </c>
      <c r="F1613" s="3" t="s">
        <v>11</v>
      </c>
      <c r="G1613" s="3" t="s">
        <v>12</v>
      </c>
      <c r="H1613" s="3" t="s">
        <v>1219</v>
      </c>
      <c r="I1613" s="6">
        <v>25.92</v>
      </c>
      <c r="J1613" s="4">
        <v>4</v>
      </c>
      <c r="K1613" s="6">
        <v>12.44</v>
      </c>
    </row>
    <row r="1614" spans="1:11" x14ac:dyDescent="0.3">
      <c r="A1614" s="7">
        <v>41964</v>
      </c>
      <c r="B1614" s="4">
        <f>YEAR(SalesData[[#This Row],[Order Date]])</f>
        <v>2014</v>
      </c>
      <c r="C1614" s="4">
        <f>MONTH(SalesData[[#This Row],[Order Date]])</f>
        <v>11</v>
      </c>
      <c r="D1614" s="3" t="s">
        <v>1669</v>
      </c>
      <c r="E1614" s="3" t="s">
        <v>33</v>
      </c>
      <c r="F1614" s="3" t="s">
        <v>39</v>
      </c>
      <c r="G1614" s="3" t="s">
        <v>40</v>
      </c>
      <c r="H1614" s="3" t="s">
        <v>901</v>
      </c>
      <c r="I1614" s="6">
        <v>36.99</v>
      </c>
      <c r="J1614" s="4">
        <v>1</v>
      </c>
      <c r="K1614" s="6">
        <v>9.99</v>
      </c>
    </row>
    <row r="1615" spans="1:11" x14ac:dyDescent="0.3">
      <c r="A1615" s="7">
        <v>41964</v>
      </c>
      <c r="B1615" s="4">
        <f>YEAR(SalesData[[#This Row],[Order Date]])</f>
        <v>2014</v>
      </c>
      <c r="C1615" s="4">
        <f>MONTH(SalesData[[#This Row],[Order Date]])</f>
        <v>11</v>
      </c>
      <c r="D1615" s="3" t="s">
        <v>1669</v>
      </c>
      <c r="E1615" s="3" t="s">
        <v>33</v>
      </c>
      <c r="F1615" s="3" t="s">
        <v>11</v>
      </c>
      <c r="G1615" s="3" t="s">
        <v>12</v>
      </c>
      <c r="H1615" s="3" t="s">
        <v>1670</v>
      </c>
      <c r="I1615" s="6">
        <v>629.1</v>
      </c>
      <c r="J1615" s="4">
        <v>6</v>
      </c>
      <c r="K1615" s="6">
        <v>301.97000000000003</v>
      </c>
    </row>
    <row r="1616" spans="1:11" x14ac:dyDescent="0.3">
      <c r="A1616" s="7">
        <v>41964</v>
      </c>
      <c r="B1616" s="4">
        <f>YEAR(SalesData[[#This Row],[Order Date]])</f>
        <v>2014</v>
      </c>
      <c r="C1616" s="4">
        <f>MONTH(SalesData[[#This Row],[Order Date]])</f>
        <v>11</v>
      </c>
      <c r="D1616" s="3" t="s">
        <v>1669</v>
      </c>
      <c r="E1616" s="3" t="s">
        <v>33</v>
      </c>
      <c r="F1616" s="3" t="s">
        <v>11</v>
      </c>
      <c r="G1616" s="3" t="s">
        <v>18</v>
      </c>
      <c r="H1616" s="3" t="s">
        <v>418</v>
      </c>
      <c r="I1616" s="6">
        <v>193.95</v>
      </c>
      <c r="J1616" s="4">
        <v>3</v>
      </c>
      <c r="K1616" s="6">
        <v>9.6999999999999993</v>
      </c>
    </row>
    <row r="1617" spans="1:11" x14ac:dyDescent="0.3">
      <c r="A1617" s="7">
        <v>41964</v>
      </c>
      <c r="B1617" s="4">
        <f>YEAR(SalesData[[#This Row],[Order Date]])</f>
        <v>2014</v>
      </c>
      <c r="C1617" s="4">
        <f>MONTH(SalesData[[#This Row],[Order Date]])</f>
        <v>11</v>
      </c>
      <c r="D1617" s="3" t="s">
        <v>1669</v>
      </c>
      <c r="E1617" s="3" t="s">
        <v>33</v>
      </c>
      <c r="F1617" s="3" t="s">
        <v>11</v>
      </c>
      <c r="G1617" s="3" t="s">
        <v>24</v>
      </c>
      <c r="H1617" s="3" t="s">
        <v>798</v>
      </c>
      <c r="I1617" s="6">
        <v>5.46</v>
      </c>
      <c r="J1617" s="4">
        <v>3</v>
      </c>
      <c r="K1617" s="6">
        <v>1.47</v>
      </c>
    </row>
    <row r="1618" spans="1:11" x14ac:dyDescent="0.3">
      <c r="A1618" s="7">
        <v>41964</v>
      </c>
      <c r="B1618" s="4">
        <f>YEAR(SalesData[[#This Row],[Order Date]])</f>
        <v>2014</v>
      </c>
      <c r="C1618" s="4">
        <f>MONTH(SalesData[[#This Row],[Order Date]])</f>
        <v>11</v>
      </c>
      <c r="D1618" s="3" t="s">
        <v>1662</v>
      </c>
      <c r="E1618" s="3" t="s">
        <v>27</v>
      </c>
      <c r="F1618" s="3" t="s">
        <v>11</v>
      </c>
      <c r="G1618" s="3" t="s">
        <v>12</v>
      </c>
      <c r="H1618" s="3" t="s">
        <v>481</v>
      </c>
      <c r="I1618" s="6">
        <v>12.96</v>
      </c>
      <c r="J1618" s="4">
        <v>2</v>
      </c>
      <c r="K1618" s="6">
        <v>6.22</v>
      </c>
    </row>
    <row r="1619" spans="1:11" x14ac:dyDescent="0.3">
      <c r="A1619" s="7">
        <v>41964</v>
      </c>
      <c r="B1619" s="4">
        <f>YEAR(SalesData[[#This Row],[Order Date]])</f>
        <v>2014</v>
      </c>
      <c r="C1619" s="4">
        <f>MONTH(SalesData[[#This Row],[Order Date]])</f>
        <v>11</v>
      </c>
      <c r="D1619" s="3" t="s">
        <v>1671</v>
      </c>
      <c r="E1619" s="3" t="s">
        <v>10</v>
      </c>
      <c r="F1619" s="3" t="s">
        <v>11</v>
      </c>
      <c r="G1619" s="3" t="s">
        <v>63</v>
      </c>
      <c r="H1619" s="3" t="s">
        <v>396</v>
      </c>
      <c r="I1619" s="6">
        <v>1.63</v>
      </c>
      <c r="J1619" s="4">
        <v>1</v>
      </c>
      <c r="K1619" s="6">
        <v>0.55000000000000004</v>
      </c>
    </row>
    <row r="1620" spans="1:11" x14ac:dyDescent="0.3">
      <c r="A1620" s="7">
        <v>41964</v>
      </c>
      <c r="B1620" s="4">
        <f>YEAR(SalesData[[#This Row],[Order Date]])</f>
        <v>2014</v>
      </c>
      <c r="C1620" s="4">
        <f>MONTH(SalesData[[#This Row],[Order Date]])</f>
        <v>11</v>
      </c>
      <c r="D1620" s="3" t="s">
        <v>1671</v>
      </c>
      <c r="E1620" s="3" t="s">
        <v>10</v>
      </c>
      <c r="F1620" s="3" t="s">
        <v>39</v>
      </c>
      <c r="G1620" s="3" t="s">
        <v>40</v>
      </c>
      <c r="H1620" s="3" t="s">
        <v>494</v>
      </c>
      <c r="I1620" s="6">
        <v>267.95999999999998</v>
      </c>
      <c r="J1620" s="4">
        <v>5</v>
      </c>
      <c r="K1620" s="6">
        <v>16.75</v>
      </c>
    </row>
    <row r="1621" spans="1:11" x14ac:dyDescent="0.3">
      <c r="A1621" s="7">
        <v>41964</v>
      </c>
      <c r="B1621" s="4">
        <f>YEAR(SalesData[[#This Row],[Order Date]])</f>
        <v>2014</v>
      </c>
      <c r="C1621" s="4">
        <f>MONTH(SalesData[[#This Row],[Order Date]])</f>
        <v>11</v>
      </c>
      <c r="D1621" s="3" t="s">
        <v>1672</v>
      </c>
      <c r="E1621" s="3" t="s">
        <v>27</v>
      </c>
      <c r="F1621" s="3" t="s">
        <v>11</v>
      </c>
      <c r="G1621" s="3" t="s">
        <v>12</v>
      </c>
      <c r="H1621" s="3" t="s">
        <v>1673</v>
      </c>
      <c r="I1621" s="6">
        <v>6.58</v>
      </c>
      <c r="J1621" s="4">
        <v>2</v>
      </c>
      <c r="K1621" s="6">
        <v>3.03</v>
      </c>
    </row>
    <row r="1622" spans="1:11" x14ac:dyDescent="0.3">
      <c r="A1622" s="7">
        <v>41964</v>
      </c>
      <c r="B1622" s="4">
        <f>YEAR(SalesData[[#This Row],[Order Date]])</f>
        <v>2014</v>
      </c>
      <c r="C1622" s="4">
        <f>MONTH(SalesData[[#This Row],[Order Date]])</f>
        <v>11</v>
      </c>
      <c r="D1622" s="3" t="s">
        <v>1672</v>
      </c>
      <c r="E1622" s="3" t="s">
        <v>27</v>
      </c>
      <c r="F1622" s="3" t="s">
        <v>39</v>
      </c>
      <c r="G1622" s="3" t="s">
        <v>52</v>
      </c>
      <c r="H1622" s="3" t="s">
        <v>544</v>
      </c>
      <c r="I1622" s="6">
        <v>94.99</v>
      </c>
      <c r="J1622" s="4">
        <v>1</v>
      </c>
      <c r="K1622" s="6">
        <v>28.5</v>
      </c>
    </row>
    <row r="1623" spans="1:11" x14ac:dyDescent="0.3">
      <c r="A1623" s="7">
        <v>41965</v>
      </c>
      <c r="B1623" s="4">
        <f>YEAR(SalesData[[#This Row],[Order Date]])</f>
        <v>2014</v>
      </c>
      <c r="C1623" s="4">
        <f>MONTH(SalesData[[#This Row],[Order Date]])</f>
        <v>11</v>
      </c>
      <c r="D1623" s="3" t="s">
        <v>498</v>
      </c>
      <c r="E1623" s="3" t="s">
        <v>30</v>
      </c>
      <c r="F1623" s="3" t="s">
        <v>11</v>
      </c>
      <c r="G1623" s="3" t="s">
        <v>63</v>
      </c>
      <c r="H1623" s="3" t="s">
        <v>1674</v>
      </c>
      <c r="I1623" s="6">
        <v>16.23</v>
      </c>
      <c r="J1623" s="4">
        <v>3</v>
      </c>
      <c r="K1623" s="6">
        <v>7.95</v>
      </c>
    </row>
    <row r="1624" spans="1:11" x14ac:dyDescent="0.3">
      <c r="A1624" s="7">
        <v>41965</v>
      </c>
      <c r="B1624" s="4">
        <f>YEAR(SalesData[[#This Row],[Order Date]])</f>
        <v>2014</v>
      </c>
      <c r="C1624" s="4">
        <f>MONTH(SalesData[[#This Row],[Order Date]])</f>
        <v>11</v>
      </c>
      <c r="D1624" s="3" t="s">
        <v>498</v>
      </c>
      <c r="E1624" s="3" t="s">
        <v>30</v>
      </c>
      <c r="F1624" s="3" t="s">
        <v>11</v>
      </c>
      <c r="G1624" s="3" t="s">
        <v>20</v>
      </c>
      <c r="H1624" s="3" t="s">
        <v>697</v>
      </c>
      <c r="I1624" s="6">
        <v>319.89999999999998</v>
      </c>
      <c r="J1624" s="4">
        <v>5</v>
      </c>
      <c r="K1624" s="6">
        <v>156.75</v>
      </c>
    </row>
    <row r="1625" spans="1:11" x14ac:dyDescent="0.3">
      <c r="A1625" s="7">
        <v>41965</v>
      </c>
      <c r="B1625" s="4">
        <f>YEAR(SalesData[[#This Row],[Order Date]])</f>
        <v>2014</v>
      </c>
      <c r="C1625" s="4">
        <f>MONTH(SalesData[[#This Row],[Order Date]])</f>
        <v>11</v>
      </c>
      <c r="D1625" s="3" t="s">
        <v>498</v>
      </c>
      <c r="E1625" s="3" t="s">
        <v>30</v>
      </c>
      <c r="F1625" s="3" t="s">
        <v>11</v>
      </c>
      <c r="G1625" s="3" t="s">
        <v>63</v>
      </c>
      <c r="H1625" s="3" t="s">
        <v>64</v>
      </c>
      <c r="I1625" s="6">
        <v>11.36</v>
      </c>
      <c r="J1625" s="4">
        <v>2</v>
      </c>
      <c r="K1625" s="6">
        <v>5.34</v>
      </c>
    </row>
    <row r="1626" spans="1:11" x14ac:dyDescent="0.3">
      <c r="A1626" s="7">
        <v>41965</v>
      </c>
      <c r="B1626" s="4">
        <f>YEAR(SalesData[[#This Row],[Order Date]])</f>
        <v>2014</v>
      </c>
      <c r="C1626" s="4">
        <f>MONTH(SalesData[[#This Row],[Order Date]])</f>
        <v>11</v>
      </c>
      <c r="D1626" s="3" t="s">
        <v>498</v>
      </c>
      <c r="E1626" s="3" t="s">
        <v>30</v>
      </c>
      <c r="F1626" s="3" t="s">
        <v>11</v>
      </c>
      <c r="G1626" s="3" t="s">
        <v>92</v>
      </c>
      <c r="H1626" s="3" t="s">
        <v>1675</v>
      </c>
      <c r="I1626" s="6">
        <v>675.12</v>
      </c>
      <c r="J1626" s="4">
        <v>3</v>
      </c>
      <c r="K1626" s="6">
        <v>290.3</v>
      </c>
    </row>
    <row r="1627" spans="1:11" x14ac:dyDescent="0.3">
      <c r="A1627" s="7">
        <v>41965</v>
      </c>
      <c r="B1627" s="4">
        <f>YEAR(SalesData[[#This Row],[Order Date]])</f>
        <v>2014</v>
      </c>
      <c r="C1627" s="4">
        <f>MONTH(SalesData[[#This Row],[Order Date]])</f>
        <v>11</v>
      </c>
      <c r="D1627" s="3" t="s">
        <v>702</v>
      </c>
      <c r="E1627" s="3" t="s">
        <v>10</v>
      </c>
      <c r="F1627" s="3" t="s">
        <v>11</v>
      </c>
      <c r="G1627" s="3" t="s">
        <v>20</v>
      </c>
      <c r="H1627" s="3" t="s">
        <v>763</v>
      </c>
      <c r="I1627" s="6">
        <v>6.93</v>
      </c>
      <c r="J1627" s="4">
        <v>1</v>
      </c>
      <c r="K1627" s="6">
        <v>-11.08</v>
      </c>
    </row>
    <row r="1628" spans="1:11" x14ac:dyDescent="0.3">
      <c r="A1628" s="7">
        <v>41965</v>
      </c>
      <c r="B1628" s="4">
        <f>YEAR(SalesData[[#This Row],[Order Date]])</f>
        <v>2014</v>
      </c>
      <c r="C1628" s="4">
        <f>MONTH(SalesData[[#This Row],[Order Date]])</f>
        <v>11</v>
      </c>
      <c r="D1628" s="3" t="s">
        <v>1676</v>
      </c>
      <c r="E1628" s="3" t="s">
        <v>15</v>
      </c>
      <c r="F1628" s="3" t="s">
        <v>11</v>
      </c>
      <c r="G1628" s="3" t="s">
        <v>20</v>
      </c>
      <c r="H1628" s="3" t="s">
        <v>1523</v>
      </c>
      <c r="I1628" s="6">
        <v>9.98</v>
      </c>
      <c r="J1628" s="4">
        <v>5</v>
      </c>
      <c r="K1628" s="6">
        <v>-16.47</v>
      </c>
    </row>
    <row r="1629" spans="1:11" x14ac:dyDescent="0.3">
      <c r="A1629" s="7">
        <v>41965</v>
      </c>
      <c r="B1629" s="4">
        <f>YEAR(SalesData[[#This Row],[Order Date]])</f>
        <v>2014</v>
      </c>
      <c r="C1629" s="4">
        <f>MONTH(SalesData[[#This Row],[Order Date]])</f>
        <v>11</v>
      </c>
      <c r="D1629" s="3" t="s">
        <v>1677</v>
      </c>
      <c r="E1629" s="3" t="s">
        <v>27</v>
      </c>
      <c r="F1629" s="3" t="s">
        <v>11</v>
      </c>
      <c r="G1629" s="3" t="s">
        <v>12</v>
      </c>
      <c r="H1629" s="3" t="s">
        <v>924</v>
      </c>
      <c r="I1629" s="6">
        <v>53.82</v>
      </c>
      <c r="J1629" s="4">
        <v>9</v>
      </c>
      <c r="K1629" s="6">
        <v>24.22</v>
      </c>
    </row>
    <row r="1630" spans="1:11" x14ac:dyDescent="0.3">
      <c r="A1630" s="7">
        <v>41965</v>
      </c>
      <c r="B1630" s="4">
        <f>YEAR(SalesData[[#This Row],[Order Date]])</f>
        <v>2014</v>
      </c>
      <c r="C1630" s="4">
        <f>MONTH(SalesData[[#This Row],[Order Date]])</f>
        <v>11</v>
      </c>
      <c r="D1630" s="3" t="s">
        <v>1151</v>
      </c>
      <c r="E1630" s="3" t="s">
        <v>30</v>
      </c>
      <c r="F1630" s="3" t="s">
        <v>11</v>
      </c>
      <c r="G1630" s="3" t="s">
        <v>12</v>
      </c>
      <c r="H1630" s="3" t="s">
        <v>1678</v>
      </c>
      <c r="I1630" s="6">
        <v>9.9600000000000009</v>
      </c>
      <c r="J1630" s="4">
        <v>2</v>
      </c>
      <c r="K1630" s="6">
        <v>4.88</v>
      </c>
    </row>
    <row r="1631" spans="1:11" x14ac:dyDescent="0.3">
      <c r="A1631" s="7">
        <v>41966</v>
      </c>
      <c r="B1631" s="4">
        <f>YEAR(SalesData[[#This Row],[Order Date]])</f>
        <v>2014</v>
      </c>
      <c r="C1631" s="4">
        <f>MONTH(SalesData[[#This Row],[Order Date]])</f>
        <v>11</v>
      </c>
      <c r="D1631" s="3" t="s">
        <v>193</v>
      </c>
      <c r="E1631" s="3" t="s">
        <v>27</v>
      </c>
      <c r="F1631" s="3" t="s">
        <v>34</v>
      </c>
      <c r="G1631" s="3" t="s">
        <v>35</v>
      </c>
      <c r="H1631" s="3" t="s">
        <v>231</v>
      </c>
      <c r="I1631" s="6">
        <v>603.91999999999996</v>
      </c>
      <c r="J1631" s="4">
        <v>5</v>
      </c>
      <c r="K1631" s="6">
        <v>-67.94</v>
      </c>
    </row>
    <row r="1632" spans="1:11" x14ac:dyDescent="0.3">
      <c r="A1632" s="7">
        <v>41966</v>
      </c>
      <c r="B1632" s="4">
        <f>YEAR(SalesData[[#This Row],[Order Date]])</f>
        <v>2014</v>
      </c>
      <c r="C1632" s="4">
        <f>MONTH(SalesData[[#This Row],[Order Date]])</f>
        <v>11</v>
      </c>
      <c r="D1632" s="3" t="s">
        <v>193</v>
      </c>
      <c r="E1632" s="3" t="s">
        <v>27</v>
      </c>
      <c r="F1632" s="3" t="s">
        <v>11</v>
      </c>
      <c r="G1632" s="3" t="s">
        <v>63</v>
      </c>
      <c r="H1632" s="3" t="s">
        <v>1464</v>
      </c>
      <c r="I1632" s="6">
        <v>21.84</v>
      </c>
      <c r="J1632" s="4">
        <v>3</v>
      </c>
      <c r="K1632" s="6">
        <v>10.48</v>
      </c>
    </row>
    <row r="1633" spans="1:11" x14ac:dyDescent="0.3">
      <c r="A1633" s="7">
        <v>41966</v>
      </c>
      <c r="B1633" s="4">
        <f>YEAR(SalesData[[#This Row],[Order Date]])</f>
        <v>2014</v>
      </c>
      <c r="C1633" s="4">
        <f>MONTH(SalesData[[#This Row],[Order Date]])</f>
        <v>11</v>
      </c>
      <c r="D1633" s="3" t="s">
        <v>193</v>
      </c>
      <c r="E1633" s="3" t="s">
        <v>27</v>
      </c>
      <c r="F1633" s="3" t="s">
        <v>39</v>
      </c>
      <c r="G1633" s="3" t="s">
        <v>52</v>
      </c>
      <c r="H1633" s="3" t="s">
        <v>1556</v>
      </c>
      <c r="I1633" s="6">
        <v>29.99</v>
      </c>
      <c r="J1633" s="4">
        <v>1</v>
      </c>
      <c r="K1633" s="6">
        <v>6.3</v>
      </c>
    </row>
    <row r="1634" spans="1:11" x14ac:dyDescent="0.3">
      <c r="A1634" s="7">
        <v>41966</v>
      </c>
      <c r="B1634" s="4">
        <f>YEAR(SalesData[[#This Row],[Order Date]])</f>
        <v>2014</v>
      </c>
      <c r="C1634" s="4">
        <f>MONTH(SalesData[[#This Row],[Order Date]])</f>
        <v>11</v>
      </c>
      <c r="D1634" s="3" t="s">
        <v>193</v>
      </c>
      <c r="E1634" s="3" t="s">
        <v>27</v>
      </c>
      <c r="F1634" s="3" t="s">
        <v>34</v>
      </c>
      <c r="G1634" s="3" t="s">
        <v>35</v>
      </c>
      <c r="H1634" s="3" t="s">
        <v>1679</v>
      </c>
      <c r="I1634" s="6">
        <v>381.44</v>
      </c>
      <c r="J1634" s="4">
        <v>2</v>
      </c>
      <c r="K1634" s="6">
        <v>23.84</v>
      </c>
    </row>
    <row r="1635" spans="1:11" x14ac:dyDescent="0.3">
      <c r="A1635" s="7">
        <v>41966</v>
      </c>
      <c r="B1635" s="4">
        <f>YEAR(SalesData[[#This Row],[Order Date]])</f>
        <v>2014</v>
      </c>
      <c r="C1635" s="4">
        <f>MONTH(SalesData[[#This Row],[Order Date]])</f>
        <v>11</v>
      </c>
      <c r="D1635" s="3" t="s">
        <v>1097</v>
      </c>
      <c r="E1635" s="3" t="s">
        <v>10</v>
      </c>
      <c r="F1635" s="3" t="s">
        <v>11</v>
      </c>
      <c r="G1635" s="3" t="s">
        <v>16</v>
      </c>
      <c r="H1635" s="3" t="s">
        <v>1259</v>
      </c>
      <c r="I1635" s="6">
        <v>23.68</v>
      </c>
      <c r="J1635" s="4">
        <v>2</v>
      </c>
      <c r="K1635" s="6">
        <v>8.8800000000000008</v>
      </c>
    </row>
    <row r="1636" spans="1:11" x14ac:dyDescent="0.3">
      <c r="A1636" s="7">
        <v>41966</v>
      </c>
      <c r="B1636" s="4">
        <f>YEAR(SalesData[[#This Row],[Order Date]])</f>
        <v>2014</v>
      </c>
      <c r="C1636" s="4">
        <f>MONTH(SalesData[[#This Row],[Order Date]])</f>
        <v>11</v>
      </c>
      <c r="D1636" s="3" t="s">
        <v>1680</v>
      </c>
      <c r="E1636" s="3" t="s">
        <v>10</v>
      </c>
      <c r="F1636" s="3" t="s">
        <v>34</v>
      </c>
      <c r="G1636" s="3" t="s">
        <v>47</v>
      </c>
      <c r="H1636" s="3" t="s">
        <v>1015</v>
      </c>
      <c r="I1636" s="6">
        <v>6.37</v>
      </c>
      <c r="J1636" s="4">
        <v>2</v>
      </c>
      <c r="K1636" s="6">
        <v>-2.5499999999999998</v>
      </c>
    </row>
    <row r="1637" spans="1:11" x14ac:dyDescent="0.3">
      <c r="A1637" s="7">
        <v>41966</v>
      </c>
      <c r="B1637" s="4">
        <f>YEAR(SalesData[[#This Row],[Order Date]])</f>
        <v>2014</v>
      </c>
      <c r="C1637" s="4">
        <f>MONTH(SalesData[[#This Row],[Order Date]])</f>
        <v>11</v>
      </c>
      <c r="D1637" s="3" t="s">
        <v>1680</v>
      </c>
      <c r="E1637" s="3" t="s">
        <v>10</v>
      </c>
      <c r="F1637" s="3" t="s">
        <v>11</v>
      </c>
      <c r="G1637" s="3" t="s">
        <v>92</v>
      </c>
      <c r="H1637" s="3" t="s">
        <v>1681</v>
      </c>
      <c r="I1637" s="6">
        <v>34.18</v>
      </c>
      <c r="J1637" s="4">
        <v>3</v>
      </c>
      <c r="K1637" s="6">
        <v>-87.15</v>
      </c>
    </row>
    <row r="1638" spans="1:11" x14ac:dyDescent="0.3">
      <c r="A1638" s="7">
        <v>41966</v>
      </c>
      <c r="B1638" s="4">
        <f>YEAR(SalesData[[#This Row],[Order Date]])</f>
        <v>2014</v>
      </c>
      <c r="C1638" s="4">
        <f>MONTH(SalesData[[#This Row],[Order Date]])</f>
        <v>11</v>
      </c>
      <c r="D1638" s="3" t="s">
        <v>1680</v>
      </c>
      <c r="E1638" s="3" t="s">
        <v>10</v>
      </c>
      <c r="F1638" s="3" t="s">
        <v>39</v>
      </c>
      <c r="G1638" s="3" t="s">
        <v>52</v>
      </c>
      <c r="H1638" s="3" t="s">
        <v>961</v>
      </c>
      <c r="I1638" s="6">
        <v>5.54</v>
      </c>
      <c r="J1638" s="4">
        <v>7</v>
      </c>
      <c r="K1638" s="6">
        <v>1.66</v>
      </c>
    </row>
    <row r="1639" spans="1:11" x14ac:dyDescent="0.3">
      <c r="A1639" s="7">
        <v>41966</v>
      </c>
      <c r="B1639" s="4">
        <f>YEAR(SalesData[[#This Row],[Order Date]])</f>
        <v>2014</v>
      </c>
      <c r="C1639" s="4">
        <f>MONTH(SalesData[[#This Row],[Order Date]])</f>
        <v>11</v>
      </c>
      <c r="D1639" s="3" t="s">
        <v>1682</v>
      </c>
      <c r="E1639" s="3" t="s">
        <v>23</v>
      </c>
      <c r="F1639" s="3" t="s">
        <v>11</v>
      </c>
      <c r="G1639" s="3" t="s">
        <v>63</v>
      </c>
      <c r="H1639" s="3" t="s">
        <v>1683</v>
      </c>
      <c r="I1639" s="6">
        <v>62.81</v>
      </c>
      <c r="J1639" s="4">
        <v>3</v>
      </c>
      <c r="K1639" s="6">
        <v>21.2</v>
      </c>
    </row>
    <row r="1640" spans="1:11" x14ac:dyDescent="0.3">
      <c r="A1640" s="7">
        <v>41966</v>
      </c>
      <c r="B1640" s="4">
        <f>YEAR(SalesData[[#This Row],[Order Date]])</f>
        <v>2014</v>
      </c>
      <c r="C1640" s="4">
        <f>MONTH(SalesData[[#This Row],[Order Date]])</f>
        <v>11</v>
      </c>
      <c r="D1640" s="3" t="s">
        <v>1684</v>
      </c>
      <c r="E1640" s="3" t="s">
        <v>95</v>
      </c>
      <c r="F1640" s="3" t="s">
        <v>11</v>
      </c>
      <c r="G1640" s="3" t="s">
        <v>63</v>
      </c>
      <c r="H1640" s="3" t="s">
        <v>64</v>
      </c>
      <c r="I1640" s="6">
        <v>23.47</v>
      </c>
      <c r="J1640" s="4">
        <v>3</v>
      </c>
      <c r="K1640" s="6">
        <v>8.8000000000000007</v>
      </c>
    </row>
    <row r="1641" spans="1:11" x14ac:dyDescent="0.3">
      <c r="A1641" s="7">
        <v>41966</v>
      </c>
      <c r="B1641" s="4">
        <f>YEAR(SalesData[[#This Row],[Order Date]])</f>
        <v>2014</v>
      </c>
      <c r="C1641" s="4">
        <f>MONTH(SalesData[[#This Row],[Order Date]])</f>
        <v>11</v>
      </c>
      <c r="D1641" s="3" t="s">
        <v>389</v>
      </c>
      <c r="E1641" s="3" t="s">
        <v>10</v>
      </c>
      <c r="F1641" s="3" t="s">
        <v>34</v>
      </c>
      <c r="G1641" s="3" t="s">
        <v>35</v>
      </c>
      <c r="H1641" s="3" t="s">
        <v>1685</v>
      </c>
      <c r="I1641" s="6">
        <v>155.37</v>
      </c>
      <c r="J1641" s="4">
        <v>2</v>
      </c>
      <c r="K1641" s="6">
        <v>-35.51</v>
      </c>
    </row>
    <row r="1642" spans="1:11" x14ac:dyDescent="0.3">
      <c r="A1642" s="7">
        <v>41966</v>
      </c>
      <c r="B1642" s="4">
        <f>YEAR(SalesData[[#This Row],[Order Date]])</f>
        <v>2014</v>
      </c>
      <c r="C1642" s="4">
        <f>MONTH(SalesData[[#This Row],[Order Date]])</f>
        <v>11</v>
      </c>
      <c r="D1642" s="3" t="s">
        <v>774</v>
      </c>
      <c r="E1642" s="3" t="s">
        <v>110</v>
      </c>
      <c r="F1642" s="3" t="s">
        <v>11</v>
      </c>
      <c r="G1642" s="3" t="s">
        <v>20</v>
      </c>
      <c r="H1642" s="3" t="s">
        <v>1686</v>
      </c>
      <c r="I1642" s="6">
        <v>14.67</v>
      </c>
      <c r="J1642" s="4">
        <v>3</v>
      </c>
      <c r="K1642" s="6">
        <v>6.75</v>
      </c>
    </row>
    <row r="1643" spans="1:11" x14ac:dyDescent="0.3">
      <c r="A1643" s="7">
        <v>41967</v>
      </c>
      <c r="B1643" s="4">
        <f>YEAR(SalesData[[#This Row],[Order Date]])</f>
        <v>2014</v>
      </c>
      <c r="C1643" s="4">
        <f>MONTH(SalesData[[#This Row],[Order Date]])</f>
        <v>11</v>
      </c>
      <c r="D1643" s="3" t="s">
        <v>1687</v>
      </c>
      <c r="E1643" s="3" t="s">
        <v>78</v>
      </c>
      <c r="F1643" s="3" t="s">
        <v>11</v>
      </c>
      <c r="G1643" s="3" t="s">
        <v>24</v>
      </c>
      <c r="H1643" s="3" t="s">
        <v>459</v>
      </c>
      <c r="I1643" s="6">
        <v>2.62</v>
      </c>
      <c r="J1643" s="4">
        <v>1</v>
      </c>
      <c r="K1643" s="6">
        <v>0.43</v>
      </c>
    </row>
    <row r="1644" spans="1:11" x14ac:dyDescent="0.3">
      <c r="A1644" s="7">
        <v>41967</v>
      </c>
      <c r="B1644" s="4">
        <f>YEAR(SalesData[[#This Row],[Order Date]])</f>
        <v>2014</v>
      </c>
      <c r="C1644" s="4">
        <f>MONTH(SalesData[[#This Row],[Order Date]])</f>
        <v>11</v>
      </c>
      <c r="D1644" s="3" t="s">
        <v>1093</v>
      </c>
      <c r="E1644" s="3" t="s">
        <v>27</v>
      </c>
      <c r="F1644" s="3" t="s">
        <v>34</v>
      </c>
      <c r="G1644" s="3" t="s">
        <v>47</v>
      </c>
      <c r="H1644" s="3" t="s">
        <v>1085</v>
      </c>
      <c r="I1644" s="6">
        <v>151.72</v>
      </c>
      <c r="J1644" s="4">
        <v>4</v>
      </c>
      <c r="K1644" s="6">
        <v>27.31</v>
      </c>
    </row>
    <row r="1645" spans="1:11" x14ac:dyDescent="0.3">
      <c r="A1645" s="7">
        <v>41967</v>
      </c>
      <c r="B1645" s="4">
        <f>YEAR(SalesData[[#This Row],[Order Date]])</f>
        <v>2014</v>
      </c>
      <c r="C1645" s="4">
        <f>MONTH(SalesData[[#This Row],[Order Date]])</f>
        <v>11</v>
      </c>
      <c r="D1645" s="3" t="s">
        <v>1688</v>
      </c>
      <c r="E1645" s="3" t="s">
        <v>164</v>
      </c>
      <c r="F1645" s="3" t="s">
        <v>11</v>
      </c>
      <c r="G1645" s="3" t="s">
        <v>20</v>
      </c>
      <c r="H1645" s="3" t="s">
        <v>1647</v>
      </c>
      <c r="I1645" s="6">
        <v>12.1</v>
      </c>
      <c r="J1645" s="4">
        <v>7</v>
      </c>
      <c r="K1645" s="6">
        <v>4.2300000000000004</v>
      </c>
    </row>
    <row r="1646" spans="1:11" x14ac:dyDescent="0.3">
      <c r="A1646" s="7">
        <v>41967</v>
      </c>
      <c r="B1646" s="4">
        <f>YEAR(SalesData[[#This Row],[Order Date]])</f>
        <v>2014</v>
      </c>
      <c r="C1646" s="4">
        <f>MONTH(SalesData[[#This Row],[Order Date]])</f>
        <v>11</v>
      </c>
      <c r="D1646" s="3" t="s">
        <v>1688</v>
      </c>
      <c r="E1646" s="3" t="s">
        <v>164</v>
      </c>
      <c r="F1646" s="3" t="s">
        <v>11</v>
      </c>
      <c r="G1646" s="3" t="s">
        <v>18</v>
      </c>
      <c r="H1646" s="3" t="s">
        <v>267</v>
      </c>
      <c r="I1646" s="6">
        <v>485.88</v>
      </c>
      <c r="J1646" s="4">
        <v>6</v>
      </c>
      <c r="K1646" s="6">
        <v>9.7200000000000006</v>
      </c>
    </row>
    <row r="1647" spans="1:11" x14ac:dyDescent="0.3">
      <c r="A1647" s="7">
        <v>41967</v>
      </c>
      <c r="B1647" s="4">
        <f>YEAR(SalesData[[#This Row],[Order Date]])</f>
        <v>2014</v>
      </c>
      <c r="C1647" s="4">
        <f>MONTH(SalesData[[#This Row],[Order Date]])</f>
        <v>11</v>
      </c>
      <c r="D1647" s="3" t="s">
        <v>1688</v>
      </c>
      <c r="E1647" s="3" t="s">
        <v>164</v>
      </c>
      <c r="F1647" s="3" t="s">
        <v>11</v>
      </c>
      <c r="G1647" s="3" t="s">
        <v>12</v>
      </c>
      <c r="H1647" s="3" t="s">
        <v>219</v>
      </c>
      <c r="I1647" s="6">
        <v>25.92</v>
      </c>
      <c r="J1647" s="4">
        <v>4</v>
      </c>
      <c r="K1647" s="6">
        <v>12.44</v>
      </c>
    </row>
    <row r="1648" spans="1:11" x14ac:dyDescent="0.3">
      <c r="A1648" s="7">
        <v>41967</v>
      </c>
      <c r="B1648" s="4">
        <f>YEAR(SalesData[[#This Row],[Order Date]])</f>
        <v>2014</v>
      </c>
      <c r="C1648" s="4">
        <f>MONTH(SalesData[[#This Row],[Order Date]])</f>
        <v>11</v>
      </c>
      <c r="D1648" s="3" t="s">
        <v>1688</v>
      </c>
      <c r="E1648" s="3" t="s">
        <v>164</v>
      </c>
      <c r="F1648" s="3" t="s">
        <v>11</v>
      </c>
      <c r="G1648" s="3" t="s">
        <v>18</v>
      </c>
      <c r="H1648" s="3" t="s">
        <v>1689</v>
      </c>
      <c r="I1648" s="6">
        <v>197.58</v>
      </c>
      <c r="J1648" s="4">
        <v>2</v>
      </c>
      <c r="K1648" s="6">
        <v>53.35</v>
      </c>
    </row>
    <row r="1649" spans="1:11" x14ac:dyDescent="0.3">
      <c r="A1649" s="7">
        <v>41967</v>
      </c>
      <c r="B1649" s="4">
        <f>YEAR(SalesData[[#This Row],[Order Date]])</f>
        <v>2014</v>
      </c>
      <c r="C1649" s="4">
        <f>MONTH(SalesData[[#This Row],[Order Date]])</f>
        <v>11</v>
      </c>
      <c r="D1649" s="3" t="s">
        <v>289</v>
      </c>
      <c r="E1649" s="3" t="s">
        <v>186</v>
      </c>
      <c r="F1649" s="3" t="s">
        <v>39</v>
      </c>
      <c r="G1649" s="3" t="s">
        <v>52</v>
      </c>
      <c r="H1649" s="3" t="s">
        <v>1690</v>
      </c>
      <c r="I1649" s="6">
        <v>111.79</v>
      </c>
      <c r="J1649" s="4">
        <v>7</v>
      </c>
      <c r="K1649" s="6">
        <v>43.6</v>
      </c>
    </row>
    <row r="1650" spans="1:11" x14ac:dyDescent="0.3">
      <c r="A1650" s="7">
        <v>41967</v>
      </c>
      <c r="B1650" s="4">
        <f>YEAR(SalesData[[#This Row],[Order Date]])</f>
        <v>2014</v>
      </c>
      <c r="C1650" s="4">
        <f>MONTH(SalesData[[#This Row],[Order Date]])</f>
        <v>11</v>
      </c>
      <c r="D1650" s="3" t="s">
        <v>83</v>
      </c>
      <c r="E1650" s="3" t="s">
        <v>27</v>
      </c>
      <c r="F1650" s="3" t="s">
        <v>34</v>
      </c>
      <c r="G1650" s="3" t="s">
        <v>35</v>
      </c>
      <c r="H1650" s="3" t="s">
        <v>1691</v>
      </c>
      <c r="I1650" s="6">
        <v>120.71</v>
      </c>
      <c r="J1650" s="4">
        <v>1</v>
      </c>
      <c r="K1650" s="6">
        <v>-18.11</v>
      </c>
    </row>
    <row r="1651" spans="1:11" x14ac:dyDescent="0.3">
      <c r="A1651" s="7">
        <v>41967</v>
      </c>
      <c r="B1651" s="4">
        <f>YEAR(SalesData[[#This Row],[Order Date]])</f>
        <v>2014</v>
      </c>
      <c r="C1651" s="4">
        <f>MONTH(SalesData[[#This Row],[Order Date]])</f>
        <v>11</v>
      </c>
      <c r="D1651" s="3" t="s">
        <v>578</v>
      </c>
      <c r="E1651" s="3" t="s">
        <v>78</v>
      </c>
      <c r="F1651" s="3" t="s">
        <v>39</v>
      </c>
      <c r="G1651" s="3" t="s">
        <v>40</v>
      </c>
      <c r="H1651" s="3" t="s">
        <v>1596</v>
      </c>
      <c r="I1651" s="6">
        <v>1049.97</v>
      </c>
      <c r="J1651" s="4">
        <v>5</v>
      </c>
      <c r="K1651" s="6">
        <v>-209.99</v>
      </c>
    </row>
    <row r="1652" spans="1:11" x14ac:dyDescent="0.3">
      <c r="A1652" s="7">
        <v>41967</v>
      </c>
      <c r="B1652" s="4">
        <f>YEAR(SalesData[[#This Row],[Order Date]])</f>
        <v>2014</v>
      </c>
      <c r="C1652" s="4">
        <f>MONTH(SalesData[[#This Row],[Order Date]])</f>
        <v>11</v>
      </c>
      <c r="D1652" s="3" t="s">
        <v>578</v>
      </c>
      <c r="E1652" s="3" t="s">
        <v>78</v>
      </c>
      <c r="F1652" s="3" t="s">
        <v>34</v>
      </c>
      <c r="G1652" s="3" t="s">
        <v>35</v>
      </c>
      <c r="H1652" s="3" t="s">
        <v>1692</v>
      </c>
      <c r="I1652" s="6">
        <v>611.05999999999995</v>
      </c>
      <c r="J1652" s="4">
        <v>3</v>
      </c>
      <c r="K1652" s="6">
        <v>-34.92</v>
      </c>
    </row>
    <row r="1653" spans="1:11" x14ac:dyDescent="0.3">
      <c r="A1653" s="7">
        <v>41967</v>
      </c>
      <c r="B1653" s="4">
        <f>YEAR(SalesData[[#This Row],[Order Date]])</f>
        <v>2014</v>
      </c>
      <c r="C1653" s="4">
        <f>MONTH(SalesData[[#This Row],[Order Date]])</f>
        <v>11</v>
      </c>
      <c r="D1653" s="3" t="s">
        <v>1693</v>
      </c>
      <c r="E1653" s="3" t="s">
        <v>15</v>
      </c>
      <c r="F1653" s="3" t="s">
        <v>11</v>
      </c>
      <c r="G1653" s="3" t="s">
        <v>18</v>
      </c>
      <c r="H1653" s="3" t="s">
        <v>1410</v>
      </c>
      <c r="I1653" s="6">
        <v>646.20000000000005</v>
      </c>
      <c r="J1653" s="4">
        <v>5</v>
      </c>
      <c r="K1653" s="6">
        <v>-8.08</v>
      </c>
    </row>
    <row r="1654" spans="1:11" x14ac:dyDescent="0.3">
      <c r="A1654" s="7">
        <v>41967</v>
      </c>
      <c r="B1654" s="4">
        <f>YEAR(SalesData[[#This Row],[Order Date]])</f>
        <v>2014</v>
      </c>
      <c r="C1654" s="4">
        <f>MONTH(SalesData[[#This Row],[Order Date]])</f>
        <v>11</v>
      </c>
      <c r="D1654" s="3" t="s">
        <v>1392</v>
      </c>
      <c r="E1654" s="3" t="s">
        <v>78</v>
      </c>
      <c r="F1654" s="3" t="s">
        <v>34</v>
      </c>
      <c r="G1654" s="3" t="s">
        <v>47</v>
      </c>
      <c r="H1654" s="3" t="s">
        <v>1694</v>
      </c>
      <c r="I1654" s="6">
        <v>35.17</v>
      </c>
      <c r="J1654" s="4">
        <v>7</v>
      </c>
      <c r="K1654" s="6">
        <v>9.67</v>
      </c>
    </row>
    <row r="1655" spans="1:11" x14ac:dyDescent="0.3">
      <c r="A1655" s="7">
        <v>41967</v>
      </c>
      <c r="B1655" s="4">
        <f>YEAR(SalesData[[#This Row],[Order Date]])</f>
        <v>2014</v>
      </c>
      <c r="C1655" s="4">
        <f>MONTH(SalesData[[#This Row],[Order Date]])</f>
        <v>11</v>
      </c>
      <c r="D1655" s="3" t="s">
        <v>1392</v>
      </c>
      <c r="E1655" s="3" t="s">
        <v>78</v>
      </c>
      <c r="F1655" s="3" t="s">
        <v>39</v>
      </c>
      <c r="G1655" s="3" t="s">
        <v>40</v>
      </c>
      <c r="H1655" s="3" t="s">
        <v>1695</v>
      </c>
      <c r="I1655" s="6">
        <v>1502.38</v>
      </c>
      <c r="J1655" s="4">
        <v>4</v>
      </c>
      <c r="K1655" s="6">
        <v>-250.4</v>
      </c>
    </row>
    <row r="1656" spans="1:11" x14ac:dyDescent="0.3">
      <c r="A1656" s="7">
        <v>41967</v>
      </c>
      <c r="B1656" s="4">
        <f>YEAR(SalesData[[#This Row],[Order Date]])</f>
        <v>2014</v>
      </c>
      <c r="C1656" s="4">
        <f>MONTH(SalesData[[#This Row],[Order Date]])</f>
        <v>11</v>
      </c>
      <c r="D1656" s="3" t="s">
        <v>1696</v>
      </c>
      <c r="E1656" s="3" t="s">
        <v>110</v>
      </c>
      <c r="F1656" s="3" t="s">
        <v>11</v>
      </c>
      <c r="G1656" s="3" t="s">
        <v>24</v>
      </c>
      <c r="H1656" s="3" t="s">
        <v>1253</v>
      </c>
      <c r="I1656" s="6">
        <v>151.91999999999999</v>
      </c>
      <c r="J1656" s="4">
        <v>4</v>
      </c>
      <c r="K1656" s="6">
        <v>45.58</v>
      </c>
    </row>
    <row r="1657" spans="1:11" x14ac:dyDescent="0.3">
      <c r="A1657" s="7">
        <v>41967</v>
      </c>
      <c r="B1657" s="4">
        <f>YEAR(SalesData[[#This Row],[Order Date]])</f>
        <v>2014</v>
      </c>
      <c r="C1657" s="4">
        <f>MONTH(SalesData[[#This Row],[Order Date]])</f>
        <v>11</v>
      </c>
      <c r="D1657" s="3" t="s">
        <v>1696</v>
      </c>
      <c r="E1657" s="3" t="s">
        <v>110</v>
      </c>
      <c r="F1657" s="3" t="s">
        <v>11</v>
      </c>
      <c r="G1657" s="3" t="s">
        <v>16</v>
      </c>
      <c r="H1657" s="3" t="s">
        <v>814</v>
      </c>
      <c r="I1657" s="6">
        <v>196.62</v>
      </c>
      <c r="J1657" s="4">
        <v>2</v>
      </c>
      <c r="K1657" s="6">
        <v>96.34</v>
      </c>
    </row>
    <row r="1658" spans="1:11" x14ac:dyDescent="0.3">
      <c r="A1658" s="7">
        <v>41967</v>
      </c>
      <c r="B1658" s="4">
        <f>YEAR(SalesData[[#This Row],[Order Date]])</f>
        <v>2014</v>
      </c>
      <c r="C1658" s="4">
        <f>MONTH(SalesData[[#This Row],[Order Date]])</f>
        <v>11</v>
      </c>
      <c r="D1658" s="3" t="s">
        <v>1696</v>
      </c>
      <c r="E1658" s="3" t="s">
        <v>110</v>
      </c>
      <c r="F1658" s="3" t="s">
        <v>11</v>
      </c>
      <c r="G1658" s="3" t="s">
        <v>12</v>
      </c>
      <c r="H1658" s="3" t="s">
        <v>1697</v>
      </c>
      <c r="I1658" s="6">
        <v>144.12</v>
      </c>
      <c r="J1658" s="4">
        <v>3</v>
      </c>
      <c r="K1658" s="6">
        <v>69.180000000000007</v>
      </c>
    </row>
    <row r="1659" spans="1:11" x14ac:dyDescent="0.3">
      <c r="A1659" s="7">
        <v>41967</v>
      </c>
      <c r="B1659" s="4">
        <f>YEAR(SalesData[[#This Row],[Order Date]])</f>
        <v>2014</v>
      </c>
      <c r="C1659" s="4">
        <f>MONTH(SalesData[[#This Row],[Order Date]])</f>
        <v>11</v>
      </c>
      <c r="D1659" s="3" t="s">
        <v>1696</v>
      </c>
      <c r="E1659" s="3" t="s">
        <v>110</v>
      </c>
      <c r="F1659" s="3" t="s">
        <v>11</v>
      </c>
      <c r="G1659" s="3" t="s">
        <v>12</v>
      </c>
      <c r="H1659" s="3" t="s">
        <v>754</v>
      </c>
      <c r="I1659" s="6">
        <v>15.96</v>
      </c>
      <c r="J1659" s="4">
        <v>2</v>
      </c>
      <c r="K1659" s="6">
        <v>7.98</v>
      </c>
    </row>
    <row r="1660" spans="1:11" x14ac:dyDescent="0.3">
      <c r="A1660" s="7">
        <v>41967</v>
      </c>
      <c r="B1660" s="4">
        <f>YEAR(SalesData[[#This Row],[Order Date]])</f>
        <v>2014</v>
      </c>
      <c r="C1660" s="4">
        <f>MONTH(SalesData[[#This Row],[Order Date]])</f>
        <v>11</v>
      </c>
      <c r="D1660" s="3" t="s">
        <v>626</v>
      </c>
      <c r="E1660" s="3" t="s">
        <v>55</v>
      </c>
      <c r="F1660" s="3" t="s">
        <v>34</v>
      </c>
      <c r="G1660" s="3" t="s">
        <v>47</v>
      </c>
      <c r="H1660" s="3" t="s">
        <v>1698</v>
      </c>
      <c r="I1660" s="6">
        <v>111.15</v>
      </c>
      <c r="J1660" s="4">
        <v>5</v>
      </c>
      <c r="K1660" s="6">
        <v>48.91</v>
      </c>
    </row>
    <row r="1661" spans="1:11" x14ac:dyDescent="0.3">
      <c r="A1661" s="7">
        <v>41967</v>
      </c>
      <c r="B1661" s="4">
        <f>YEAR(SalesData[[#This Row],[Order Date]])</f>
        <v>2014</v>
      </c>
      <c r="C1661" s="4">
        <f>MONTH(SalesData[[#This Row],[Order Date]])</f>
        <v>11</v>
      </c>
      <c r="D1661" s="3" t="s">
        <v>1699</v>
      </c>
      <c r="E1661" s="3" t="s">
        <v>78</v>
      </c>
      <c r="F1661" s="3" t="s">
        <v>11</v>
      </c>
      <c r="G1661" s="3" t="s">
        <v>20</v>
      </c>
      <c r="H1661" s="3" t="s">
        <v>1700</v>
      </c>
      <c r="I1661" s="6">
        <v>5.74</v>
      </c>
      <c r="J1661" s="4">
        <v>3</v>
      </c>
      <c r="K1661" s="6">
        <v>-4.59</v>
      </c>
    </row>
    <row r="1662" spans="1:11" x14ac:dyDescent="0.3">
      <c r="A1662" s="7">
        <v>41968</v>
      </c>
      <c r="B1662" s="4">
        <f>YEAR(SalesData[[#This Row],[Order Date]])</f>
        <v>2014</v>
      </c>
      <c r="C1662" s="4">
        <f>MONTH(SalesData[[#This Row],[Order Date]])</f>
        <v>11</v>
      </c>
      <c r="D1662" s="3" t="s">
        <v>743</v>
      </c>
      <c r="E1662" s="3" t="s">
        <v>27</v>
      </c>
      <c r="F1662" s="3" t="s">
        <v>11</v>
      </c>
      <c r="G1662" s="3" t="s">
        <v>92</v>
      </c>
      <c r="H1662" s="3" t="s">
        <v>534</v>
      </c>
      <c r="I1662" s="6">
        <v>320.88</v>
      </c>
      <c r="J1662" s="4">
        <v>6</v>
      </c>
      <c r="K1662" s="6">
        <v>93.06</v>
      </c>
    </row>
    <row r="1663" spans="1:11" x14ac:dyDescent="0.3">
      <c r="A1663" s="7">
        <v>41968</v>
      </c>
      <c r="B1663" s="4">
        <f>YEAR(SalesData[[#This Row],[Order Date]])</f>
        <v>2014</v>
      </c>
      <c r="C1663" s="4">
        <f>MONTH(SalesData[[#This Row],[Order Date]])</f>
        <v>11</v>
      </c>
      <c r="D1663" s="3" t="s">
        <v>743</v>
      </c>
      <c r="E1663" s="3" t="s">
        <v>27</v>
      </c>
      <c r="F1663" s="3" t="s">
        <v>34</v>
      </c>
      <c r="G1663" s="3" t="s">
        <v>47</v>
      </c>
      <c r="H1663" s="3" t="s">
        <v>1015</v>
      </c>
      <c r="I1663" s="6">
        <v>23.88</v>
      </c>
      <c r="J1663" s="4">
        <v>3</v>
      </c>
      <c r="K1663" s="6">
        <v>10.51</v>
      </c>
    </row>
    <row r="1664" spans="1:11" x14ac:dyDescent="0.3">
      <c r="A1664" s="7">
        <v>41968</v>
      </c>
      <c r="B1664" s="4">
        <f>YEAR(SalesData[[#This Row],[Order Date]])</f>
        <v>2014</v>
      </c>
      <c r="C1664" s="4">
        <f>MONTH(SalesData[[#This Row],[Order Date]])</f>
        <v>11</v>
      </c>
      <c r="D1664" s="3" t="s">
        <v>743</v>
      </c>
      <c r="E1664" s="3" t="s">
        <v>27</v>
      </c>
      <c r="F1664" s="3" t="s">
        <v>11</v>
      </c>
      <c r="G1664" s="3" t="s">
        <v>12</v>
      </c>
      <c r="H1664" s="3" t="s">
        <v>1701</v>
      </c>
      <c r="I1664" s="6">
        <v>26.76</v>
      </c>
      <c r="J1664" s="4">
        <v>4</v>
      </c>
      <c r="K1664" s="6">
        <v>12.31</v>
      </c>
    </row>
    <row r="1665" spans="1:11" x14ac:dyDescent="0.3">
      <c r="A1665" s="7">
        <v>41968</v>
      </c>
      <c r="B1665" s="4">
        <f>YEAR(SalesData[[#This Row],[Order Date]])</f>
        <v>2014</v>
      </c>
      <c r="C1665" s="4">
        <f>MONTH(SalesData[[#This Row],[Order Date]])</f>
        <v>11</v>
      </c>
      <c r="D1665" s="3" t="s">
        <v>689</v>
      </c>
      <c r="E1665" s="3" t="s">
        <v>10</v>
      </c>
      <c r="F1665" s="3" t="s">
        <v>39</v>
      </c>
      <c r="G1665" s="3" t="s">
        <v>52</v>
      </c>
      <c r="H1665" s="3" t="s">
        <v>1199</v>
      </c>
      <c r="I1665" s="6">
        <v>24.67</v>
      </c>
      <c r="J1665" s="4">
        <v>3</v>
      </c>
      <c r="K1665" s="6">
        <v>0</v>
      </c>
    </row>
    <row r="1666" spans="1:11" x14ac:dyDescent="0.3">
      <c r="A1666" s="7">
        <v>41968</v>
      </c>
      <c r="B1666" s="4">
        <f>YEAR(SalesData[[#This Row],[Order Date]])</f>
        <v>2014</v>
      </c>
      <c r="C1666" s="4">
        <f>MONTH(SalesData[[#This Row],[Order Date]])</f>
        <v>11</v>
      </c>
      <c r="D1666" s="3" t="s">
        <v>689</v>
      </c>
      <c r="E1666" s="3" t="s">
        <v>10</v>
      </c>
      <c r="F1666" s="3" t="s">
        <v>11</v>
      </c>
      <c r="G1666" s="3" t="s">
        <v>16</v>
      </c>
      <c r="H1666" s="3" t="s">
        <v>1702</v>
      </c>
      <c r="I1666" s="6">
        <v>2.52</v>
      </c>
      <c r="J1666" s="4">
        <v>1</v>
      </c>
      <c r="K1666" s="6">
        <v>0.88</v>
      </c>
    </row>
    <row r="1667" spans="1:11" x14ac:dyDescent="0.3">
      <c r="A1667" s="7">
        <v>41968</v>
      </c>
      <c r="B1667" s="4">
        <f>YEAR(SalesData[[#This Row],[Order Date]])</f>
        <v>2014</v>
      </c>
      <c r="C1667" s="4">
        <f>MONTH(SalesData[[#This Row],[Order Date]])</f>
        <v>11</v>
      </c>
      <c r="D1667" s="3" t="s">
        <v>689</v>
      </c>
      <c r="E1667" s="3" t="s">
        <v>10</v>
      </c>
      <c r="F1667" s="3" t="s">
        <v>34</v>
      </c>
      <c r="G1667" s="3" t="s">
        <v>145</v>
      </c>
      <c r="H1667" s="3" t="s">
        <v>1703</v>
      </c>
      <c r="I1667" s="6">
        <v>1218.74</v>
      </c>
      <c r="J1667" s="4">
        <v>5</v>
      </c>
      <c r="K1667" s="6">
        <v>-121.87</v>
      </c>
    </row>
    <row r="1668" spans="1:11" x14ac:dyDescent="0.3">
      <c r="A1668" s="7">
        <v>41968</v>
      </c>
      <c r="B1668" s="4">
        <f>YEAR(SalesData[[#This Row],[Order Date]])</f>
        <v>2014</v>
      </c>
      <c r="C1668" s="4">
        <f>MONTH(SalesData[[#This Row],[Order Date]])</f>
        <v>11</v>
      </c>
      <c r="D1668" s="3" t="s">
        <v>689</v>
      </c>
      <c r="E1668" s="3" t="s">
        <v>10</v>
      </c>
      <c r="F1668" s="3" t="s">
        <v>11</v>
      </c>
      <c r="G1668" s="3" t="s">
        <v>16</v>
      </c>
      <c r="H1668" s="3" t="s">
        <v>1704</v>
      </c>
      <c r="I1668" s="6">
        <v>5.9</v>
      </c>
      <c r="J1668" s="4">
        <v>2</v>
      </c>
      <c r="K1668" s="6">
        <v>1.99</v>
      </c>
    </row>
    <row r="1669" spans="1:11" x14ac:dyDescent="0.3">
      <c r="A1669" s="7">
        <v>41968</v>
      </c>
      <c r="B1669" s="4">
        <f>YEAR(SalesData[[#This Row],[Order Date]])</f>
        <v>2014</v>
      </c>
      <c r="C1669" s="4">
        <f>MONTH(SalesData[[#This Row],[Order Date]])</f>
        <v>11</v>
      </c>
      <c r="D1669" s="3" t="s">
        <v>689</v>
      </c>
      <c r="E1669" s="3" t="s">
        <v>10</v>
      </c>
      <c r="F1669" s="3" t="s">
        <v>11</v>
      </c>
      <c r="G1669" s="3" t="s">
        <v>12</v>
      </c>
      <c r="H1669" s="3" t="s">
        <v>45</v>
      </c>
      <c r="I1669" s="6">
        <v>15.7</v>
      </c>
      <c r="J1669" s="4">
        <v>3</v>
      </c>
      <c r="K1669" s="6">
        <v>5.0999999999999996</v>
      </c>
    </row>
    <row r="1670" spans="1:11" x14ac:dyDescent="0.3">
      <c r="A1670" s="7">
        <v>41968</v>
      </c>
      <c r="B1670" s="4">
        <f>YEAR(SalesData[[#This Row],[Order Date]])</f>
        <v>2014</v>
      </c>
      <c r="C1670" s="4">
        <f>MONTH(SalesData[[#This Row],[Order Date]])</f>
        <v>11</v>
      </c>
      <c r="D1670" s="3" t="s">
        <v>689</v>
      </c>
      <c r="E1670" s="3" t="s">
        <v>10</v>
      </c>
      <c r="F1670" s="3" t="s">
        <v>34</v>
      </c>
      <c r="G1670" s="3" t="s">
        <v>47</v>
      </c>
      <c r="H1670" s="3" t="s">
        <v>214</v>
      </c>
      <c r="I1670" s="6">
        <v>6.1</v>
      </c>
      <c r="J1670" s="4">
        <v>3</v>
      </c>
      <c r="K1670" s="6">
        <v>-3.96</v>
      </c>
    </row>
    <row r="1671" spans="1:11" x14ac:dyDescent="0.3">
      <c r="A1671" s="7">
        <v>41968</v>
      </c>
      <c r="B1671" s="4">
        <f>YEAR(SalesData[[#This Row],[Order Date]])</f>
        <v>2014</v>
      </c>
      <c r="C1671" s="4">
        <f>MONTH(SalesData[[#This Row],[Order Date]])</f>
        <v>11</v>
      </c>
      <c r="D1671" s="3" t="s">
        <v>1705</v>
      </c>
      <c r="E1671" s="3" t="s">
        <v>1529</v>
      </c>
      <c r="F1671" s="3" t="s">
        <v>34</v>
      </c>
      <c r="G1671" s="3" t="s">
        <v>47</v>
      </c>
      <c r="H1671" s="3" t="s">
        <v>86</v>
      </c>
      <c r="I1671" s="6">
        <v>52.96</v>
      </c>
      <c r="J1671" s="4">
        <v>2</v>
      </c>
      <c r="K1671" s="6">
        <v>20.12</v>
      </c>
    </row>
    <row r="1672" spans="1:11" x14ac:dyDescent="0.3">
      <c r="A1672" s="7">
        <v>41968</v>
      </c>
      <c r="B1672" s="4">
        <f>YEAR(SalesData[[#This Row],[Order Date]])</f>
        <v>2014</v>
      </c>
      <c r="C1672" s="4">
        <f>MONTH(SalesData[[#This Row],[Order Date]])</f>
        <v>11</v>
      </c>
      <c r="D1672" s="3" t="s">
        <v>401</v>
      </c>
      <c r="E1672" s="3" t="s">
        <v>149</v>
      </c>
      <c r="F1672" s="3" t="s">
        <v>11</v>
      </c>
      <c r="G1672" s="3" t="s">
        <v>18</v>
      </c>
      <c r="H1672" s="3" t="s">
        <v>795</v>
      </c>
      <c r="I1672" s="6">
        <v>1117.92</v>
      </c>
      <c r="J1672" s="4">
        <v>4</v>
      </c>
      <c r="K1672" s="6">
        <v>55.9</v>
      </c>
    </row>
    <row r="1673" spans="1:11" x14ac:dyDescent="0.3">
      <c r="A1673" s="7">
        <v>41968</v>
      </c>
      <c r="B1673" s="4">
        <f>YEAR(SalesData[[#This Row],[Order Date]])</f>
        <v>2014</v>
      </c>
      <c r="C1673" s="4">
        <f>MONTH(SalesData[[#This Row],[Order Date]])</f>
        <v>11</v>
      </c>
      <c r="D1673" s="3" t="s">
        <v>401</v>
      </c>
      <c r="E1673" s="3" t="s">
        <v>149</v>
      </c>
      <c r="F1673" s="3" t="s">
        <v>34</v>
      </c>
      <c r="G1673" s="3" t="s">
        <v>74</v>
      </c>
      <c r="H1673" s="3" t="s">
        <v>1706</v>
      </c>
      <c r="I1673" s="6">
        <v>275.95</v>
      </c>
      <c r="J1673" s="4">
        <v>3</v>
      </c>
      <c r="K1673" s="6">
        <v>-37.94</v>
      </c>
    </row>
    <row r="1674" spans="1:11" x14ac:dyDescent="0.3">
      <c r="A1674" s="7">
        <v>41968</v>
      </c>
      <c r="B1674" s="4">
        <f>YEAR(SalesData[[#This Row],[Order Date]])</f>
        <v>2014</v>
      </c>
      <c r="C1674" s="4">
        <f>MONTH(SalesData[[#This Row],[Order Date]])</f>
        <v>11</v>
      </c>
      <c r="D1674" s="3" t="s">
        <v>509</v>
      </c>
      <c r="E1674" s="3" t="s">
        <v>91</v>
      </c>
      <c r="F1674" s="3" t="s">
        <v>11</v>
      </c>
      <c r="G1674" s="3" t="s">
        <v>24</v>
      </c>
      <c r="H1674" s="3" t="s">
        <v>147</v>
      </c>
      <c r="I1674" s="6">
        <v>51.02</v>
      </c>
      <c r="J1674" s="4">
        <v>7</v>
      </c>
      <c r="K1674" s="6">
        <v>8.2899999999999991</v>
      </c>
    </row>
    <row r="1675" spans="1:11" x14ac:dyDescent="0.3">
      <c r="A1675" s="7">
        <v>41968</v>
      </c>
      <c r="B1675" s="4">
        <f>YEAR(SalesData[[#This Row],[Order Date]])</f>
        <v>2014</v>
      </c>
      <c r="C1675" s="4">
        <f>MONTH(SalesData[[#This Row],[Order Date]])</f>
        <v>11</v>
      </c>
      <c r="D1675" s="3" t="s">
        <v>289</v>
      </c>
      <c r="E1675" s="3" t="s">
        <v>27</v>
      </c>
      <c r="F1675" s="3" t="s">
        <v>39</v>
      </c>
      <c r="G1675" s="3" t="s">
        <v>40</v>
      </c>
      <c r="H1675" s="3" t="s">
        <v>1707</v>
      </c>
      <c r="I1675" s="6">
        <v>539.91999999999996</v>
      </c>
      <c r="J1675" s="4">
        <v>5</v>
      </c>
      <c r="K1675" s="6">
        <v>47.24</v>
      </c>
    </row>
    <row r="1676" spans="1:11" x14ac:dyDescent="0.3">
      <c r="A1676" s="7">
        <v>41968</v>
      </c>
      <c r="B1676" s="4">
        <f>YEAR(SalesData[[#This Row],[Order Date]])</f>
        <v>2014</v>
      </c>
      <c r="C1676" s="4">
        <f>MONTH(SalesData[[#This Row],[Order Date]])</f>
        <v>11</v>
      </c>
      <c r="D1676" s="3" t="s">
        <v>289</v>
      </c>
      <c r="E1676" s="3" t="s">
        <v>27</v>
      </c>
      <c r="F1676" s="3" t="s">
        <v>34</v>
      </c>
      <c r="G1676" s="3" t="s">
        <v>35</v>
      </c>
      <c r="H1676" s="3" t="s">
        <v>1072</v>
      </c>
      <c r="I1676" s="6">
        <v>725.34</v>
      </c>
      <c r="J1676" s="4">
        <v>4</v>
      </c>
      <c r="K1676" s="6">
        <v>54.4</v>
      </c>
    </row>
    <row r="1677" spans="1:11" x14ac:dyDescent="0.3">
      <c r="A1677" s="7">
        <v>41968</v>
      </c>
      <c r="B1677" s="4">
        <f>YEAR(SalesData[[#This Row],[Order Date]])</f>
        <v>2014</v>
      </c>
      <c r="C1677" s="4">
        <f>MONTH(SalesData[[#This Row],[Order Date]])</f>
        <v>11</v>
      </c>
      <c r="D1677" s="3" t="s">
        <v>289</v>
      </c>
      <c r="E1677" s="3" t="s">
        <v>27</v>
      </c>
      <c r="F1677" s="3" t="s">
        <v>11</v>
      </c>
      <c r="G1677" s="3" t="s">
        <v>24</v>
      </c>
      <c r="H1677" s="3" t="s">
        <v>207</v>
      </c>
      <c r="I1677" s="6">
        <v>7.44</v>
      </c>
      <c r="J1677" s="4">
        <v>3</v>
      </c>
      <c r="K1677" s="6">
        <v>2.6</v>
      </c>
    </row>
    <row r="1678" spans="1:11" x14ac:dyDescent="0.3">
      <c r="A1678" s="7">
        <v>41969</v>
      </c>
      <c r="B1678" s="4">
        <f>YEAR(SalesData[[#This Row],[Order Date]])</f>
        <v>2014</v>
      </c>
      <c r="C1678" s="4">
        <f>MONTH(SalesData[[#This Row],[Order Date]])</f>
        <v>11</v>
      </c>
      <c r="D1678" s="3" t="s">
        <v>857</v>
      </c>
      <c r="E1678" s="3" t="s">
        <v>10</v>
      </c>
      <c r="F1678" s="3" t="s">
        <v>34</v>
      </c>
      <c r="G1678" s="3" t="s">
        <v>47</v>
      </c>
      <c r="H1678" s="3" t="s">
        <v>104</v>
      </c>
      <c r="I1678" s="6">
        <v>19.3</v>
      </c>
      <c r="J1678" s="4">
        <v>5</v>
      </c>
      <c r="K1678" s="6">
        <v>-14.48</v>
      </c>
    </row>
    <row r="1679" spans="1:11" x14ac:dyDescent="0.3">
      <c r="A1679" s="7">
        <v>41969</v>
      </c>
      <c r="B1679" s="4">
        <f>YEAR(SalesData[[#This Row],[Order Date]])</f>
        <v>2014</v>
      </c>
      <c r="C1679" s="4">
        <f>MONTH(SalesData[[#This Row],[Order Date]])</f>
        <v>11</v>
      </c>
      <c r="D1679" s="3" t="s">
        <v>848</v>
      </c>
      <c r="E1679" s="3" t="s">
        <v>91</v>
      </c>
      <c r="F1679" s="3" t="s">
        <v>11</v>
      </c>
      <c r="G1679" s="3" t="s">
        <v>12</v>
      </c>
      <c r="H1679" s="3" t="s">
        <v>836</v>
      </c>
      <c r="I1679" s="6">
        <v>15.55</v>
      </c>
      <c r="J1679" s="4">
        <v>3</v>
      </c>
      <c r="K1679" s="6">
        <v>5.44</v>
      </c>
    </row>
    <row r="1680" spans="1:11" x14ac:dyDescent="0.3">
      <c r="A1680" s="7">
        <v>41969</v>
      </c>
      <c r="B1680" s="4">
        <f>YEAR(SalesData[[#This Row],[Order Date]])</f>
        <v>2014</v>
      </c>
      <c r="C1680" s="4">
        <f>MONTH(SalesData[[#This Row],[Order Date]])</f>
        <v>11</v>
      </c>
      <c r="D1680" s="3" t="s">
        <v>848</v>
      </c>
      <c r="E1680" s="3" t="s">
        <v>91</v>
      </c>
      <c r="F1680" s="3" t="s">
        <v>11</v>
      </c>
      <c r="G1680" s="3" t="s">
        <v>18</v>
      </c>
      <c r="H1680" s="3" t="s">
        <v>860</v>
      </c>
      <c r="I1680" s="6">
        <v>669.08</v>
      </c>
      <c r="J1680" s="4">
        <v>5</v>
      </c>
      <c r="K1680" s="6">
        <v>-167.27</v>
      </c>
    </row>
    <row r="1681" spans="1:11" x14ac:dyDescent="0.3">
      <c r="A1681" s="7">
        <v>41969</v>
      </c>
      <c r="B1681" s="4">
        <f>YEAR(SalesData[[#This Row],[Order Date]])</f>
        <v>2014</v>
      </c>
      <c r="C1681" s="4">
        <f>MONTH(SalesData[[#This Row],[Order Date]])</f>
        <v>11</v>
      </c>
      <c r="D1681" s="3" t="s">
        <v>848</v>
      </c>
      <c r="E1681" s="3" t="s">
        <v>91</v>
      </c>
      <c r="F1681" s="3" t="s">
        <v>39</v>
      </c>
      <c r="G1681" s="3" t="s">
        <v>40</v>
      </c>
      <c r="H1681" s="3" t="s">
        <v>1101</v>
      </c>
      <c r="I1681" s="6">
        <v>438.34</v>
      </c>
      <c r="J1681" s="4">
        <v>4</v>
      </c>
      <c r="K1681" s="6">
        <v>-87.67</v>
      </c>
    </row>
    <row r="1682" spans="1:11" x14ac:dyDescent="0.3">
      <c r="A1682" s="7">
        <v>41969</v>
      </c>
      <c r="B1682" s="4">
        <f>YEAR(SalesData[[#This Row],[Order Date]])</f>
        <v>2014</v>
      </c>
      <c r="C1682" s="4">
        <f>MONTH(SalesData[[#This Row],[Order Date]])</f>
        <v>11</v>
      </c>
      <c r="D1682" s="3" t="s">
        <v>1497</v>
      </c>
      <c r="E1682" s="3" t="s">
        <v>27</v>
      </c>
      <c r="F1682" s="3" t="s">
        <v>11</v>
      </c>
      <c r="G1682" s="3" t="s">
        <v>12</v>
      </c>
      <c r="H1682" s="3" t="s">
        <v>1601</v>
      </c>
      <c r="I1682" s="6">
        <v>81.98</v>
      </c>
      <c r="J1682" s="4">
        <v>2</v>
      </c>
      <c r="K1682" s="6">
        <v>40.17</v>
      </c>
    </row>
    <row r="1683" spans="1:11" x14ac:dyDescent="0.3">
      <c r="A1683" s="7">
        <v>41969</v>
      </c>
      <c r="B1683" s="4">
        <f>YEAR(SalesData[[#This Row],[Order Date]])</f>
        <v>2014</v>
      </c>
      <c r="C1683" s="4">
        <f>MONTH(SalesData[[#This Row],[Order Date]])</f>
        <v>11</v>
      </c>
      <c r="D1683" s="3" t="s">
        <v>1475</v>
      </c>
      <c r="E1683" s="3" t="s">
        <v>149</v>
      </c>
      <c r="F1683" s="3" t="s">
        <v>39</v>
      </c>
      <c r="G1683" s="3" t="s">
        <v>40</v>
      </c>
      <c r="H1683" s="3" t="s">
        <v>1708</v>
      </c>
      <c r="I1683" s="6">
        <v>279.95999999999998</v>
      </c>
      <c r="J1683" s="4">
        <v>4</v>
      </c>
      <c r="K1683" s="6">
        <v>78.39</v>
      </c>
    </row>
    <row r="1684" spans="1:11" x14ac:dyDescent="0.3">
      <c r="A1684" s="7">
        <v>41969</v>
      </c>
      <c r="B1684" s="4">
        <f>YEAR(SalesData[[#This Row],[Order Date]])</f>
        <v>2014</v>
      </c>
      <c r="C1684" s="4">
        <f>MONTH(SalesData[[#This Row],[Order Date]])</f>
        <v>11</v>
      </c>
      <c r="D1684" s="3" t="s">
        <v>1475</v>
      </c>
      <c r="E1684" s="3" t="s">
        <v>149</v>
      </c>
      <c r="F1684" s="3" t="s">
        <v>11</v>
      </c>
      <c r="G1684" s="3" t="s">
        <v>20</v>
      </c>
      <c r="H1684" s="3" t="s">
        <v>631</v>
      </c>
      <c r="I1684" s="6">
        <v>12.91</v>
      </c>
      <c r="J1684" s="4">
        <v>3</v>
      </c>
      <c r="K1684" s="6">
        <v>4.68</v>
      </c>
    </row>
    <row r="1685" spans="1:11" x14ac:dyDescent="0.3">
      <c r="A1685" s="7">
        <v>41969</v>
      </c>
      <c r="B1685" s="4">
        <f>YEAR(SalesData[[#This Row],[Order Date]])</f>
        <v>2014</v>
      </c>
      <c r="C1685" s="4">
        <f>MONTH(SalesData[[#This Row],[Order Date]])</f>
        <v>11</v>
      </c>
      <c r="D1685" s="3" t="s">
        <v>1475</v>
      </c>
      <c r="E1685" s="3" t="s">
        <v>149</v>
      </c>
      <c r="F1685" s="3" t="s">
        <v>11</v>
      </c>
      <c r="G1685" s="3" t="s">
        <v>20</v>
      </c>
      <c r="H1685" s="3" t="s">
        <v>203</v>
      </c>
      <c r="I1685" s="6">
        <v>17.09</v>
      </c>
      <c r="J1685" s="4">
        <v>4</v>
      </c>
      <c r="K1685" s="6">
        <v>5.77</v>
      </c>
    </row>
    <row r="1686" spans="1:11" x14ac:dyDescent="0.3">
      <c r="A1686" s="7">
        <v>41969</v>
      </c>
      <c r="B1686" s="4">
        <f>YEAR(SalesData[[#This Row],[Order Date]])</f>
        <v>2014</v>
      </c>
      <c r="C1686" s="4">
        <f>MONTH(SalesData[[#This Row],[Order Date]])</f>
        <v>11</v>
      </c>
      <c r="D1686" s="3" t="s">
        <v>1475</v>
      </c>
      <c r="E1686" s="3" t="s">
        <v>149</v>
      </c>
      <c r="F1686" s="3" t="s">
        <v>11</v>
      </c>
      <c r="G1686" s="3" t="s">
        <v>16</v>
      </c>
      <c r="H1686" s="3" t="s">
        <v>1709</v>
      </c>
      <c r="I1686" s="6">
        <v>93.15</v>
      </c>
      <c r="J1686" s="4">
        <v>9</v>
      </c>
      <c r="K1686" s="6">
        <v>44.71</v>
      </c>
    </row>
    <row r="1687" spans="1:11" x14ac:dyDescent="0.3">
      <c r="A1687" s="7">
        <v>41969</v>
      </c>
      <c r="B1687" s="4">
        <f>YEAR(SalesData[[#This Row],[Order Date]])</f>
        <v>2014</v>
      </c>
      <c r="C1687" s="4">
        <f>MONTH(SalesData[[#This Row],[Order Date]])</f>
        <v>11</v>
      </c>
      <c r="D1687" s="3" t="s">
        <v>1475</v>
      </c>
      <c r="E1687" s="3" t="s">
        <v>149</v>
      </c>
      <c r="F1687" s="3" t="s">
        <v>11</v>
      </c>
      <c r="G1687" s="3" t="s">
        <v>16</v>
      </c>
      <c r="H1687" s="3" t="s">
        <v>584</v>
      </c>
      <c r="I1687" s="6">
        <v>11.52</v>
      </c>
      <c r="J1687" s="4">
        <v>4</v>
      </c>
      <c r="K1687" s="6">
        <v>5.64</v>
      </c>
    </row>
    <row r="1688" spans="1:11" x14ac:dyDescent="0.3">
      <c r="A1688" s="7">
        <v>41969</v>
      </c>
      <c r="B1688" s="4">
        <f>YEAR(SalesData[[#This Row],[Order Date]])</f>
        <v>2014</v>
      </c>
      <c r="C1688" s="4">
        <f>MONTH(SalesData[[#This Row],[Order Date]])</f>
        <v>11</v>
      </c>
      <c r="D1688" s="3" t="s">
        <v>1483</v>
      </c>
      <c r="E1688" s="3" t="s">
        <v>27</v>
      </c>
      <c r="F1688" s="3" t="s">
        <v>11</v>
      </c>
      <c r="G1688" s="3" t="s">
        <v>20</v>
      </c>
      <c r="H1688" s="3" t="s">
        <v>205</v>
      </c>
      <c r="I1688" s="6">
        <v>4.32</v>
      </c>
      <c r="J1688" s="4">
        <v>3</v>
      </c>
      <c r="K1688" s="6">
        <v>1.51</v>
      </c>
    </row>
    <row r="1689" spans="1:11" x14ac:dyDescent="0.3">
      <c r="A1689" s="7">
        <v>41969</v>
      </c>
      <c r="B1689" s="4">
        <f>YEAR(SalesData[[#This Row],[Order Date]])</f>
        <v>2014</v>
      </c>
      <c r="C1689" s="4">
        <f>MONTH(SalesData[[#This Row],[Order Date]])</f>
        <v>11</v>
      </c>
      <c r="D1689" s="3" t="s">
        <v>1483</v>
      </c>
      <c r="E1689" s="3" t="s">
        <v>27</v>
      </c>
      <c r="F1689" s="3" t="s">
        <v>11</v>
      </c>
      <c r="G1689" s="3" t="s">
        <v>12</v>
      </c>
      <c r="H1689" s="3" t="s">
        <v>1710</v>
      </c>
      <c r="I1689" s="6">
        <v>14.94</v>
      </c>
      <c r="J1689" s="4">
        <v>3</v>
      </c>
      <c r="K1689" s="6">
        <v>7.02</v>
      </c>
    </row>
    <row r="1690" spans="1:11" x14ac:dyDescent="0.3">
      <c r="A1690" s="7">
        <v>41969</v>
      </c>
      <c r="B1690" s="4">
        <f>YEAR(SalesData[[#This Row],[Order Date]])</f>
        <v>2014</v>
      </c>
      <c r="C1690" s="4">
        <f>MONTH(SalesData[[#This Row],[Order Date]])</f>
        <v>11</v>
      </c>
      <c r="D1690" s="3" t="s">
        <v>1483</v>
      </c>
      <c r="E1690" s="3" t="s">
        <v>27</v>
      </c>
      <c r="F1690" s="3" t="s">
        <v>11</v>
      </c>
      <c r="G1690" s="3" t="s">
        <v>92</v>
      </c>
      <c r="H1690" s="3" t="s">
        <v>93</v>
      </c>
      <c r="I1690" s="6">
        <v>40.54</v>
      </c>
      <c r="J1690" s="4">
        <v>2</v>
      </c>
      <c r="K1690" s="6">
        <v>11.35</v>
      </c>
    </row>
    <row r="1691" spans="1:11" x14ac:dyDescent="0.3">
      <c r="A1691" s="7">
        <v>41969</v>
      </c>
      <c r="B1691" s="4">
        <f>YEAR(SalesData[[#This Row],[Order Date]])</f>
        <v>2014</v>
      </c>
      <c r="C1691" s="4">
        <f>MONTH(SalesData[[#This Row],[Order Date]])</f>
        <v>11</v>
      </c>
      <c r="D1691" s="3" t="s">
        <v>1483</v>
      </c>
      <c r="E1691" s="3" t="s">
        <v>27</v>
      </c>
      <c r="F1691" s="3" t="s">
        <v>11</v>
      </c>
      <c r="G1691" s="3" t="s">
        <v>20</v>
      </c>
      <c r="H1691" s="3" t="s">
        <v>865</v>
      </c>
      <c r="I1691" s="6">
        <v>7.31</v>
      </c>
      <c r="J1691" s="4">
        <v>1</v>
      </c>
      <c r="K1691" s="6">
        <v>2.56</v>
      </c>
    </row>
    <row r="1692" spans="1:11" x14ac:dyDescent="0.3">
      <c r="A1692" s="7">
        <v>41970</v>
      </c>
      <c r="B1692" s="4">
        <f>YEAR(SalesData[[#This Row],[Order Date]])</f>
        <v>2014</v>
      </c>
      <c r="C1692" s="4">
        <f>MONTH(SalesData[[#This Row],[Order Date]])</f>
        <v>11</v>
      </c>
      <c r="D1692" s="3" t="s">
        <v>902</v>
      </c>
      <c r="E1692" s="3" t="s">
        <v>149</v>
      </c>
      <c r="F1692" s="3" t="s">
        <v>11</v>
      </c>
      <c r="G1692" s="3" t="s">
        <v>43</v>
      </c>
      <c r="H1692" s="3" t="s">
        <v>160</v>
      </c>
      <c r="I1692" s="6">
        <v>3.76</v>
      </c>
      <c r="J1692" s="4">
        <v>2</v>
      </c>
      <c r="K1692" s="6">
        <v>1.32</v>
      </c>
    </row>
    <row r="1693" spans="1:11" x14ac:dyDescent="0.3">
      <c r="A1693" s="7">
        <v>41970</v>
      </c>
      <c r="B1693" s="4">
        <f>YEAR(SalesData[[#This Row],[Order Date]])</f>
        <v>2014</v>
      </c>
      <c r="C1693" s="4">
        <f>MONTH(SalesData[[#This Row],[Order Date]])</f>
        <v>11</v>
      </c>
      <c r="D1693" s="3" t="s">
        <v>29</v>
      </c>
      <c r="E1693" s="3" t="s">
        <v>149</v>
      </c>
      <c r="F1693" s="3" t="s">
        <v>34</v>
      </c>
      <c r="G1693" s="3" t="s">
        <v>47</v>
      </c>
      <c r="H1693" s="3" t="s">
        <v>1711</v>
      </c>
      <c r="I1693" s="6">
        <v>199.9</v>
      </c>
      <c r="J1693" s="4">
        <v>5</v>
      </c>
      <c r="K1693" s="6">
        <v>39.979999999999997</v>
      </c>
    </row>
    <row r="1694" spans="1:11" x14ac:dyDescent="0.3">
      <c r="A1694" s="7">
        <v>41971</v>
      </c>
      <c r="B1694" s="4">
        <f>YEAR(SalesData[[#This Row],[Order Date]])</f>
        <v>2014</v>
      </c>
      <c r="C1694" s="4">
        <f>MONTH(SalesData[[#This Row],[Order Date]])</f>
        <v>11</v>
      </c>
      <c r="D1694" s="3" t="s">
        <v>1712</v>
      </c>
      <c r="E1694" s="3" t="s">
        <v>488</v>
      </c>
      <c r="F1694" s="3" t="s">
        <v>11</v>
      </c>
      <c r="G1694" s="3" t="s">
        <v>24</v>
      </c>
      <c r="H1694" s="3" t="s">
        <v>1713</v>
      </c>
      <c r="I1694" s="6">
        <v>14.67</v>
      </c>
      <c r="J1694" s="4">
        <v>3</v>
      </c>
      <c r="K1694" s="6">
        <v>3.96</v>
      </c>
    </row>
    <row r="1695" spans="1:11" x14ac:dyDescent="0.3">
      <c r="A1695" s="7">
        <v>41971</v>
      </c>
      <c r="B1695" s="4">
        <f>YEAR(SalesData[[#This Row],[Order Date]])</f>
        <v>2014</v>
      </c>
      <c r="C1695" s="4">
        <f>MONTH(SalesData[[#This Row],[Order Date]])</f>
        <v>11</v>
      </c>
      <c r="D1695" s="3" t="s">
        <v>1714</v>
      </c>
      <c r="E1695" s="3" t="s">
        <v>149</v>
      </c>
      <c r="F1695" s="3" t="s">
        <v>11</v>
      </c>
      <c r="G1695" s="3" t="s">
        <v>20</v>
      </c>
      <c r="H1695" s="3" t="s">
        <v>96</v>
      </c>
      <c r="I1695" s="6">
        <v>17.25</v>
      </c>
      <c r="J1695" s="4">
        <v>2</v>
      </c>
      <c r="K1695" s="6">
        <v>6.04</v>
      </c>
    </row>
    <row r="1696" spans="1:11" x14ac:dyDescent="0.3">
      <c r="A1696" s="7">
        <v>41971</v>
      </c>
      <c r="B1696" s="4">
        <f>YEAR(SalesData[[#This Row],[Order Date]])</f>
        <v>2014</v>
      </c>
      <c r="C1696" s="4">
        <f>MONTH(SalesData[[#This Row],[Order Date]])</f>
        <v>11</v>
      </c>
      <c r="D1696" s="3" t="s">
        <v>61</v>
      </c>
      <c r="E1696" s="3" t="s">
        <v>70</v>
      </c>
      <c r="F1696" s="3" t="s">
        <v>34</v>
      </c>
      <c r="G1696" s="3" t="s">
        <v>47</v>
      </c>
      <c r="H1696" s="3" t="s">
        <v>1715</v>
      </c>
      <c r="I1696" s="6">
        <v>397.6</v>
      </c>
      <c r="J1696" s="4">
        <v>5</v>
      </c>
      <c r="K1696" s="6">
        <v>43.74</v>
      </c>
    </row>
    <row r="1697" spans="1:11" x14ac:dyDescent="0.3">
      <c r="A1697" s="7">
        <v>41971</v>
      </c>
      <c r="B1697" s="4">
        <f>YEAR(SalesData[[#This Row],[Order Date]])</f>
        <v>2014</v>
      </c>
      <c r="C1697" s="4">
        <f>MONTH(SalesData[[#This Row],[Order Date]])</f>
        <v>11</v>
      </c>
      <c r="D1697" s="3" t="s">
        <v>61</v>
      </c>
      <c r="E1697" s="3" t="s">
        <v>70</v>
      </c>
      <c r="F1697" s="3" t="s">
        <v>11</v>
      </c>
      <c r="G1697" s="3" t="s">
        <v>12</v>
      </c>
      <c r="H1697" s="3" t="s">
        <v>621</v>
      </c>
      <c r="I1697" s="6">
        <v>85.96</v>
      </c>
      <c r="J1697" s="4">
        <v>7</v>
      </c>
      <c r="K1697" s="6">
        <v>40.4</v>
      </c>
    </row>
    <row r="1698" spans="1:11" x14ac:dyDescent="0.3">
      <c r="A1698" s="7">
        <v>41971</v>
      </c>
      <c r="B1698" s="4">
        <f>YEAR(SalesData[[#This Row],[Order Date]])</f>
        <v>2014</v>
      </c>
      <c r="C1698" s="4">
        <f>MONTH(SalesData[[#This Row],[Order Date]])</f>
        <v>11</v>
      </c>
      <c r="D1698" s="3" t="s">
        <v>61</v>
      </c>
      <c r="E1698" s="3" t="s">
        <v>70</v>
      </c>
      <c r="F1698" s="3" t="s">
        <v>11</v>
      </c>
      <c r="G1698" s="3" t="s">
        <v>24</v>
      </c>
      <c r="H1698" s="3" t="s">
        <v>459</v>
      </c>
      <c r="I1698" s="6">
        <v>13.12</v>
      </c>
      <c r="J1698" s="4">
        <v>4</v>
      </c>
      <c r="K1698" s="6">
        <v>4.33</v>
      </c>
    </row>
    <row r="1699" spans="1:11" x14ac:dyDescent="0.3">
      <c r="A1699" s="7">
        <v>41971</v>
      </c>
      <c r="B1699" s="4">
        <f>YEAR(SalesData[[#This Row],[Order Date]])</f>
        <v>2014</v>
      </c>
      <c r="C1699" s="4">
        <f>MONTH(SalesData[[#This Row],[Order Date]])</f>
        <v>11</v>
      </c>
      <c r="D1699" s="3" t="s">
        <v>61</v>
      </c>
      <c r="E1699" s="3" t="s">
        <v>70</v>
      </c>
      <c r="F1699" s="3" t="s">
        <v>11</v>
      </c>
      <c r="G1699" s="3" t="s">
        <v>20</v>
      </c>
      <c r="H1699" s="3" t="s">
        <v>330</v>
      </c>
      <c r="I1699" s="6">
        <v>45.66</v>
      </c>
      <c r="J1699" s="4">
        <v>3</v>
      </c>
      <c r="K1699" s="6">
        <v>22.37</v>
      </c>
    </row>
    <row r="1700" spans="1:11" x14ac:dyDescent="0.3">
      <c r="A1700" s="7">
        <v>41971</v>
      </c>
      <c r="B1700" s="4">
        <f>YEAR(SalesData[[#This Row],[Order Date]])</f>
        <v>2014</v>
      </c>
      <c r="C1700" s="4">
        <f>MONTH(SalesData[[#This Row],[Order Date]])</f>
        <v>11</v>
      </c>
      <c r="D1700" s="3" t="s">
        <v>1115</v>
      </c>
      <c r="E1700" s="3" t="s">
        <v>27</v>
      </c>
      <c r="F1700" s="3" t="s">
        <v>11</v>
      </c>
      <c r="G1700" s="3" t="s">
        <v>200</v>
      </c>
      <c r="H1700" s="3" t="s">
        <v>807</v>
      </c>
      <c r="I1700" s="6">
        <v>7.36</v>
      </c>
      <c r="J1700" s="4">
        <v>2</v>
      </c>
      <c r="K1700" s="6">
        <v>0.15</v>
      </c>
    </row>
    <row r="1701" spans="1:11" x14ac:dyDescent="0.3">
      <c r="A1701" s="7">
        <v>41971</v>
      </c>
      <c r="B1701" s="4">
        <f>YEAR(SalesData[[#This Row],[Order Date]])</f>
        <v>2014</v>
      </c>
      <c r="C1701" s="4">
        <f>MONTH(SalesData[[#This Row],[Order Date]])</f>
        <v>11</v>
      </c>
      <c r="D1701" s="3" t="s">
        <v>1115</v>
      </c>
      <c r="E1701" s="3" t="s">
        <v>27</v>
      </c>
      <c r="F1701" s="3" t="s">
        <v>11</v>
      </c>
      <c r="G1701" s="3" t="s">
        <v>16</v>
      </c>
      <c r="H1701" s="3" t="s">
        <v>1716</v>
      </c>
      <c r="I1701" s="6">
        <v>41.4</v>
      </c>
      <c r="J1701" s="4">
        <v>4</v>
      </c>
      <c r="K1701" s="6">
        <v>19.87</v>
      </c>
    </row>
    <row r="1702" spans="1:11" x14ac:dyDescent="0.3">
      <c r="A1702" s="7">
        <v>41971</v>
      </c>
      <c r="B1702" s="4">
        <f>YEAR(SalesData[[#This Row],[Order Date]])</f>
        <v>2014</v>
      </c>
      <c r="C1702" s="4">
        <f>MONTH(SalesData[[#This Row],[Order Date]])</f>
        <v>11</v>
      </c>
      <c r="D1702" s="3" t="s">
        <v>1115</v>
      </c>
      <c r="E1702" s="3" t="s">
        <v>27</v>
      </c>
      <c r="F1702" s="3" t="s">
        <v>34</v>
      </c>
      <c r="G1702" s="3" t="s">
        <v>74</v>
      </c>
      <c r="H1702" s="3" t="s">
        <v>1717</v>
      </c>
      <c r="I1702" s="6">
        <v>411.33</v>
      </c>
      <c r="J1702" s="4">
        <v>4</v>
      </c>
      <c r="K1702" s="6">
        <v>-4.84</v>
      </c>
    </row>
    <row r="1703" spans="1:11" x14ac:dyDescent="0.3">
      <c r="A1703" s="7">
        <v>41971</v>
      </c>
      <c r="B1703" s="4">
        <f>YEAR(SalesData[[#This Row],[Order Date]])</f>
        <v>2014</v>
      </c>
      <c r="C1703" s="4">
        <f>MONTH(SalesData[[#This Row],[Order Date]])</f>
        <v>11</v>
      </c>
      <c r="D1703" s="3" t="s">
        <v>1023</v>
      </c>
      <c r="E1703" s="3" t="s">
        <v>27</v>
      </c>
      <c r="F1703" s="3" t="s">
        <v>11</v>
      </c>
      <c r="G1703" s="3" t="s">
        <v>92</v>
      </c>
      <c r="H1703" s="3" t="s">
        <v>764</v>
      </c>
      <c r="I1703" s="6">
        <v>43.68</v>
      </c>
      <c r="J1703" s="4">
        <v>3</v>
      </c>
      <c r="K1703" s="6">
        <v>11.79</v>
      </c>
    </row>
    <row r="1704" spans="1:11" x14ac:dyDescent="0.3">
      <c r="A1704" s="7">
        <v>41971</v>
      </c>
      <c r="B1704" s="4">
        <f>YEAR(SalesData[[#This Row],[Order Date]])</f>
        <v>2014</v>
      </c>
      <c r="C1704" s="4">
        <f>MONTH(SalesData[[#This Row],[Order Date]])</f>
        <v>11</v>
      </c>
      <c r="D1704" s="3" t="s">
        <v>1023</v>
      </c>
      <c r="E1704" s="3" t="s">
        <v>27</v>
      </c>
      <c r="F1704" s="3" t="s">
        <v>39</v>
      </c>
      <c r="G1704" s="3" t="s">
        <v>52</v>
      </c>
      <c r="H1704" s="3" t="s">
        <v>1718</v>
      </c>
      <c r="I1704" s="6">
        <v>139.93</v>
      </c>
      <c r="J1704" s="4">
        <v>7</v>
      </c>
      <c r="K1704" s="6">
        <v>34.979999999999997</v>
      </c>
    </row>
    <row r="1705" spans="1:11" x14ac:dyDescent="0.3">
      <c r="A1705" s="7">
        <v>41971</v>
      </c>
      <c r="B1705" s="4">
        <f>YEAR(SalesData[[#This Row],[Order Date]])</f>
        <v>2014</v>
      </c>
      <c r="C1705" s="4">
        <f>MONTH(SalesData[[#This Row],[Order Date]])</f>
        <v>11</v>
      </c>
      <c r="D1705" s="3" t="s">
        <v>1719</v>
      </c>
      <c r="E1705" s="3" t="s">
        <v>10</v>
      </c>
      <c r="F1705" s="3" t="s">
        <v>39</v>
      </c>
      <c r="G1705" s="3" t="s">
        <v>302</v>
      </c>
      <c r="H1705" s="3" t="s">
        <v>1217</v>
      </c>
      <c r="I1705" s="6">
        <v>998.85</v>
      </c>
      <c r="J1705" s="4">
        <v>5</v>
      </c>
      <c r="K1705" s="6">
        <v>-199.77</v>
      </c>
    </row>
    <row r="1706" spans="1:11" x14ac:dyDescent="0.3">
      <c r="A1706" s="7">
        <v>41971</v>
      </c>
      <c r="B1706" s="4">
        <f>YEAR(SalesData[[#This Row],[Order Date]])</f>
        <v>2014</v>
      </c>
      <c r="C1706" s="4">
        <f>MONTH(SalesData[[#This Row],[Order Date]])</f>
        <v>11</v>
      </c>
      <c r="D1706" s="3" t="s">
        <v>1720</v>
      </c>
      <c r="E1706" s="3" t="s">
        <v>129</v>
      </c>
      <c r="F1706" s="3" t="s">
        <v>11</v>
      </c>
      <c r="G1706" s="3" t="s">
        <v>63</v>
      </c>
      <c r="H1706" s="3" t="s">
        <v>1721</v>
      </c>
      <c r="I1706" s="6">
        <v>64.02</v>
      </c>
      <c r="J1706" s="4">
        <v>6</v>
      </c>
      <c r="K1706" s="6">
        <v>29.45</v>
      </c>
    </row>
    <row r="1707" spans="1:11" x14ac:dyDescent="0.3">
      <c r="A1707" s="7">
        <v>41972</v>
      </c>
      <c r="B1707" s="4">
        <f>YEAR(SalesData[[#This Row],[Order Date]])</f>
        <v>2014</v>
      </c>
      <c r="C1707" s="4">
        <f>MONTH(SalesData[[#This Row],[Order Date]])</f>
        <v>11</v>
      </c>
      <c r="D1707" s="3" t="s">
        <v>839</v>
      </c>
      <c r="E1707" s="3" t="s">
        <v>23</v>
      </c>
      <c r="F1707" s="3" t="s">
        <v>11</v>
      </c>
      <c r="G1707" s="3" t="s">
        <v>16</v>
      </c>
      <c r="H1707" s="3" t="s">
        <v>582</v>
      </c>
      <c r="I1707" s="6">
        <v>5.04</v>
      </c>
      <c r="J1707" s="4">
        <v>2</v>
      </c>
      <c r="K1707" s="6">
        <v>1.76</v>
      </c>
    </row>
    <row r="1708" spans="1:11" x14ac:dyDescent="0.3">
      <c r="A1708" s="7">
        <v>41972</v>
      </c>
      <c r="B1708" s="4">
        <f>YEAR(SalesData[[#This Row],[Order Date]])</f>
        <v>2014</v>
      </c>
      <c r="C1708" s="4">
        <f>MONTH(SalesData[[#This Row],[Order Date]])</f>
        <v>11</v>
      </c>
      <c r="D1708" s="3" t="s">
        <v>1722</v>
      </c>
      <c r="E1708" s="3" t="s">
        <v>15</v>
      </c>
      <c r="F1708" s="3" t="s">
        <v>11</v>
      </c>
      <c r="G1708" s="3" t="s">
        <v>43</v>
      </c>
      <c r="H1708" s="3" t="s">
        <v>160</v>
      </c>
      <c r="I1708" s="6">
        <v>12.62</v>
      </c>
      <c r="J1708" s="4">
        <v>2</v>
      </c>
      <c r="K1708" s="6">
        <v>3.95</v>
      </c>
    </row>
    <row r="1709" spans="1:11" x14ac:dyDescent="0.3">
      <c r="A1709" s="7">
        <v>41972</v>
      </c>
      <c r="B1709" s="4">
        <f>YEAR(SalesData[[#This Row],[Order Date]])</f>
        <v>2014</v>
      </c>
      <c r="C1709" s="4">
        <f>MONTH(SalesData[[#This Row],[Order Date]])</f>
        <v>11</v>
      </c>
      <c r="D1709" s="3" t="s">
        <v>1723</v>
      </c>
      <c r="E1709" s="3" t="s">
        <v>27</v>
      </c>
      <c r="F1709" s="3" t="s">
        <v>39</v>
      </c>
      <c r="G1709" s="3" t="s">
        <v>40</v>
      </c>
      <c r="H1709" s="3" t="s">
        <v>898</v>
      </c>
      <c r="I1709" s="6">
        <v>575.91999999999996</v>
      </c>
      <c r="J1709" s="4">
        <v>2</v>
      </c>
      <c r="K1709" s="6">
        <v>71.989999999999995</v>
      </c>
    </row>
    <row r="1710" spans="1:11" x14ac:dyDescent="0.3">
      <c r="A1710" s="7">
        <v>41972</v>
      </c>
      <c r="B1710" s="4">
        <f>YEAR(SalesData[[#This Row],[Order Date]])</f>
        <v>2014</v>
      </c>
      <c r="C1710" s="4">
        <f>MONTH(SalesData[[#This Row],[Order Date]])</f>
        <v>11</v>
      </c>
      <c r="D1710" s="3" t="s">
        <v>1723</v>
      </c>
      <c r="E1710" s="3" t="s">
        <v>27</v>
      </c>
      <c r="F1710" s="3" t="s">
        <v>11</v>
      </c>
      <c r="G1710" s="3" t="s">
        <v>43</v>
      </c>
      <c r="H1710" s="3" t="s">
        <v>160</v>
      </c>
      <c r="I1710" s="6">
        <v>30.4</v>
      </c>
      <c r="J1710" s="4">
        <v>5</v>
      </c>
      <c r="K1710" s="6">
        <v>15.2</v>
      </c>
    </row>
    <row r="1711" spans="1:11" x14ac:dyDescent="0.3">
      <c r="A1711" s="7">
        <v>41972</v>
      </c>
      <c r="B1711" s="4">
        <f>YEAR(SalesData[[#This Row],[Order Date]])</f>
        <v>2014</v>
      </c>
      <c r="C1711" s="4">
        <f>MONTH(SalesData[[#This Row],[Order Date]])</f>
        <v>11</v>
      </c>
      <c r="D1711" s="3" t="s">
        <v>953</v>
      </c>
      <c r="E1711" s="3" t="s">
        <v>149</v>
      </c>
      <c r="F1711" s="3" t="s">
        <v>11</v>
      </c>
      <c r="G1711" s="3" t="s">
        <v>16</v>
      </c>
      <c r="H1711" s="3" t="s">
        <v>1025</v>
      </c>
      <c r="I1711" s="6">
        <v>25.06</v>
      </c>
      <c r="J1711" s="4">
        <v>2</v>
      </c>
      <c r="K1711" s="6">
        <v>11.78</v>
      </c>
    </row>
    <row r="1712" spans="1:11" x14ac:dyDescent="0.3">
      <c r="A1712" s="7">
        <v>41973</v>
      </c>
      <c r="B1712" s="4">
        <f>YEAR(SalesData[[#This Row],[Order Date]])</f>
        <v>2014</v>
      </c>
      <c r="C1712" s="4">
        <f>MONTH(SalesData[[#This Row],[Order Date]])</f>
        <v>11</v>
      </c>
      <c r="D1712" s="3" t="s">
        <v>1617</v>
      </c>
      <c r="E1712" s="3" t="s">
        <v>149</v>
      </c>
      <c r="F1712" s="3" t="s">
        <v>11</v>
      </c>
      <c r="G1712" s="3" t="s">
        <v>63</v>
      </c>
      <c r="H1712" s="3" t="s">
        <v>1724</v>
      </c>
      <c r="I1712" s="6">
        <v>62.28</v>
      </c>
      <c r="J1712" s="4">
        <v>4</v>
      </c>
      <c r="K1712" s="6">
        <v>29.27</v>
      </c>
    </row>
    <row r="1713" spans="1:11" x14ac:dyDescent="0.3">
      <c r="A1713" s="7">
        <v>41973</v>
      </c>
      <c r="B1713" s="4">
        <f>YEAR(SalesData[[#This Row],[Order Date]])</f>
        <v>2014</v>
      </c>
      <c r="C1713" s="4">
        <f>MONTH(SalesData[[#This Row],[Order Date]])</f>
        <v>11</v>
      </c>
      <c r="D1713" s="3" t="s">
        <v>684</v>
      </c>
      <c r="E1713" s="3" t="s">
        <v>123</v>
      </c>
      <c r="F1713" s="3" t="s">
        <v>11</v>
      </c>
      <c r="G1713" s="3" t="s">
        <v>20</v>
      </c>
      <c r="H1713" s="3" t="s">
        <v>1577</v>
      </c>
      <c r="I1713" s="6">
        <v>6.64</v>
      </c>
      <c r="J1713" s="4">
        <v>9</v>
      </c>
      <c r="K1713" s="6">
        <v>-4.43</v>
      </c>
    </row>
    <row r="1714" spans="1:11" x14ac:dyDescent="0.3">
      <c r="A1714" s="7">
        <v>41973</v>
      </c>
      <c r="B1714" s="4">
        <f>YEAR(SalesData[[#This Row],[Order Date]])</f>
        <v>2014</v>
      </c>
      <c r="C1714" s="4">
        <f>MONTH(SalesData[[#This Row],[Order Date]])</f>
        <v>11</v>
      </c>
      <c r="D1714" s="3" t="s">
        <v>953</v>
      </c>
      <c r="E1714" s="3" t="s">
        <v>95</v>
      </c>
      <c r="F1714" s="3" t="s">
        <v>11</v>
      </c>
      <c r="G1714" s="3" t="s">
        <v>200</v>
      </c>
      <c r="H1714" s="3" t="s">
        <v>782</v>
      </c>
      <c r="I1714" s="6">
        <v>47.99</v>
      </c>
      <c r="J1714" s="4">
        <v>7</v>
      </c>
      <c r="K1714" s="6">
        <v>3.6</v>
      </c>
    </row>
    <row r="1715" spans="1:11" x14ac:dyDescent="0.3">
      <c r="A1715" s="7">
        <v>41973</v>
      </c>
      <c r="B1715" s="4">
        <f>YEAR(SalesData[[#This Row],[Order Date]])</f>
        <v>2014</v>
      </c>
      <c r="C1715" s="4">
        <f>MONTH(SalesData[[#This Row],[Order Date]])</f>
        <v>11</v>
      </c>
      <c r="D1715" s="3" t="s">
        <v>953</v>
      </c>
      <c r="E1715" s="3" t="s">
        <v>95</v>
      </c>
      <c r="F1715" s="3" t="s">
        <v>39</v>
      </c>
      <c r="G1715" s="3" t="s">
        <v>52</v>
      </c>
      <c r="H1715" s="3" t="s">
        <v>1725</v>
      </c>
      <c r="I1715" s="6">
        <v>102.24</v>
      </c>
      <c r="J1715" s="4">
        <v>4</v>
      </c>
      <c r="K1715" s="6">
        <v>-16.61</v>
      </c>
    </row>
    <row r="1716" spans="1:11" x14ac:dyDescent="0.3">
      <c r="A1716" s="7">
        <v>41974</v>
      </c>
      <c r="B1716" s="4">
        <f>YEAR(SalesData[[#This Row],[Order Date]])</f>
        <v>2014</v>
      </c>
      <c r="C1716" s="4">
        <f>MONTH(SalesData[[#This Row],[Order Date]])</f>
        <v>12</v>
      </c>
      <c r="D1716" s="3" t="s">
        <v>712</v>
      </c>
      <c r="E1716" s="3" t="s">
        <v>157</v>
      </c>
      <c r="F1716" s="3" t="s">
        <v>34</v>
      </c>
      <c r="G1716" s="3" t="s">
        <v>35</v>
      </c>
      <c r="H1716" s="3" t="s">
        <v>1726</v>
      </c>
      <c r="I1716" s="6">
        <v>2807.84</v>
      </c>
      <c r="J1716" s="4">
        <v>8</v>
      </c>
      <c r="K1716" s="6">
        <v>673.88</v>
      </c>
    </row>
    <row r="1717" spans="1:11" x14ac:dyDescent="0.3">
      <c r="A1717" s="7">
        <v>41974</v>
      </c>
      <c r="B1717" s="4">
        <f>YEAR(SalesData[[#This Row],[Order Date]])</f>
        <v>2014</v>
      </c>
      <c r="C1717" s="4">
        <f>MONTH(SalesData[[#This Row],[Order Date]])</f>
        <v>12</v>
      </c>
      <c r="D1717" s="3" t="s">
        <v>712</v>
      </c>
      <c r="E1717" s="3" t="s">
        <v>157</v>
      </c>
      <c r="F1717" s="3" t="s">
        <v>11</v>
      </c>
      <c r="G1717" s="3" t="s">
        <v>24</v>
      </c>
      <c r="H1717" s="3" t="s">
        <v>877</v>
      </c>
      <c r="I1717" s="6">
        <v>46.64</v>
      </c>
      <c r="J1717" s="4">
        <v>4</v>
      </c>
      <c r="K1717" s="6">
        <v>12.59</v>
      </c>
    </row>
    <row r="1718" spans="1:11" x14ac:dyDescent="0.3">
      <c r="A1718" s="7">
        <v>41974</v>
      </c>
      <c r="B1718" s="4">
        <f>YEAR(SalesData[[#This Row],[Order Date]])</f>
        <v>2014</v>
      </c>
      <c r="C1718" s="4">
        <f>MONTH(SalesData[[#This Row],[Order Date]])</f>
        <v>12</v>
      </c>
      <c r="D1718" s="3" t="s">
        <v>1727</v>
      </c>
      <c r="E1718" s="3" t="s">
        <v>27</v>
      </c>
      <c r="F1718" s="3" t="s">
        <v>34</v>
      </c>
      <c r="G1718" s="3" t="s">
        <v>47</v>
      </c>
      <c r="H1718" s="3" t="s">
        <v>1728</v>
      </c>
      <c r="I1718" s="6">
        <v>58.2</v>
      </c>
      <c r="J1718" s="4">
        <v>3</v>
      </c>
      <c r="K1718" s="6">
        <v>28.52</v>
      </c>
    </row>
    <row r="1719" spans="1:11" x14ac:dyDescent="0.3">
      <c r="A1719" s="7">
        <v>41974</v>
      </c>
      <c r="B1719" s="4">
        <f>YEAR(SalesData[[#This Row],[Order Date]])</f>
        <v>2014</v>
      </c>
      <c r="C1719" s="4">
        <f>MONTH(SalesData[[#This Row],[Order Date]])</f>
        <v>12</v>
      </c>
      <c r="D1719" s="3" t="s">
        <v>853</v>
      </c>
      <c r="E1719" s="3" t="s">
        <v>245</v>
      </c>
      <c r="F1719" s="3" t="s">
        <v>39</v>
      </c>
      <c r="G1719" s="3" t="s">
        <v>40</v>
      </c>
      <c r="H1719" s="3" t="s">
        <v>1729</v>
      </c>
      <c r="I1719" s="6">
        <v>95.97</v>
      </c>
      <c r="J1719" s="4">
        <v>4</v>
      </c>
      <c r="K1719" s="6">
        <v>9.6</v>
      </c>
    </row>
    <row r="1720" spans="1:11" x14ac:dyDescent="0.3">
      <c r="A1720" s="7">
        <v>41974</v>
      </c>
      <c r="B1720" s="4">
        <f>YEAR(SalesData[[#This Row],[Order Date]])</f>
        <v>2014</v>
      </c>
      <c r="C1720" s="4">
        <f>MONTH(SalesData[[#This Row],[Order Date]])</f>
        <v>12</v>
      </c>
      <c r="D1720" s="3" t="s">
        <v>1652</v>
      </c>
      <c r="E1720" s="3" t="s">
        <v>78</v>
      </c>
      <c r="F1720" s="3" t="s">
        <v>39</v>
      </c>
      <c r="G1720" s="3" t="s">
        <v>603</v>
      </c>
      <c r="H1720" s="3" t="s">
        <v>1089</v>
      </c>
      <c r="I1720" s="6">
        <v>659.99</v>
      </c>
      <c r="J1720" s="4">
        <v>2</v>
      </c>
      <c r="K1720" s="6">
        <v>110</v>
      </c>
    </row>
    <row r="1721" spans="1:11" x14ac:dyDescent="0.3">
      <c r="A1721" s="7">
        <v>41974</v>
      </c>
      <c r="B1721" s="4">
        <f>YEAR(SalesData[[#This Row],[Order Date]])</f>
        <v>2014</v>
      </c>
      <c r="C1721" s="4">
        <f>MONTH(SalesData[[#This Row],[Order Date]])</f>
        <v>12</v>
      </c>
      <c r="D1721" s="3" t="s">
        <v>1652</v>
      </c>
      <c r="E1721" s="3" t="s">
        <v>78</v>
      </c>
      <c r="F1721" s="3" t="s">
        <v>34</v>
      </c>
      <c r="G1721" s="3" t="s">
        <v>47</v>
      </c>
      <c r="H1721" s="3" t="s">
        <v>214</v>
      </c>
      <c r="I1721" s="6">
        <v>8.1300000000000008</v>
      </c>
      <c r="J1721" s="4">
        <v>2</v>
      </c>
      <c r="K1721" s="6">
        <v>1.42</v>
      </c>
    </row>
    <row r="1722" spans="1:11" x14ac:dyDescent="0.3">
      <c r="A1722" s="7">
        <v>41974</v>
      </c>
      <c r="B1722" s="4">
        <f>YEAR(SalesData[[#This Row],[Order Date]])</f>
        <v>2014</v>
      </c>
      <c r="C1722" s="4">
        <f>MONTH(SalesData[[#This Row],[Order Date]])</f>
        <v>12</v>
      </c>
      <c r="D1722" s="3" t="s">
        <v>1652</v>
      </c>
      <c r="E1722" s="3" t="s">
        <v>78</v>
      </c>
      <c r="F1722" s="3" t="s">
        <v>11</v>
      </c>
      <c r="G1722" s="3" t="s">
        <v>12</v>
      </c>
      <c r="H1722" s="3" t="s">
        <v>1730</v>
      </c>
      <c r="I1722" s="6">
        <v>36.29</v>
      </c>
      <c r="J1722" s="4">
        <v>7</v>
      </c>
      <c r="K1722" s="6">
        <v>12.7</v>
      </c>
    </row>
    <row r="1723" spans="1:11" x14ac:dyDescent="0.3">
      <c r="A1723" s="7">
        <v>41974</v>
      </c>
      <c r="B1723" s="4">
        <f>YEAR(SalesData[[#This Row],[Order Date]])</f>
        <v>2014</v>
      </c>
      <c r="C1723" s="4">
        <f>MONTH(SalesData[[#This Row],[Order Date]])</f>
        <v>12</v>
      </c>
      <c r="D1723" s="3" t="s">
        <v>1652</v>
      </c>
      <c r="E1723" s="3" t="s">
        <v>78</v>
      </c>
      <c r="F1723" s="3" t="s">
        <v>34</v>
      </c>
      <c r="G1723" s="3" t="s">
        <v>35</v>
      </c>
      <c r="H1723" s="3" t="s">
        <v>660</v>
      </c>
      <c r="I1723" s="6">
        <v>909.72</v>
      </c>
      <c r="J1723" s="4">
        <v>6</v>
      </c>
      <c r="K1723" s="6">
        <v>-51.98</v>
      </c>
    </row>
    <row r="1724" spans="1:11" x14ac:dyDescent="0.3">
      <c r="A1724" s="7">
        <v>41974</v>
      </c>
      <c r="B1724" s="4">
        <f>YEAR(SalesData[[#This Row],[Order Date]])</f>
        <v>2014</v>
      </c>
      <c r="C1724" s="4">
        <f>MONTH(SalesData[[#This Row],[Order Date]])</f>
        <v>12</v>
      </c>
      <c r="D1724" s="3" t="s">
        <v>346</v>
      </c>
      <c r="E1724" s="3" t="s">
        <v>10</v>
      </c>
      <c r="F1724" s="3" t="s">
        <v>34</v>
      </c>
      <c r="G1724" s="3" t="s">
        <v>35</v>
      </c>
      <c r="H1724" s="3" t="s">
        <v>1731</v>
      </c>
      <c r="I1724" s="6">
        <v>674.06</v>
      </c>
      <c r="J1724" s="4">
        <v>3</v>
      </c>
      <c r="K1724" s="6">
        <v>-19.260000000000002</v>
      </c>
    </row>
    <row r="1725" spans="1:11" x14ac:dyDescent="0.3">
      <c r="A1725" s="7">
        <v>41974</v>
      </c>
      <c r="B1725" s="4">
        <f>YEAR(SalesData[[#This Row],[Order Date]])</f>
        <v>2014</v>
      </c>
      <c r="C1725" s="4">
        <f>MONTH(SalesData[[#This Row],[Order Date]])</f>
        <v>12</v>
      </c>
      <c r="D1725" s="3" t="s">
        <v>861</v>
      </c>
      <c r="E1725" s="3" t="s">
        <v>434</v>
      </c>
      <c r="F1725" s="3" t="s">
        <v>39</v>
      </c>
      <c r="G1725" s="3" t="s">
        <v>40</v>
      </c>
      <c r="H1725" s="3" t="s">
        <v>1539</v>
      </c>
      <c r="I1725" s="6">
        <v>271.89999999999998</v>
      </c>
      <c r="J1725" s="4">
        <v>2</v>
      </c>
      <c r="K1725" s="6">
        <v>78.849999999999994</v>
      </c>
    </row>
    <row r="1726" spans="1:11" x14ac:dyDescent="0.3">
      <c r="A1726" s="7">
        <v>41974</v>
      </c>
      <c r="B1726" s="4">
        <f>YEAR(SalesData[[#This Row],[Order Date]])</f>
        <v>2014</v>
      </c>
      <c r="C1726" s="4">
        <f>MONTH(SalesData[[#This Row],[Order Date]])</f>
        <v>12</v>
      </c>
      <c r="D1726" s="3" t="s">
        <v>861</v>
      </c>
      <c r="E1726" s="3" t="s">
        <v>434</v>
      </c>
      <c r="F1726" s="3" t="s">
        <v>34</v>
      </c>
      <c r="G1726" s="3" t="s">
        <v>47</v>
      </c>
      <c r="H1726" s="3" t="s">
        <v>1732</v>
      </c>
      <c r="I1726" s="6">
        <v>45.84</v>
      </c>
      <c r="J1726" s="4">
        <v>3</v>
      </c>
      <c r="K1726" s="6">
        <v>15.59</v>
      </c>
    </row>
    <row r="1727" spans="1:11" x14ac:dyDescent="0.3">
      <c r="A1727" s="7">
        <v>41974</v>
      </c>
      <c r="B1727" s="4">
        <f>YEAR(SalesData[[#This Row],[Order Date]])</f>
        <v>2014</v>
      </c>
      <c r="C1727" s="4">
        <f>MONTH(SalesData[[#This Row],[Order Date]])</f>
        <v>12</v>
      </c>
      <c r="D1727" s="3" t="s">
        <v>861</v>
      </c>
      <c r="E1727" s="3" t="s">
        <v>434</v>
      </c>
      <c r="F1727" s="3" t="s">
        <v>34</v>
      </c>
      <c r="G1727" s="3" t="s">
        <v>47</v>
      </c>
      <c r="H1727" s="3" t="s">
        <v>117</v>
      </c>
      <c r="I1727" s="6">
        <v>9.82</v>
      </c>
      <c r="J1727" s="4">
        <v>2</v>
      </c>
      <c r="K1727" s="6">
        <v>3.24</v>
      </c>
    </row>
    <row r="1728" spans="1:11" x14ac:dyDescent="0.3">
      <c r="A1728" s="7">
        <v>41975</v>
      </c>
      <c r="B1728" s="4">
        <f>YEAR(SalesData[[#This Row],[Order Date]])</f>
        <v>2014</v>
      </c>
      <c r="C1728" s="4">
        <f>MONTH(SalesData[[#This Row],[Order Date]])</f>
        <v>12</v>
      </c>
      <c r="D1728" s="3" t="s">
        <v>1733</v>
      </c>
      <c r="E1728" s="3" t="s">
        <v>149</v>
      </c>
      <c r="F1728" s="3" t="s">
        <v>39</v>
      </c>
      <c r="G1728" s="3" t="s">
        <v>52</v>
      </c>
      <c r="H1728" s="3" t="s">
        <v>84</v>
      </c>
      <c r="I1728" s="6">
        <v>119.96</v>
      </c>
      <c r="J1728" s="4">
        <v>4</v>
      </c>
      <c r="K1728" s="6">
        <v>52.78</v>
      </c>
    </row>
    <row r="1729" spans="1:11" x14ac:dyDescent="0.3">
      <c r="A1729" s="7">
        <v>41975</v>
      </c>
      <c r="B1729" s="4">
        <f>YEAR(SalesData[[#This Row],[Order Date]])</f>
        <v>2014</v>
      </c>
      <c r="C1729" s="4">
        <f>MONTH(SalesData[[#This Row],[Order Date]])</f>
        <v>12</v>
      </c>
      <c r="D1729" s="3" t="s">
        <v>1733</v>
      </c>
      <c r="E1729" s="3" t="s">
        <v>149</v>
      </c>
      <c r="F1729" s="3" t="s">
        <v>34</v>
      </c>
      <c r="G1729" s="3" t="s">
        <v>74</v>
      </c>
      <c r="H1729" s="3" t="s">
        <v>777</v>
      </c>
      <c r="I1729" s="6">
        <v>883.92</v>
      </c>
      <c r="J1729" s="4">
        <v>5</v>
      </c>
      <c r="K1729" s="6">
        <v>-110.49</v>
      </c>
    </row>
    <row r="1730" spans="1:11" x14ac:dyDescent="0.3">
      <c r="A1730" s="7">
        <v>41975</v>
      </c>
      <c r="B1730" s="4">
        <f>YEAR(SalesData[[#This Row],[Order Date]])</f>
        <v>2014</v>
      </c>
      <c r="C1730" s="4">
        <f>MONTH(SalesData[[#This Row],[Order Date]])</f>
        <v>12</v>
      </c>
      <c r="D1730" s="3" t="s">
        <v>1733</v>
      </c>
      <c r="E1730" s="3" t="s">
        <v>149</v>
      </c>
      <c r="F1730" s="3" t="s">
        <v>11</v>
      </c>
      <c r="G1730" s="3" t="s">
        <v>20</v>
      </c>
      <c r="H1730" s="3" t="s">
        <v>1225</v>
      </c>
      <c r="I1730" s="6">
        <v>46.72</v>
      </c>
      <c r="J1730" s="4">
        <v>8</v>
      </c>
      <c r="K1730" s="6">
        <v>15.77</v>
      </c>
    </row>
    <row r="1731" spans="1:11" x14ac:dyDescent="0.3">
      <c r="A1731" s="7">
        <v>41975</v>
      </c>
      <c r="B1731" s="4">
        <f>YEAR(SalesData[[#This Row],[Order Date]])</f>
        <v>2014</v>
      </c>
      <c r="C1731" s="4">
        <f>MONTH(SalesData[[#This Row],[Order Date]])</f>
        <v>12</v>
      </c>
      <c r="D1731" s="3" t="s">
        <v>1734</v>
      </c>
      <c r="E1731" s="3" t="s">
        <v>10</v>
      </c>
      <c r="F1731" s="3" t="s">
        <v>34</v>
      </c>
      <c r="G1731" s="3" t="s">
        <v>47</v>
      </c>
      <c r="H1731" s="3" t="s">
        <v>1391</v>
      </c>
      <c r="I1731" s="6">
        <v>58.36</v>
      </c>
      <c r="J1731" s="4">
        <v>5</v>
      </c>
      <c r="K1731" s="6">
        <v>-24.8</v>
      </c>
    </row>
    <row r="1732" spans="1:11" x14ac:dyDescent="0.3">
      <c r="A1732" s="7">
        <v>41975</v>
      </c>
      <c r="B1732" s="4">
        <f>YEAR(SalesData[[#This Row],[Order Date]])</f>
        <v>2014</v>
      </c>
      <c r="C1732" s="4">
        <f>MONTH(SalesData[[#This Row],[Order Date]])</f>
        <v>12</v>
      </c>
      <c r="D1732" s="3" t="s">
        <v>1734</v>
      </c>
      <c r="E1732" s="3" t="s">
        <v>10</v>
      </c>
      <c r="F1732" s="3" t="s">
        <v>11</v>
      </c>
      <c r="G1732" s="3" t="s">
        <v>24</v>
      </c>
      <c r="H1732" s="3" t="s">
        <v>1569</v>
      </c>
      <c r="I1732" s="6">
        <v>16.46</v>
      </c>
      <c r="J1732" s="4">
        <v>7</v>
      </c>
      <c r="K1732" s="6">
        <v>1.44</v>
      </c>
    </row>
    <row r="1733" spans="1:11" x14ac:dyDescent="0.3">
      <c r="A1733" s="7">
        <v>41975</v>
      </c>
      <c r="B1733" s="4">
        <f>YEAR(SalesData[[#This Row],[Order Date]])</f>
        <v>2014</v>
      </c>
      <c r="C1733" s="4">
        <f>MONTH(SalesData[[#This Row],[Order Date]])</f>
        <v>12</v>
      </c>
      <c r="D1733" s="3" t="s">
        <v>1734</v>
      </c>
      <c r="E1733" s="3" t="s">
        <v>10</v>
      </c>
      <c r="F1733" s="3" t="s">
        <v>34</v>
      </c>
      <c r="G1733" s="3" t="s">
        <v>47</v>
      </c>
      <c r="H1733" s="3" t="s">
        <v>1735</v>
      </c>
      <c r="I1733" s="6">
        <v>39.96</v>
      </c>
      <c r="J1733" s="4">
        <v>5</v>
      </c>
      <c r="K1733" s="6">
        <v>-23.98</v>
      </c>
    </row>
    <row r="1734" spans="1:11" x14ac:dyDescent="0.3">
      <c r="A1734" s="7">
        <v>41975</v>
      </c>
      <c r="B1734" s="4">
        <f>YEAR(SalesData[[#This Row],[Order Date]])</f>
        <v>2014</v>
      </c>
      <c r="C1734" s="4">
        <f>MONTH(SalesData[[#This Row],[Order Date]])</f>
        <v>12</v>
      </c>
      <c r="D1734" s="3" t="s">
        <v>1736</v>
      </c>
      <c r="E1734" s="3" t="s">
        <v>78</v>
      </c>
      <c r="F1734" s="3" t="s">
        <v>39</v>
      </c>
      <c r="G1734" s="3" t="s">
        <v>52</v>
      </c>
      <c r="H1734" s="3" t="s">
        <v>1737</v>
      </c>
      <c r="I1734" s="6">
        <v>119.8</v>
      </c>
      <c r="J1734" s="4">
        <v>5</v>
      </c>
      <c r="K1734" s="6">
        <v>29.95</v>
      </c>
    </row>
    <row r="1735" spans="1:11" x14ac:dyDescent="0.3">
      <c r="A1735" s="7">
        <v>41975</v>
      </c>
      <c r="B1735" s="4">
        <f>YEAR(SalesData[[#This Row],[Order Date]])</f>
        <v>2014</v>
      </c>
      <c r="C1735" s="4">
        <f>MONTH(SalesData[[#This Row],[Order Date]])</f>
        <v>12</v>
      </c>
      <c r="D1735" s="3" t="s">
        <v>1738</v>
      </c>
      <c r="E1735" s="3" t="s">
        <v>15</v>
      </c>
      <c r="F1735" s="3" t="s">
        <v>11</v>
      </c>
      <c r="G1735" s="3" t="s">
        <v>92</v>
      </c>
      <c r="H1735" s="3" t="s">
        <v>658</v>
      </c>
      <c r="I1735" s="6">
        <v>2.39</v>
      </c>
      <c r="J1735" s="4">
        <v>1</v>
      </c>
      <c r="K1735" s="6">
        <v>-6.34</v>
      </c>
    </row>
    <row r="1736" spans="1:11" x14ac:dyDescent="0.3">
      <c r="A1736" s="7">
        <v>41975</v>
      </c>
      <c r="B1736" s="4">
        <f>YEAR(SalesData[[#This Row],[Order Date]])</f>
        <v>2014</v>
      </c>
      <c r="C1736" s="4">
        <f>MONTH(SalesData[[#This Row],[Order Date]])</f>
        <v>12</v>
      </c>
      <c r="D1736" s="3" t="s">
        <v>1289</v>
      </c>
      <c r="E1736" s="3" t="s">
        <v>531</v>
      </c>
      <c r="F1736" s="3" t="s">
        <v>34</v>
      </c>
      <c r="G1736" s="3" t="s">
        <v>47</v>
      </c>
      <c r="H1736" s="3" t="s">
        <v>1739</v>
      </c>
      <c r="I1736" s="6">
        <v>60.72</v>
      </c>
      <c r="J1736" s="4">
        <v>3</v>
      </c>
      <c r="K1736" s="6">
        <v>23.68</v>
      </c>
    </row>
    <row r="1737" spans="1:11" x14ac:dyDescent="0.3">
      <c r="A1737" s="7">
        <v>41975</v>
      </c>
      <c r="B1737" s="4">
        <f>YEAR(SalesData[[#This Row],[Order Date]])</f>
        <v>2014</v>
      </c>
      <c r="C1737" s="4">
        <f>MONTH(SalesData[[#This Row],[Order Date]])</f>
        <v>12</v>
      </c>
      <c r="D1737" s="3" t="s">
        <v>1289</v>
      </c>
      <c r="E1737" s="3" t="s">
        <v>531</v>
      </c>
      <c r="F1737" s="3" t="s">
        <v>11</v>
      </c>
      <c r="G1737" s="3" t="s">
        <v>12</v>
      </c>
      <c r="H1737" s="3" t="s">
        <v>1294</v>
      </c>
      <c r="I1737" s="6">
        <v>146.82</v>
      </c>
      <c r="J1737" s="4">
        <v>3</v>
      </c>
      <c r="K1737" s="6">
        <v>73.41</v>
      </c>
    </row>
    <row r="1738" spans="1:11" x14ac:dyDescent="0.3">
      <c r="A1738" s="7">
        <v>41975</v>
      </c>
      <c r="B1738" s="4">
        <f>YEAR(SalesData[[#This Row],[Order Date]])</f>
        <v>2014</v>
      </c>
      <c r="C1738" s="4">
        <f>MONTH(SalesData[[#This Row],[Order Date]])</f>
        <v>12</v>
      </c>
      <c r="D1738" s="3" t="s">
        <v>1289</v>
      </c>
      <c r="E1738" s="3" t="s">
        <v>531</v>
      </c>
      <c r="F1738" s="3" t="s">
        <v>34</v>
      </c>
      <c r="G1738" s="3" t="s">
        <v>35</v>
      </c>
      <c r="H1738" s="3" t="s">
        <v>1575</v>
      </c>
      <c r="I1738" s="6">
        <v>239.84</v>
      </c>
      <c r="J1738" s="4">
        <v>8</v>
      </c>
      <c r="K1738" s="6">
        <v>64.760000000000005</v>
      </c>
    </row>
    <row r="1739" spans="1:11" x14ac:dyDescent="0.3">
      <c r="A1739" s="7">
        <v>41975</v>
      </c>
      <c r="B1739" s="4">
        <f>YEAR(SalesData[[#This Row],[Order Date]])</f>
        <v>2014</v>
      </c>
      <c r="C1739" s="4">
        <f>MONTH(SalesData[[#This Row],[Order Date]])</f>
        <v>12</v>
      </c>
      <c r="D1739" s="3" t="s">
        <v>1289</v>
      </c>
      <c r="E1739" s="3" t="s">
        <v>531</v>
      </c>
      <c r="F1739" s="3" t="s">
        <v>11</v>
      </c>
      <c r="G1739" s="3" t="s">
        <v>16</v>
      </c>
      <c r="H1739" s="3" t="s">
        <v>1740</v>
      </c>
      <c r="I1739" s="6">
        <v>15.66</v>
      </c>
      <c r="J1739" s="4">
        <v>6</v>
      </c>
      <c r="K1739" s="6">
        <v>7.2</v>
      </c>
    </row>
    <row r="1740" spans="1:11" x14ac:dyDescent="0.3">
      <c r="A1740" s="7">
        <v>41975</v>
      </c>
      <c r="B1740" s="4">
        <f>YEAR(SalesData[[#This Row],[Order Date]])</f>
        <v>2014</v>
      </c>
      <c r="C1740" s="4">
        <f>MONTH(SalesData[[#This Row],[Order Date]])</f>
        <v>12</v>
      </c>
      <c r="D1740" s="3" t="s">
        <v>1741</v>
      </c>
      <c r="E1740" s="3" t="s">
        <v>30</v>
      </c>
      <c r="F1740" s="3" t="s">
        <v>39</v>
      </c>
      <c r="G1740" s="3" t="s">
        <v>52</v>
      </c>
      <c r="H1740" s="3" t="s">
        <v>1742</v>
      </c>
      <c r="I1740" s="6">
        <v>5.95</v>
      </c>
      <c r="J1740" s="4">
        <v>1</v>
      </c>
      <c r="K1740" s="6">
        <v>0.83</v>
      </c>
    </row>
    <row r="1741" spans="1:11" x14ac:dyDescent="0.3">
      <c r="A1741" s="7">
        <v>41975</v>
      </c>
      <c r="B1741" s="4">
        <f>YEAR(SalesData[[#This Row],[Order Date]])</f>
        <v>2014</v>
      </c>
      <c r="C1741" s="4">
        <f>MONTH(SalesData[[#This Row],[Order Date]])</f>
        <v>12</v>
      </c>
      <c r="D1741" s="3" t="s">
        <v>1741</v>
      </c>
      <c r="E1741" s="3" t="s">
        <v>30</v>
      </c>
      <c r="F1741" s="3" t="s">
        <v>11</v>
      </c>
      <c r="G1741" s="3" t="s">
        <v>12</v>
      </c>
      <c r="H1741" s="3" t="s">
        <v>1531</v>
      </c>
      <c r="I1741" s="6">
        <v>15.24</v>
      </c>
      <c r="J1741" s="4">
        <v>3</v>
      </c>
      <c r="K1741" s="6">
        <v>7.16</v>
      </c>
    </row>
    <row r="1742" spans="1:11" x14ac:dyDescent="0.3">
      <c r="A1742" s="7">
        <v>41976</v>
      </c>
      <c r="B1742" s="4">
        <f>YEAR(SalesData[[#This Row],[Order Date]])</f>
        <v>2014</v>
      </c>
      <c r="C1742" s="4">
        <f>MONTH(SalesData[[#This Row],[Order Date]])</f>
        <v>12</v>
      </c>
      <c r="D1742" s="3" t="s">
        <v>1687</v>
      </c>
      <c r="E1742" s="3" t="s">
        <v>840</v>
      </c>
      <c r="F1742" s="3" t="s">
        <v>39</v>
      </c>
      <c r="G1742" s="3" t="s">
        <v>40</v>
      </c>
      <c r="H1742" s="3" t="s">
        <v>1743</v>
      </c>
      <c r="I1742" s="6">
        <v>479.96</v>
      </c>
      <c r="J1742" s="4">
        <v>4</v>
      </c>
      <c r="K1742" s="6">
        <v>134.38999999999999</v>
      </c>
    </row>
    <row r="1743" spans="1:11" x14ac:dyDescent="0.3">
      <c r="A1743" s="7">
        <v>41976</v>
      </c>
      <c r="B1743" s="4">
        <f>YEAR(SalesData[[#This Row],[Order Date]])</f>
        <v>2014</v>
      </c>
      <c r="C1743" s="4">
        <f>MONTH(SalesData[[#This Row],[Order Date]])</f>
        <v>12</v>
      </c>
      <c r="D1743" s="3" t="s">
        <v>1720</v>
      </c>
      <c r="E1743" s="3" t="s">
        <v>186</v>
      </c>
      <c r="F1743" s="3" t="s">
        <v>11</v>
      </c>
      <c r="G1743" s="3" t="s">
        <v>12</v>
      </c>
      <c r="H1743" s="3" t="s">
        <v>1730</v>
      </c>
      <c r="I1743" s="6">
        <v>25.92</v>
      </c>
      <c r="J1743" s="4">
        <v>4</v>
      </c>
      <c r="K1743" s="6">
        <v>12.44</v>
      </c>
    </row>
    <row r="1744" spans="1:11" x14ac:dyDescent="0.3">
      <c r="A1744" s="7">
        <v>41977</v>
      </c>
      <c r="B1744" s="4">
        <f>YEAR(SalesData[[#This Row],[Order Date]])</f>
        <v>2014</v>
      </c>
      <c r="C1744" s="4">
        <f>MONTH(SalesData[[#This Row],[Order Date]])</f>
        <v>12</v>
      </c>
      <c r="D1744" s="3" t="s">
        <v>1744</v>
      </c>
      <c r="E1744" s="3" t="s">
        <v>149</v>
      </c>
      <c r="F1744" s="3" t="s">
        <v>39</v>
      </c>
      <c r="G1744" s="3" t="s">
        <v>40</v>
      </c>
      <c r="H1744" s="3" t="s">
        <v>1537</v>
      </c>
      <c r="I1744" s="6">
        <v>129.97999999999999</v>
      </c>
      <c r="J1744" s="4">
        <v>2</v>
      </c>
      <c r="K1744" s="6">
        <v>62.39</v>
      </c>
    </row>
    <row r="1745" spans="1:11" x14ac:dyDescent="0.3">
      <c r="A1745" s="7">
        <v>41978</v>
      </c>
      <c r="B1745" s="4">
        <f>YEAR(SalesData[[#This Row],[Order Date]])</f>
        <v>2014</v>
      </c>
      <c r="C1745" s="4">
        <f>MONTH(SalesData[[#This Row],[Order Date]])</f>
        <v>12</v>
      </c>
      <c r="D1745" s="3" t="s">
        <v>81</v>
      </c>
      <c r="E1745" s="3" t="s">
        <v>95</v>
      </c>
      <c r="F1745" s="3" t="s">
        <v>11</v>
      </c>
      <c r="G1745" s="3" t="s">
        <v>24</v>
      </c>
      <c r="H1745" s="3" t="s">
        <v>1745</v>
      </c>
      <c r="I1745" s="6">
        <v>1113.02</v>
      </c>
      <c r="J1745" s="4">
        <v>8</v>
      </c>
      <c r="K1745" s="6">
        <v>111.3</v>
      </c>
    </row>
    <row r="1746" spans="1:11" x14ac:dyDescent="0.3">
      <c r="A1746" s="7">
        <v>41978</v>
      </c>
      <c r="B1746" s="4">
        <f>YEAR(SalesData[[#This Row],[Order Date]])</f>
        <v>2014</v>
      </c>
      <c r="C1746" s="4">
        <f>MONTH(SalesData[[#This Row],[Order Date]])</f>
        <v>12</v>
      </c>
      <c r="D1746" s="3" t="s">
        <v>81</v>
      </c>
      <c r="E1746" s="3" t="s">
        <v>95</v>
      </c>
      <c r="F1746" s="3" t="s">
        <v>39</v>
      </c>
      <c r="G1746" s="3" t="s">
        <v>40</v>
      </c>
      <c r="H1746" s="3" t="s">
        <v>721</v>
      </c>
      <c r="I1746" s="6">
        <v>167.97</v>
      </c>
      <c r="J1746" s="4">
        <v>4</v>
      </c>
      <c r="K1746" s="6">
        <v>62.99</v>
      </c>
    </row>
    <row r="1747" spans="1:11" x14ac:dyDescent="0.3">
      <c r="A1747" s="7">
        <v>41978</v>
      </c>
      <c r="B1747" s="4">
        <f>YEAR(SalesData[[#This Row],[Order Date]])</f>
        <v>2014</v>
      </c>
      <c r="C1747" s="4">
        <f>MONTH(SalesData[[#This Row],[Order Date]])</f>
        <v>12</v>
      </c>
      <c r="D1747" s="3" t="s">
        <v>1746</v>
      </c>
      <c r="E1747" s="3" t="s">
        <v>15</v>
      </c>
      <c r="F1747" s="3" t="s">
        <v>11</v>
      </c>
      <c r="G1747" s="3" t="s">
        <v>18</v>
      </c>
      <c r="H1747" s="3" t="s">
        <v>463</v>
      </c>
      <c r="I1747" s="6">
        <v>24.82</v>
      </c>
      <c r="J1747" s="4">
        <v>2</v>
      </c>
      <c r="K1747" s="6">
        <v>1.86</v>
      </c>
    </row>
    <row r="1748" spans="1:11" x14ac:dyDescent="0.3">
      <c r="A1748" s="7">
        <v>41978</v>
      </c>
      <c r="B1748" s="4">
        <f>YEAR(SalesData[[#This Row],[Order Date]])</f>
        <v>2014</v>
      </c>
      <c r="C1748" s="4">
        <f>MONTH(SalesData[[#This Row],[Order Date]])</f>
        <v>12</v>
      </c>
      <c r="D1748" s="3" t="s">
        <v>1746</v>
      </c>
      <c r="E1748" s="3" t="s">
        <v>15</v>
      </c>
      <c r="F1748" s="3" t="s">
        <v>39</v>
      </c>
      <c r="G1748" s="3" t="s">
        <v>52</v>
      </c>
      <c r="H1748" s="3" t="s">
        <v>474</v>
      </c>
      <c r="I1748" s="6">
        <v>408.74</v>
      </c>
      <c r="J1748" s="4">
        <v>7</v>
      </c>
      <c r="K1748" s="6">
        <v>76.64</v>
      </c>
    </row>
    <row r="1749" spans="1:11" x14ac:dyDescent="0.3">
      <c r="A1749" s="7">
        <v>41978</v>
      </c>
      <c r="B1749" s="4">
        <f>YEAR(SalesData[[#This Row],[Order Date]])</f>
        <v>2014</v>
      </c>
      <c r="C1749" s="4">
        <f>MONTH(SalesData[[#This Row],[Order Date]])</f>
        <v>12</v>
      </c>
      <c r="D1749" s="3" t="s">
        <v>1747</v>
      </c>
      <c r="E1749" s="3" t="s">
        <v>55</v>
      </c>
      <c r="F1749" s="3" t="s">
        <v>11</v>
      </c>
      <c r="G1749" s="3" t="s">
        <v>18</v>
      </c>
      <c r="H1749" s="3" t="s">
        <v>843</v>
      </c>
      <c r="I1749" s="6">
        <v>24.56</v>
      </c>
      <c r="J1749" s="4">
        <v>2</v>
      </c>
      <c r="K1749" s="6">
        <v>6.88</v>
      </c>
    </row>
    <row r="1750" spans="1:11" x14ac:dyDescent="0.3">
      <c r="A1750" s="7">
        <v>41978</v>
      </c>
      <c r="B1750" s="4">
        <f>YEAR(SalesData[[#This Row],[Order Date]])</f>
        <v>2014</v>
      </c>
      <c r="C1750" s="4">
        <f>MONTH(SalesData[[#This Row],[Order Date]])</f>
        <v>12</v>
      </c>
      <c r="D1750" s="3" t="s">
        <v>1748</v>
      </c>
      <c r="E1750" s="3" t="s">
        <v>23</v>
      </c>
      <c r="F1750" s="3" t="s">
        <v>11</v>
      </c>
      <c r="G1750" s="3" t="s">
        <v>63</v>
      </c>
      <c r="H1750" s="3" t="s">
        <v>543</v>
      </c>
      <c r="I1750" s="6">
        <v>348.49</v>
      </c>
      <c r="J1750" s="4">
        <v>7</v>
      </c>
      <c r="K1750" s="6">
        <v>117.61</v>
      </c>
    </row>
    <row r="1751" spans="1:11" x14ac:dyDescent="0.3">
      <c r="A1751" s="7">
        <v>41978</v>
      </c>
      <c r="B1751" s="4">
        <f>YEAR(SalesData[[#This Row],[Order Date]])</f>
        <v>2014</v>
      </c>
      <c r="C1751" s="4">
        <f>MONTH(SalesData[[#This Row],[Order Date]])</f>
        <v>12</v>
      </c>
      <c r="D1751" s="3" t="s">
        <v>1748</v>
      </c>
      <c r="E1751" s="3" t="s">
        <v>23</v>
      </c>
      <c r="F1751" s="3" t="s">
        <v>11</v>
      </c>
      <c r="G1751" s="3" t="s">
        <v>18</v>
      </c>
      <c r="H1751" s="3" t="s">
        <v>236</v>
      </c>
      <c r="I1751" s="6">
        <v>172.74</v>
      </c>
      <c r="J1751" s="4">
        <v>4</v>
      </c>
      <c r="K1751" s="6">
        <v>-30.23</v>
      </c>
    </row>
    <row r="1752" spans="1:11" x14ac:dyDescent="0.3">
      <c r="A1752" s="7">
        <v>41978</v>
      </c>
      <c r="B1752" s="4">
        <f>YEAR(SalesData[[#This Row],[Order Date]])</f>
        <v>2014</v>
      </c>
      <c r="C1752" s="4">
        <f>MONTH(SalesData[[#This Row],[Order Date]])</f>
        <v>12</v>
      </c>
      <c r="D1752" s="3" t="s">
        <v>1287</v>
      </c>
      <c r="E1752" s="3" t="s">
        <v>78</v>
      </c>
      <c r="F1752" s="3" t="s">
        <v>11</v>
      </c>
      <c r="G1752" s="3" t="s">
        <v>12</v>
      </c>
      <c r="H1752" s="3" t="s">
        <v>1601</v>
      </c>
      <c r="I1752" s="6">
        <v>98.38</v>
      </c>
      <c r="J1752" s="4">
        <v>3</v>
      </c>
      <c r="K1752" s="6">
        <v>35.659999999999997</v>
      </c>
    </row>
    <row r="1753" spans="1:11" x14ac:dyDescent="0.3">
      <c r="A1753" s="7">
        <v>41978</v>
      </c>
      <c r="B1753" s="4">
        <f>YEAR(SalesData[[#This Row],[Order Date]])</f>
        <v>2014</v>
      </c>
      <c r="C1753" s="4">
        <f>MONTH(SalesData[[#This Row],[Order Date]])</f>
        <v>12</v>
      </c>
      <c r="D1753" s="3" t="s">
        <v>1287</v>
      </c>
      <c r="E1753" s="3" t="s">
        <v>78</v>
      </c>
      <c r="F1753" s="3" t="s">
        <v>11</v>
      </c>
      <c r="G1753" s="3" t="s">
        <v>20</v>
      </c>
      <c r="H1753" s="3" t="s">
        <v>471</v>
      </c>
      <c r="I1753" s="6">
        <v>29.94</v>
      </c>
      <c r="J1753" s="4">
        <v>4</v>
      </c>
      <c r="K1753" s="6">
        <v>-23.95</v>
      </c>
    </row>
    <row r="1754" spans="1:11" x14ac:dyDescent="0.3">
      <c r="A1754" s="7">
        <v>41978</v>
      </c>
      <c r="B1754" s="4">
        <f>YEAR(SalesData[[#This Row],[Order Date]])</f>
        <v>2014</v>
      </c>
      <c r="C1754" s="4">
        <f>MONTH(SalesData[[#This Row],[Order Date]])</f>
        <v>12</v>
      </c>
      <c r="D1754" s="3" t="s">
        <v>1287</v>
      </c>
      <c r="E1754" s="3" t="s">
        <v>78</v>
      </c>
      <c r="F1754" s="3" t="s">
        <v>11</v>
      </c>
      <c r="G1754" s="3" t="s">
        <v>12</v>
      </c>
      <c r="H1754" s="3" t="s">
        <v>232</v>
      </c>
      <c r="I1754" s="6">
        <v>17.47</v>
      </c>
      <c r="J1754" s="4">
        <v>3</v>
      </c>
      <c r="K1754" s="6">
        <v>5.68</v>
      </c>
    </row>
    <row r="1755" spans="1:11" x14ac:dyDescent="0.3">
      <c r="A1755" s="7">
        <v>41978</v>
      </c>
      <c r="B1755" s="4">
        <f>YEAR(SalesData[[#This Row],[Order Date]])</f>
        <v>2014</v>
      </c>
      <c r="C1755" s="4">
        <f>MONTH(SalesData[[#This Row],[Order Date]])</f>
        <v>12</v>
      </c>
      <c r="D1755" s="3" t="s">
        <v>1287</v>
      </c>
      <c r="E1755" s="3" t="s">
        <v>78</v>
      </c>
      <c r="F1755" s="3" t="s">
        <v>39</v>
      </c>
      <c r="G1755" s="3" t="s">
        <v>40</v>
      </c>
      <c r="H1755" s="3" t="s">
        <v>1749</v>
      </c>
      <c r="I1755" s="6">
        <v>36.74</v>
      </c>
      <c r="J1755" s="4">
        <v>1</v>
      </c>
      <c r="K1755" s="6">
        <v>-9.18</v>
      </c>
    </row>
    <row r="1756" spans="1:11" x14ac:dyDescent="0.3">
      <c r="A1756" s="7">
        <v>41978</v>
      </c>
      <c r="B1756" s="4">
        <f>YEAR(SalesData[[#This Row],[Order Date]])</f>
        <v>2014</v>
      </c>
      <c r="C1756" s="4">
        <f>MONTH(SalesData[[#This Row],[Order Date]])</f>
        <v>12</v>
      </c>
      <c r="D1756" s="3" t="s">
        <v>1287</v>
      </c>
      <c r="E1756" s="3" t="s">
        <v>78</v>
      </c>
      <c r="F1756" s="3" t="s">
        <v>39</v>
      </c>
      <c r="G1756" s="3" t="s">
        <v>40</v>
      </c>
      <c r="H1756" s="3" t="s">
        <v>1750</v>
      </c>
      <c r="I1756" s="6">
        <v>179.94</v>
      </c>
      <c r="J1756" s="4">
        <v>2</v>
      </c>
      <c r="K1756" s="6">
        <v>-44.99</v>
      </c>
    </row>
    <row r="1757" spans="1:11" x14ac:dyDescent="0.3">
      <c r="A1757" s="7">
        <v>41978</v>
      </c>
      <c r="B1757" s="4">
        <f>YEAR(SalesData[[#This Row],[Order Date]])</f>
        <v>2014</v>
      </c>
      <c r="C1757" s="4">
        <f>MONTH(SalesData[[#This Row],[Order Date]])</f>
        <v>12</v>
      </c>
      <c r="D1757" s="3" t="s">
        <v>1751</v>
      </c>
      <c r="E1757" s="3" t="s">
        <v>27</v>
      </c>
      <c r="F1757" s="3" t="s">
        <v>11</v>
      </c>
      <c r="G1757" s="3" t="s">
        <v>24</v>
      </c>
      <c r="H1757" s="3" t="s">
        <v>1252</v>
      </c>
      <c r="I1757" s="6">
        <v>26.46</v>
      </c>
      <c r="J1757" s="4">
        <v>9</v>
      </c>
      <c r="K1757" s="6">
        <v>11.91</v>
      </c>
    </row>
    <row r="1758" spans="1:11" x14ac:dyDescent="0.3">
      <c r="A1758" s="7">
        <v>41978</v>
      </c>
      <c r="B1758" s="4">
        <f>YEAR(SalesData[[#This Row],[Order Date]])</f>
        <v>2014</v>
      </c>
      <c r="C1758" s="4">
        <f>MONTH(SalesData[[#This Row],[Order Date]])</f>
        <v>12</v>
      </c>
      <c r="D1758" s="3" t="s">
        <v>1751</v>
      </c>
      <c r="E1758" s="3" t="s">
        <v>27</v>
      </c>
      <c r="F1758" s="3" t="s">
        <v>11</v>
      </c>
      <c r="G1758" s="3" t="s">
        <v>12</v>
      </c>
      <c r="H1758" s="3" t="s">
        <v>621</v>
      </c>
      <c r="I1758" s="6">
        <v>49.12</v>
      </c>
      <c r="J1758" s="4">
        <v>4</v>
      </c>
      <c r="K1758" s="6">
        <v>23.09</v>
      </c>
    </row>
    <row r="1759" spans="1:11" x14ac:dyDescent="0.3">
      <c r="A1759" s="7">
        <v>41978</v>
      </c>
      <c r="B1759" s="4">
        <f>YEAR(SalesData[[#This Row],[Order Date]])</f>
        <v>2014</v>
      </c>
      <c r="C1759" s="4">
        <f>MONTH(SalesData[[#This Row],[Order Date]])</f>
        <v>12</v>
      </c>
      <c r="D1759" s="3" t="s">
        <v>1751</v>
      </c>
      <c r="E1759" s="3" t="s">
        <v>27</v>
      </c>
      <c r="F1759" s="3" t="s">
        <v>11</v>
      </c>
      <c r="G1759" s="3" t="s">
        <v>43</v>
      </c>
      <c r="H1759" s="3" t="s">
        <v>1247</v>
      </c>
      <c r="I1759" s="6">
        <v>15</v>
      </c>
      <c r="J1759" s="4">
        <v>3</v>
      </c>
      <c r="K1759" s="6">
        <v>7.2</v>
      </c>
    </row>
    <row r="1760" spans="1:11" x14ac:dyDescent="0.3">
      <c r="A1760" s="7">
        <v>41978</v>
      </c>
      <c r="B1760" s="4">
        <f>YEAR(SalesData[[#This Row],[Order Date]])</f>
        <v>2014</v>
      </c>
      <c r="C1760" s="4">
        <f>MONTH(SalesData[[#This Row],[Order Date]])</f>
        <v>12</v>
      </c>
      <c r="D1760" s="3" t="s">
        <v>1752</v>
      </c>
      <c r="E1760" s="3" t="s">
        <v>27</v>
      </c>
      <c r="F1760" s="3" t="s">
        <v>11</v>
      </c>
      <c r="G1760" s="3" t="s">
        <v>92</v>
      </c>
      <c r="H1760" s="3" t="s">
        <v>1278</v>
      </c>
      <c r="I1760" s="6">
        <v>250.26</v>
      </c>
      <c r="J1760" s="4">
        <v>6</v>
      </c>
      <c r="K1760" s="6">
        <v>72.58</v>
      </c>
    </row>
    <row r="1761" spans="1:11" x14ac:dyDescent="0.3">
      <c r="A1761" s="7">
        <v>41979</v>
      </c>
      <c r="B1761" s="4">
        <f>YEAR(SalesData[[#This Row],[Order Date]])</f>
        <v>2014</v>
      </c>
      <c r="C1761" s="4">
        <f>MONTH(SalesData[[#This Row],[Order Date]])</f>
        <v>12</v>
      </c>
      <c r="D1761" s="3" t="s">
        <v>1027</v>
      </c>
      <c r="E1761" s="3" t="s">
        <v>10</v>
      </c>
      <c r="F1761" s="3" t="s">
        <v>34</v>
      </c>
      <c r="G1761" s="3" t="s">
        <v>47</v>
      </c>
      <c r="H1761" s="3" t="s">
        <v>1735</v>
      </c>
      <c r="I1761" s="6">
        <v>23.98</v>
      </c>
      <c r="J1761" s="4">
        <v>3</v>
      </c>
      <c r="K1761" s="6">
        <v>-14.39</v>
      </c>
    </row>
    <row r="1762" spans="1:11" x14ac:dyDescent="0.3">
      <c r="A1762" s="7">
        <v>41979</v>
      </c>
      <c r="B1762" s="4">
        <f>YEAR(SalesData[[#This Row],[Order Date]])</f>
        <v>2014</v>
      </c>
      <c r="C1762" s="4">
        <f>MONTH(SalesData[[#This Row],[Order Date]])</f>
        <v>12</v>
      </c>
      <c r="D1762" s="3" t="s">
        <v>1164</v>
      </c>
      <c r="E1762" s="3" t="s">
        <v>91</v>
      </c>
      <c r="F1762" s="3" t="s">
        <v>11</v>
      </c>
      <c r="G1762" s="3" t="s">
        <v>18</v>
      </c>
      <c r="H1762" s="3" t="s">
        <v>1753</v>
      </c>
      <c r="I1762" s="6">
        <v>53.42</v>
      </c>
      <c r="J1762" s="4">
        <v>3</v>
      </c>
      <c r="K1762" s="6">
        <v>4.67</v>
      </c>
    </row>
    <row r="1763" spans="1:11" x14ac:dyDescent="0.3">
      <c r="A1763" s="7">
        <v>41979</v>
      </c>
      <c r="B1763" s="4">
        <f>YEAR(SalesData[[#This Row],[Order Date]])</f>
        <v>2014</v>
      </c>
      <c r="C1763" s="4">
        <f>MONTH(SalesData[[#This Row],[Order Date]])</f>
        <v>12</v>
      </c>
      <c r="D1763" s="3" t="s">
        <v>1164</v>
      </c>
      <c r="E1763" s="3" t="s">
        <v>91</v>
      </c>
      <c r="F1763" s="3" t="s">
        <v>34</v>
      </c>
      <c r="G1763" s="3" t="s">
        <v>145</v>
      </c>
      <c r="H1763" s="3" t="s">
        <v>783</v>
      </c>
      <c r="I1763" s="6">
        <v>275.49</v>
      </c>
      <c r="J1763" s="4">
        <v>1</v>
      </c>
      <c r="K1763" s="6">
        <v>-170.8</v>
      </c>
    </row>
    <row r="1764" spans="1:11" x14ac:dyDescent="0.3">
      <c r="A1764" s="7">
        <v>41979</v>
      </c>
      <c r="B1764" s="4">
        <f>YEAR(SalesData[[#This Row],[Order Date]])</f>
        <v>2014</v>
      </c>
      <c r="C1764" s="4">
        <f>MONTH(SalesData[[#This Row],[Order Date]])</f>
        <v>12</v>
      </c>
      <c r="D1764" s="3" t="s">
        <v>1051</v>
      </c>
      <c r="E1764" s="3" t="s">
        <v>15</v>
      </c>
      <c r="F1764" s="3" t="s">
        <v>11</v>
      </c>
      <c r="G1764" s="3" t="s">
        <v>92</v>
      </c>
      <c r="H1764" s="3" t="s">
        <v>1754</v>
      </c>
      <c r="I1764" s="6">
        <v>14.02</v>
      </c>
      <c r="J1764" s="4">
        <v>4</v>
      </c>
      <c r="K1764" s="6">
        <v>-31.54</v>
      </c>
    </row>
    <row r="1765" spans="1:11" x14ac:dyDescent="0.3">
      <c r="A1765" s="7">
        <v>41979</v>
      </c>
      <c r="B1765" s="4">
        <f>YEAR(SalesData[[#This Row],[Order Date]])</f>
        <v>2014</v>
      </c>
      <c r="C1765" s="4">
        <f>MONTH(SalesData[[#This Row],[Order Date]])</f>
        <v>12</v>
      </c>
      <c r="D1765" s="3" t="s">
        <v>1051</v>
      </c>
      <c r="E1765" s="3" t="s">
        <v>15</v>
      </c>
      <c r="F1765" s="3" t="s">
        <v>34</v>
      </c>
      <c r="G1765" s="3" t="s">
        <v>145</v>
      </c>
      <c r="H1765" s="3" t="s">
        <v>473</v>
      </c>
      <c r="I1765" s="6">
        <v>214.95</v>
      </c>
      <c r="J1765" s="4">
        <v>5</v>
      </c>
      <c r="K1765" s="6">
        <v>-120.37</v>
      </c>
    </row>
    <row r="1766" spans="1:11" x14ac:dyDescent="0.3">
      <c r="A1766" s="7">
        <v>41979</v>
      </c>
      <c r="B1766" s="4">
        <f>YEAR(SalesData[[#This Row],[Order Date]])</f>
        <v>2014</v>
      </c>
      <c r="C1766" s="4">
        <f>MONTH(SalesData[[#This Row],[Order Date]])</f>
        <v>12</v>
      </c>
      <c r="D1766" s="3" t="s">
        <v>1051</v>
      </c>
      <c r="E1766" s="3" t="s">
        <v>15</v>
      </c>
      <c r="F1766" s="3" t="s">
        <v>39</v>
      </c>
      <c r="G1766" s="3" t="s">
        <v>40</v>
      </c>
      <c r="H1766" s="3" t="s">
        <v>1755</v>
      </c>
      <c r="I1766" s="6">
        <v>35.04</v>
      </c>
      <c r="J1766" s="4">
        <v>4</v>
      </c>
      <c r="K1766" s="6">
        <v>-7.01</v>
      </c>
    </row>
    <row r="1767" spans="1:11" x14ac:dyDescent="0.3">
      <c r="A1767" s="7">
        <v>41979</v>
      </c>
      <c r="B1767" s="4">
        <f>YEAR(SalesData[[#This Row],[Order Date]])</f>
        <v>2014</v>
      </c>
      <c r="C1767" s="4">
        <f>MONTH(SalesData[[#This Row],[Order Date]])</f>
        <v>12</v>
      </c>
      <c r="D1767" s="3" t="s">
        <v>1051</v>
      </c>
      <c r="E1767" s="3" t="s">
        <v>15</v>
      </c>
      <c r="F1767" s="3" t="s">
        <v>34</v>
      </c>
      <c r="G1767" s="3" t="s">
        <v>47</v>
      </c>
      <c r="H1767" s="3" t="s">
        <v>1092</v>
      </c>
      <c r="I1767" s="6">
        <v>10.78</v>
      </c>
      <c r="J1767" s="4">
        <v>3</v>
      </c>
      <c r="K1767" s="6">
        <v>-4.8499999999999996</v>
      </c>
    </row>
    <row r="1768" spans="1:11" x14ac:dyDescent="0.3">
      <c r="A1768" s="7">
        <v>41979</v>
      </c>
      <c r="B1768" s="4">
        <f>YEAR(SalesData[[#This Row],[Order Date]])</f>
        <v>2014</v>
      </c>
      <c r="C1768" s="4">
        <f>MONTH(SalesData[[#This Row],[Order Date]])</f>
        <v>12</v>
      </c>
      <c r="D1768" s="3" t="s">
        <v>1051</v>
      </c>
      <c r="E1768" s="3" t="s">
        <v>15</v>
      </c>
      <c r="F1768" s="3" t="s">
        <v>11</v>
      </c>
      <c r="G1768" s="3" t="s">
        <v>20</v>
      </c>
      <c r="H1768" s="3" t="s">
        <v>1372</v>
      </c>
      <c r="I1768" s="6">
        <v>4.5999999999999996</v>
      </c>
      <c r="J1768" s="4">
        <v>2</v>
      </c>
      <c r="K1768" s="6">
        <v>-8.0500000000000007</v>
      </c>
    </row>
    <row r="1769" spans="1:11" x14ac:dyDescent="0.3">
      <c r="A1769" s="7">
        <v>41979</v>
      </c>
      <c r="B1769" s="4">
        <f>YEAR(SalesData[[#This Row],[Order Date]])</f>
        <v>2014</v>
      </c>
      <c r="C1769" s="4">
        <f>MONTH(SalesData[[#This Row],[Order Date]])</f>
        <v>12</v>
      </c>
      <c r="D1769" s="3" t="s">
        <v>1051</v>
      </c>
      <c r="E1769" s="3" t="s">
        <v>15</v>
      </c>
      <c r="F1769" s="3" t="s">
        <v>11</v>
      </c>
      <c r="G1769" s="3" t="s">
        <v>18</v>
      </c>
      <c r="H1769" s="3" t="s">
        <v>1756</v>
      </c>
      <c r="I1769" s="6">
        <v>35.17</v>
      </c>
      <c r="J1769" s="4">
        <v>2</v>
      </c>
      <c r="K1769" s="6">
        <v>-8.35</v>
      </c>
    </row>
    <row r="1770" spans="1:11" x14ac:dyDescent="0.3">
      <c r="A1770" s="7">
        <v>41979</v>
      </c>
      <c r="B1770" s="4">
        <f>YEAR(SalesData[[#This Row],[Order Date]])</f>
        <v>2014</v>
      </c>
      <c r="C1770" s="4">
        <f>MONTH(SalesData[[#This Row],[Order Date]])</f>
        <v>12</v>
      </c>
      <c r="D1770" s="3" t="s">
        <v>490</v>
      </c>
      <c r="E1770" s="3" t="s">
        <v>27</v>
      </c>
      <c r="F1770" s="3" t="s">
        <v>11</v>
      </c>
      <c r="G1770" s="3" t="s">
        <v>18</v>
      </c>
      <c r="H1770" s="3" t="s">
        <v>1757</v>
      </c>
      <c r="I1770" s="6">
        <v>1261.33</v>
      </c>
      <c r="J1770" s="4">
        <v>7</v>
      </c>
      <c r="K1770" s="6">
        <v>327.95</v>
      </c>
    </row>
    <row r="1771" spans="1:11" x14ac:dyDescent="0.3">
      <c r="A1771" s="7">
        <v>41979</v>
      </c>
      <c r="B1771" s="4">
        <f>YEAR(SalesData[[#This Row],[Order Date]])</f>
        <v>2014</v>
      </c>
      <c r="C1771" s="4">
        <f>MONTH(SalesData[[#This Row],[Order Date]])</f>
        <v>12</v>
      </c>
      <c r="D1771" s="3" t="s">
        <v>1574</v>
      </c>
      <c r="E1771" s="3" t="s">
        <v>120</v>
      </c>
      <c r="F1771" s="3" t="s">
        <v>11</v>
      </c>
      <c r="G1771" s="3" t="s">
        <v>12</v>
      </c>
      <c r="H1771" s="3" t="s">
        <v>335</v>
      </c>
      <c r="I1771" s="6">
        <v>42.21</v>
      </c>
      <c r="J1771" s="4">
        <v>2</v>
      </c>
      <c r="K1771" s="6">
        <v>13.72</v>
      </c>
    </row>
    <row r="1772" spans="1:11" x14ac:dyDescent="0.3">
      <c r="A1772" s="7">
        <v>41980</v>
      </c>
      <c r="B1772" s="4">
        <f>YEAR(SalesData[[#This Row],[Order Date]])</f>
        <v>2014</v>
      </c>
      <c r="C1772" s="4">
        <f>MONTH(SalesData[[#This Row],[Order Date]])</f>
        <v>12</v>
      </c>
      <c r="D1772" s="3" t="s">
        <v>1546</v>
      </c>
      <c r="E1772" s="3" t="s">
        <v>55</v>
      </c>
      <c r="F1772" s="3" t="s">
        <v>11</v>
      </c>
      <c r="G1772" s="3" t="s">
        <v>12</v>
      </c>
      <c r="H1772" s="3" t="s">
        <v>335</v>
      </c>
      <c r="I1772" s="6">
        <v>105.52</v>
      </c>
      <c r="J1772" s="4">
        <v>4</v>
      </c>
      <c r="K1772" s="6">
        <v>48.54</v>
      </c>
    </row>
    <row r="1773" spans="1:11" x14ac:dyDescent="0.3">
      <c r="A1773" s="7">
        <v>41980</v>
      </c>
      <c r="B1773" s="4">
        <f>YEAR(SalesData[[#This Row],[Order Date]])</f>
        <v>2014</v>
      </c>
      <c r="C1773" s="4">
        <f>MONTH(SalesData[[#This Row],[Order Date]])</f>
        <v>12</v>
      </c>
      <c r="D1773" s="3" t="s">
        <v>1758</v>
      </c>
      <c r="E1773" s="3" t="s">
        <v>27</v>
      </c>
      <c r="F1773" s="3" t="s">
        <v>11</v>
      </c>
      <c r="G1773" s="3" t="s">
        <v>24</v>
      </c>
      <c r="H1773" s="3" t="s">
        <v>1000</v>
      </c>
      <c r="I1773" s="6">
        <v>8.64</v>
      </c>
      <c r="J1773" s="4">
        <v>3</v>
      </c>
      <c r="K1773" s="6">
        <v>2.42</v>
      </c>
    </row>
    <row r="1774" spans="1:11" x14ac:dyDescent="0.3">
      <c r="A1774" s="7">
        <v>41980</v>
      </c>
      <c r="B1774" s="4">
        <f>YEAR(SalesData[[#This Row],[Order Date]])</f>
        <v>2014</v>
      </c>
      <c r="C1774" s="4">
        <f>MONTH(SalesData[[#This Row],[Order Date]])</f>
        <v>12</v>
      </c>
      <c r="D1774" s="3" t="s">
        <v>1044</v>
      </c>
      <c r="E1774" s="3" t="s">
        <v>164</v>
      </c>
      <c r="F1774" s="3" t="s">
        <v>11</v>
      </c>
      <c r="G1774" s="3" t="s">
        <v>18</v>
      </c>
      <c r="H1774" s="3" t="s">
        <v>1087</v>
      </c>
      <c r="I1774" s="6">
        <v>269.36</v>
      </c>
      <c r="J1774" s="4">
        <v>7</v>
      </c>
      <c r="K1774" s="6">
        <v>70.03</v>
      </c>
    </row>
    <row r="1775" spans="1:11" x14ac:dyDescent="0.3">
      <c r="A1775" s="7">
        <v>41980</v>
      </c>
      <c r="B1775" s="4">
        <f>YEAR(SalesData[[#This Row],[Order Date]])</f>
        <v>2014</v>
      </c>
      <c r="C1775" s="4">
        <f>MONTH(SalesData[[#This Row],[Order Date]])</f>
        <v>12</v>
      </c>
      <c r="D1775" s="3" t="s">
        <v>665</v>
      </c>
      <c r="E1775" s="3" t="s">
        <v>27</v>
      </c>
      <c r="F1775" s="3" t="s">
        <v>11</v>
      </c>
      <c r="G1775" s="3" t="s">
        <v>12</v>
      </c>
      <c r="H1775" s="3" t="s">
        <v>1759</v>
      </c>
      <c r="I1775" s="6">
        <v>164.88</v>
      </c>
      <c r="J1775" s="4">
        <v>3</v>
      </c>
      <c r="K1775" s="6">
        <v>80.790000000000006</v>
      </c>
    </row>
    <row r="1776" spans="1:11" x14ac:dyDescent="0.3">
      <c r="A1776" s="7">
        <v>41981</v>
      </c>
      <c r="B1776" s="4">
        <f>YEAR(SalesData[[#This Row],[Order Date]])</f>
        <v>2014</v>
      </c>
      <c r="C1776" s="4">
        <f>MONTH(SalesData[[#This Row],[Order Date]])</f>
        <v>12</v>
      </c>
      <c r="D1776" s="3" t="s">
        <v>1760</v>
      </c>
      <c r="E1776" s="3" t="s">
        <v>10</v>
      </c>
      <c r="F1776" s="3" t="s">
        <v>11</v>
      </c>
      <c r="G1776" s="3" t="s">
        <v>18</v>
      </c>
      <c r="H1776" s="3" t="s">
        <v>1761</v>
      </c>
      <c r="I1776" s="6">
        <v>60.42</v>
      </c>
      <c r="J1776" s="4">
        <v>2</v>
      </c>
      <c r="K1776" s="6">
        <v>6.04</v>
      </c>
    </row>
    <row r="1777" spans="1:11" x14ac:dyDescent="0.3">
      <c r="A1777" s="7">
        <v>41981</v>
      </c>
      <c r="B1777" s="4">
        <f>YEAR(SalesData[[#This Row],[Order Date]])</f>
        <v>2014</v>
      </c>
      <c r="C1777" s="4">
        <f>MONTH(SalesData[[#This Row],[Order Date]])</f>
        <v>12</v>
      </c>
      <c r="D1777" s="3" t="s">
        <v>1762</v>
      </c>
      <c r="E1777" s="3" t="s">
        <v>91</v>
      </c>
      <c r="F1777" s="3" t="s">
        <v>11</v>
      </c>
      <c r="G1777" s="3" t="s">
        <v>16</v>
      </c>
      <c r="H1777" s="3" t="s">
        <v>1336</v>
      </c>
      <c r="I1777" s="6">
        <v>27.89</v>
      </c>
      <c r="J1777" s="4">
        <v>7</v>
      </c>
      <c r="K1777" s="6">
        <v>9.06</v>
      </c>
    </row>
    <row r="1778" spans="1:11" x14ac:dyDescent="0.3">
      <c r="A1778" s="7">
        <v>41981</v>
      </c>
      <c r="B1778" s="4">
        <f>YEAR(SalesData[[#This Row],[Order Date]])</f>
        <v>2014</v>
      </c>
      <c r="C1778" s="4">
        <f>MONTH(SalesData[[#This Row],[Order Date]])</f>
        <v>12</v>
      </c>
      <c r="D1778" s="3" t="s">
        <v>1762</v>
      </c>
      <c r="E1778" s="3" t="s">
        <v>91</v>
      </c>
      <c r="F1778" s="3" t="s">
        <v>11</v>
      </c>
      <c r="G1778" s="3" t="s">
        <v>20</v>
      </c>
      <c r="H1778" s="3" t="s">
        <v>1763</v>
      </c>
      <c r="I1778" s="6">
        <v>6.46</v>
      </c>
      <c r="J1778" s="4">
        <v>4</v>
      </c>
      <c r="K1778" s="6">
        <v>-4.5199999999999996</v>
      </c>
    </row>
    <row r="1779" spans="1:11" x14ac:dyDescent="0.3">
      <c r="A1779" s="7">
        <v>41981</v>
      </c>
      <c r="B1779" s="4">
        <f>YEAR(SalesData[[#This Row],[Order Date]])</f>
        <v>2014</v>
      </c>
      <c r="C1779" s="4">
        <f>MONTH(SalesData[[#This Row],[Order Date]])</f>
        <v>12</v>
      </c>
      <c r="D1779" s="3" t="s">
        <v>1762</v>
      </c>
      <c r="E1779" s="3" t="s">
        <v>91</v>
      </c>
      <c r="F1779" s="3" t="s">
        <v>39</v>
      </c>
      <c r="G1779" s="3" t="s">
        <v>40</v>
      </c>
      <c r="H1779" s="3" t="s">
        <v>1764</v>
      </c>
      <c r="I1779" s="6">
        <v>52.68</v>
      </c>
      <c r="J1779" s="4">
        <v>3</v>
      </c>
      <c r="K1779" s="6">
        <v>19.760000000000002</v>
      </c>
    </row>
    <row r="1780" spans="1:11" x14ac:dyDescent="0.3">
      <c r="A1780" s="7">
        <v>41981</v>
      </c>
      <c r="B1780" s="4">
        <f>YEAR(SalesData[[#This Row],[Order Date]])</f>
        <v>2014</v>
      </c>
      <c r="C1780" s="4">
        <f>MONTH(SalesData[[#This Row],[Order Date]])</f>
        <v>12</v>
      </c>
      <c r="D1780" s="3" t="s">
        <v>1762</v>
      </c>
      <c r="E1780" s="3" t="s">
        <v>91</v>
      </c>
      <c r="F1780" s="3" t="s">
        <v>11</v>
      </c>
      <c r="G1780" s="3" t="s">
        <v>200</v>
      </c>
      <c r="H1780" s="3" t="s">
        <v>1119</v>
      </c>
      <c r="I1780" s="6">
        <v>13.88</v>
      </c>
      <c r="J1780" s="4">
        <v>5</v>
      </c>
      <c r="K1780" s="6">
        <v>-2.6</v>
      </c>
    </row>
    <row r="1781" spans="1:11" x14ac:dyDescent="0.3">
      <c r="A1781" s="7">
        <v>41981</v>
      </c>
      <c r="B1781" s="4">
        <f>YEAR(SalesData[[#This Row],[Order Date]])</f>
        <v>2014</v>
      </c>
      <c r="C1781" s="4">
        <f>MONTH(SalesData[[#This Row],[Order Date]])</f>
        <v>12</v>
      </c>
      <c r="D1781" s="3" t="s">
        <v>1762</v>
      </c>
      <c r="E1781" s="3" t="s">
        <v>91</v>
      </c>
      <c r="F1781" s="3" t="s">
        <v>39</v>
      </c>
      <c r="G1781" s="3" t="s">
        <v>52</v>
      </c>
      <c r="H1781" s="3" t="s">
        <v>691</v>
      </c>
      <c r="I1781" s="6">
        <v>103.92</v>
      </c>
      <c r="J1781" s="4">
        <v>10</v>
      </c>
      <c r="K1781" s="6">
        <v>-18.190000000000001</v>
      </c>
    </row>
    <row r="1782" spans="1:11" x14ac:dyDescent="0.3">
      <c r="A1782" s="7">
        <v>41981</v>
      </c>
      <c r="B1782" s="4">
        <f>YEAR(SalesData[[#This Row],[Order Date]])</f>
        <v>2014</v>
      </c>
      <c r="C1782" s="4">
        <f>MONTH(SalesData[[#This Row],[Order Date]])</f>
        <v>12</v>
      </c>
      <c r="D1782" s="3" t="s">
        <v>1762</v>
      </c>
      <c r="E1782" s="3" t="s">
        <v>91</v>
      </c>
      <c r="F1782" s="3" t="s">
        <v>11</v>
      </c>
      <c r="G1782" s="3" t="s">
        <v>16</v>
      </c>
      <c r="H1782" s="3" t="s">
        <v>359</v>
      </c>
      <c r="I1782" s="6">
        <v>11.52</v>
      </c>
      <c r="J1782" s="4">
        <v>5</v>
      </c>
      <c r="K1782" s="6">
        <v>3.74</v>
      </c>
    </row>
    <row r="1783" spans="1:11" x14ac:dyDescent="0.3">
      <c r="A1783" s="7">
        <v>41981</v>
      </c>
      <c r="B1783" s="4">
        <f>YEAR(SalesData[[#This Row],[Order Date]])</f>
        <v>2014</v>
      </c>
      <c r="C1783" s="4">
        <f>MONTH(SalesData[[#This Row],[Order Date]])</f>
        <v>12</v>
      </c>
      <c r="D1783" s="3" t="s">
        <v>1762</v>
      </c>
      <c r="E1783" s="3" t="s">
        <v>91</v>
      </c>
      <c r="F1783" s="3" t="s">
        <v>11</v>
      </c>
      <c r="G1783" s="3" t="s">
        <v>12</v>
      </c>
      <c r="H1783" s="3" t="s">
        <v>549</v>
      </c>
      <c r="I1783" s="6">
        <v>10.37</v>
      </c>
      <c r="J1783" s="4">
        <v>2</v>
      </c>
      <c r="K1783" s="6">
        <v>3.63</v>
      </c>
    </row>
    <row r="1784" spans="1:11" x14ac:dyDescent="0.3">
      <c r="A1784" s="7">
        <v>41981</v>
      </c>
      <c r="B1784" s="4">
        <f>YEAR(SalesData[[#This Row],[Order Date]])</f>
        <v>2014</v>
      </c>
      <c r="C1784" s="4">
        <f>MONTH(SalesData[[#This Row],[Order Date]])</f>
        <v>12</v>
      </c>
      <c r="D1784" s="3" t="s">
        <v>1762</v>
      </c>
      <c r="E1784" s="3" t="s">
        <v>91</v>
      </c>
      <c r="F1784" s="3" t="s">
        <v>11</v>
      </c>
      <c r="G1784" s="3" t="s">
        <v>18</v>
      </c>
      <c r="H1784" s="3" t="s">
        <v>464</v>
      </c>
      <c r="I1784" s="6">
        <v>39.07</v>
      </c>
      <c r="J1784" s="4">
        <v>3</v>
      </c>
      <c r="K1784" s="6">
        <v>2.93</v>
      </c>
    </row>
    <row r="1785" spans="1:11" x14ac:dyDescent="0.3">
      <c r="A1785" s="7">
        <v>41981</v>
      </c>
      <c r="B1785" s="4">
        <f>YEAR(SalesData[[#This Row],[Order Date]])</f>
        <v>2014</v>
      </c>
      <c r="C1785" s="4">
        <f>MONTH(SalesData[[#This Row],[Order Date]])</f>
        <v>12</v>
      </c>
      <c r="D1785" s="3" t="s">
        <v>749</v>
      </c>
      <c r="E1785" s="3" t="s">
        <v>164</v>
      </c>
      <c r="F1785" s="3" t="s">
        <v>11</v>
      </c>
      <c r="G1785" s="3" t="s">
        <v>12</v>
      </c>
      <c r="H1785" s="3" t="s">
        <v>1765</v>
      </c>
      <c r="I1785" s="6">
        <v>45.68</v>
      </c>
      <c r="J1785" s="4">
        <v>2</v>
      </c>
      <c r="K1785" s="6">
        <v>21.01</v>
      </c>
    </row>
    <row r="1786" spans="1:11" x14ac:dyDescent="0.3">
      <c r="A1786" s="7">
        <v>41981</v>
      </c>
      <c r="B1786" s="4">
        <f>YEAR(SalesData[[#This Row],[Order Date]])</f>
        <v>2014</v>
      </c>
      <c r="C1786" s="4">
        <f>MONTH(SalesData[[#This Row],[Order Date]])</f>
        <v>12</v>
      </c>
      <c r="D1786" s="3" t="s">
        <v>749</v>
      </c>
      <c r="E1786" s="3" t="s">
        <v>164</v>
      </c>
      <c r="F1786" s="3" t="s">
        <v>34</v>
      </c>
      <c r="G1786" s="3" t="s">
        <v>35</v>
      </c>
      <c r="H1786" s="3" t="s">
        <v>542</v>
      </c>
      <c r="I1786" s="6">
        <v>603.91999999999996</v>
      </c>
      <c r="J1786" s="4">
        <v>5</v>
      </c>
      <c r="K1786" s="6">
        <v>45.29</v>
      </c>
    </row>
    <row r="1787" spans="1:11" x14ac:dyDescent="0.3">
      <c r="A1787" s="7">
        <v>41981</v>
      </c>
      <c r="B1787" s="4">
        <f>YEAR(SalesData[[#This Row],[Order Date]])</f>
        <v>2014</v>
      </c>
      <c r="C1787" s="4">
        <f>MONTH(SalesData[[#This Row],[Order Date]])</f>
        <v>12</v>
      </c>
      <c r="D1787" s="3" t="s">
        <v>1766</v>
      </c>
      <c r="E1787" s="3" t="s">
        <v>27</v>
      </c>
      <c r="F1787" s="3" t="s">
        <v>34</v>
      </c>
      <c r="G1787" s="3" t="s">
        <v>47</v>
      </c>
      <c r="H1787" s="3" t="s">
        <v>1586</v>
      </c>
      <c r="I1787" s="6">
        <v>39.880000000000003</v>
      </c>
      <c r="J1787" s="4">
        <v>2</v>
      </c>
      <c r="K1787" s="6">
        <v>11.17</v>
      </c>
    </row>
    <row r="1788" spans="1:11" x14ac:dyDescent="0.3">
      <c r="A1788" s="7">
        <v>41981</v>
      </c>
      <c r="B1788" s="4">
        <f>YEAR(SalesData[[#This Row],[Order Date]])</f>
        <v>2014</v>
      </c>
      <c r="C1788" s="4">
        <f>MONTH(SalesData[[#This Row],[Order Date]])</f>
        <v>12</v>
      </c>
      <c r="D1788" s="3" t="s">
        <v>1766</v>
      </c>
      <c r="E1788" s="3" t="s">
        <v>27</v>
      </c>
      <c r="F1788" s="3" t="s">
        <v>34</v>
      </c>
      <c r="G1788" s="3" t="s">
        <v>47</v>
      </c>
      <c r="H1788" s="3" t="s">
        <v>1216</v>
      </c>
      <c r="I1788" s="6">
        <v>79.44</v>
      </c>
      <c r="J1788" s="4">
        <v>3</v>
      </c>
      <c r="K1788" s="6">
        <v>28.6</v>
      </c>
    </row>
    <row r="1789" spans="1:11" x14ac:dyDescent="0.3">
      <c r="A1789" s="7">
        <v>41982</v>
      </c>
      <c r="B1789" s="4">
        <f>YEAR(SalesData[[#This Row],[Order Date]])</f>
        <v>2014</v>
      </c>
      <c r="C1789" s="4">
        <f>MONTH(SalesData[[#This Row],[Order Date]])</f>
        <v>12</v>
      </c>
      <c r="D1789" s="3" t="s">
        <v>176</v>
      </c>
      <c r="E1789" s="3" t="s">
        <v>27</v>
      </c>
      <c r="F1789" s="3" t="s">
        <v>11</v>
      </c>
      <c r="G1789" s="3" t="s">
        <v>12</v>
      </c>
      <c r="H1789" s="3" t="s">
        <v>1767</v>
      </c>
      <c r="I1789" s="6">
        <v>34.68</v>
      </c>
      <c r="J1789" s="4">
        <v>6</v>
      </c>
      <c r="K1789" s="6">
        <v>16.989999999999998</v>
      </c>
    </row>
    <row r="1790" spans="1:11" x14ac:dyDescent="0.3">
      <c r="A1790" s="7">
        <v>41982</v>
      </c>
      <c r="B1790" s="4">
        <f>YEAR(SalesData[[#This Row],[Order Date]])</f>
        <v>2014</v>
      </c>
      <c r="C1790" s="4">
        <f>MONTH(SalesData[[#This Row],[Order Date]])</f>
        <v>12</v>
      </c>
      <c r="D1790" s="3" t="s">
        <v>1414</v>
      </c>
      <c r="E1790" s="3" t="s">
        <v>95</v>
      </c>
      <c r="F1790" s="3" t="s">
        <v>11</v>
      </c>
      <c r="G1790" s="3" t="s">
        <v>18</v>
      </c>
      <c r="H1790" s="3" t="s">
        <v>1592</v>
      </c>
      <c r="I1790" s="6">
        <v>100.7</v>
      </c>
      <c r="J1790" s="4">
        <v>6</v>
      </c>
      <c r="K1790" s="6">
        <v>-1.26</v>
      </c>
    </row>
    <row r="1791" spans="1:11" x14ac:dyDescent="0.3">
      <c r="A1791" s="7">
        <v>41982</v>
      </c>
      <c r="B1791" s="4">
        <f>YEAR(SalesData[[#This Row],[Order Date]])</f>
        <v>2014</v>
      </c>
      <c r="C1791" s="4">
        <f>MONTH(SalesData[[#This Row],[Order Date]])</f>
        <v>12</v>
      </c>
      <c r="D1791" s="3" t="s">
        <v>1214</v>
      </c>
      <c r="E1791" s="3" t="s">
        <v>10</v>
      </c>
      <c r="F1791" s="3" t="s">
        <v>11</v>
      </c>
      <c r="G1791" s="3" t="s">
        <v>12</v>
      </c>
      <c r="H1791" s="3" t="s">
        <v>127</v>
      </c>
      <c r="I1791" s="6">
        <v>10.69</v>
      </c>
      <c r="J1791" s="4">
        <v>2</v>
      </c>
      <c r="K1791" s="6">
        <v>3.74</v>
      </c>
    </row>
    <row r="1792" spans="1:11" x14ac:dyDescent="0.3">
      <c r="A1792" s="7">
        <v>41982</v>
      </c>
      <c r="B1792" s="4">
        <f>YEAR(SalesData[[#This Row],[Order Date]])</f>
        <v>2014</v>
      </c>
      <c r="C1792" s="4">
        <f>MONTH(SalesData[[#This Row],[Order Date]])</f>
        <v>12</v>
      </c>
      <c r="D1792" s="3" t="s">
        <v>1214</v>
      </c>
      <c r="E1792" s="3" t="s">
        <v>10</v>
      </c>
      <c r="F1792" s="3" t="s">
        <v>11</v>
      </c>
      <c r="G1792" s="3" t="s">
        <v>18</v>
      </c>
      <c r="H1792" s="3" t="s">
        <v>1689</v>
      </c>
      <c r="I1792" s="6">
        <v>237.1</v>
      </c>
      <c r="J1792" s="4">
        <v>3</v>
      </c>
      <c r="K1792" s="6">
        <v>20.75</v>
      </c>
    </row>
    <row r="1793" spans="1:11" x14ac:dyDescent="0.3">
      <c r="A1793" s="7">
        <v>41982</v>
      </c>
      <c r="B1793" s="4">
        <f>YEAR(SalesData[[#This Row],[Order Date]])</f>
        <v>2014</v>
      </c>
      <c r="C1793" s="4">
        <f>MONTH(SalesData[[#This Row],[Order Date]])</f>
        <v>12</v>
      </c>
      <c r="D1793" s="3" t="s">
        <v>355</v>
      </c>
      <c r="E1793" s="3" t="s">
        <v>15</v>
      </c>
      <c r="F1793" s="3" t="s">
        <v>11</v>
      </c>
      <c r="G1793" s="3" t="s">
        <v>12</v>
      </c>
      <c r="H1793" s="3" t="s">
        <v>1768</v>
      </c>
      <c r="I1793" s="6">
        <v>8.4499999999999993</v>
      </c>
      <c r="J1793" s="4">
        <v>2</v>
      </c>
      <c r="K1793" s="6">
        <v>2.96</v>
      </c>
    </row>
    <row r="1794" spans="1:11" x14ac:dyDescent="0.3">
      <c r="A1794" s="7">
        <v>41982</v>
      </c>
      <c r="B1794" s="4">
        <f>YEAR(SalesData[[#This Row],[Order Date]])</f>
        <v>2014</v>
      </c>
      <c r="C1794" s="4">
        <f>MONTH(SalesData[[#This Row],[Order Date]])</f>
        <v>12</v>
      </c>
      <c r="D1794" s="3" t="s">
        <v>355</v>
      </c>
      <c r="E1794" s="3" t="s">
        <v>15</v>
      </c>
      <c r="F1794" s="3" t="s">
        <v>11</v>
      </c>
      <c r="G1794" s="3" t="s">
        <v>92</v>
      </c>
      <c r="H1794" s="3" t="s">
        <v>1125</v>
      </c>
      <c r="I1794" s="6">
        <v>20.39</v>
      </c>
      <c r="J1794" s="4">
        <v>2</v>
      </c>
      <c r="K1794" s="6">
        <v>-53.01</v>
      </c>
    </row>
    <row r="1795" spans="1:11" x14ac:dyDescent="0.3">
      <c r="A1795" s="7">
        <v>41982</v>
      </c>
      <c r="B1795" s="4">
        <f>YEAR(SalesData[[#This Row],[Order Date]])</f>
        <v>2014</v>
      </c>
      <c r="C1795" s="4">
        <f>MONTH(SalesData[[#This Row],[Order Date]])</f>
        <v>12</v>
      </c>
      <c r="D1795" s="3" t="s">
        <v>1758</v>
      </c>
      <c r="E1795" s="3" t="s">
        <v>23</v>
      </c>
      <c r="F1795" s="3" t="s">
        <v>11</v>
      </c>
      <c r="G1795" s="3" t="s">
        <v>63</v>
      </c>
      <c r="H1795" s="3" t="s">
        <v>1091</v>
      </c>
      <c r="I1795" s="6">
        <v>30.67</v>
      </c>
      <c r="J1795" s="4">
        <v>3</v>
      </c>
      <c r="K1795" s="6">
        <v>9.59</v>
      </c>
    </row>
    <row r="1796" spans="1:11" x14ac:dyDescent="0.3">
      <c r="A1796" s="7">
        <v>41982</v>
      </c>
      <c r="B1796" s="4">
        <f>YEAR(SalesData[[#This Row],[Order Date]])</f>
        <v>2014</v>
      </c>
      <c r="C1796" s="4">
        <f>MONTH(SalesData[[#This Row],[Order Date]])</f>
        <v>12</v>
      </c>
      <c r="D1796" s="3" t="s">
        <v>1758</v>
      </c>
      <c r="E1796" s="3" t="s">
        <v>23</v>
      </c>
      <c r="F1796" s="3" t="s">
        <v>39</v>
      </c>
      <c r="G1796" s="3" t="s">
        <v>603</v>
      </c>
      <c r="H1796" s="3" t="s">
        <v>1769</v>
      </c>
      <c r="I1796" s="6">
        <v>1079.98</v>
      </c>
      <c r="J1796" s="4">
        <v>4</v>
      </c>
      <c r="K1796" s="6">
        <v>126</v>
      </c>
    </row>
    <row r="1797" spans="1:11" x14ac:dyDescent="0.3">
      <c r="A1797" s="7">
        <v>41983</v>
      </c>
      <c r="B1797" s="4">
        <f>YEAR(SalesData[[#This Row],[Order Date]])</f>
        <v>2014</v>
      </c>
      <c r="C1797" s="4">
        <f>MONTH(SalesData[[#This Row],[Order Date]])</f>
        <v>12</v>
      </c>
      <c r="D1797" s="3" t="s">
        <v>1684</v>
      </c>
      <c r="E1797" s="3" t="s">
        <v>149</v>
      </c>
      <c r="F1797" s="3" t="s">
        <v>11</v>
      </c>
      <c r="G1797" s="3" t="s">
        <v>12</v>
      </c>
      <c r="H1797" s="3" t="s">
        <v>1621</v>
      </c>
      <c r="I1797" s="6">
        <v>11.36</v>
      </c>
      <c r="J1797" s="4">
        <v>2</v>
      </c>
      <c r="K1797" s="6">
        <v>5.23</v>
      </c>
    </row>
    <row r="1798" spans="1:11" x14ac:dyDescent="0.3">
      <c r="A1798" s="7">
        <v>41983</v>
      </c>
      <c r="B1798" s="4">
        <f>YEAR(SalesData[[#This Row],[Order Date]])</f>
        <v>2014</v>
      </c>
      <c r="C1798" s="4">
        <f>MONTH(SalesData[[#This Row],[Order Date]])</f>
        <v>12</v>
      </c>
      <c r="D1798" s="3" t="s">
        <v>1684</v>
      </c>
      <c r="E1798" s="3" t="s">
        <v>149</v>
      </c>
      <c r="F1798" s="3" t="s">
        <v>11</v>
      </c>
      <c r="G1798" s="3" t="s">
        <v>20</v>
      </c>
      <c r="H1798" s="3" t="s">
        <v>1770</v>
      </c>
      <c r="I1798" s="6">
        <v>106.34</v>
      </c>
      <c r="J1798" s="4">
        <v>7</v>
      </c>
      <c r="K1798" s="6">
        <v>37.22</v>
      </c>
    </row>
    <row r="1799" spans="1:11" x14ac:dyDescent="0.3">
      <c r="A1799" s="7">
        <v>41983</v>
      </c>
      <c r="B1799" s="4">
        <f>YEAR(SalesData[[#This Row],[Order Date]])</f>
        <v>2014</v>
      </c>
      <c r="C1799" s="4">
        <f>MONTH(SalesData[[#This Row],[Order Date]])</f>
        <v>12</v>
      </c>
      <c r="D1799" s="3" t="s">
        <v>1771</v>
      </c>
      <c r="E1799" s="3" t="s">
        <v>510</v>
      </c>
      <c r="F1799" s="3" t="s">
        <v>34</v>
      </c>
      <c r="G1799" s="3" t="s">
        <v>35</v>
      </c>
      <c r="H1799" s="3" t="s">
        <v>1772</v>
      </c>
      <c r="I1799" s="6">
        <v>338.35</v>
      </c>
      <c r="J1799" s="4">
        <v>3</v>
      </c>
      <c r="K1799" s="6">
        <v>4.2300000000000004</v>
      </c>
    </row>
    <row r="1800" spans="1:11" x14ac:dyDescent="0.3">
      <c r="A1800" s="7">
        <v>41983</v>
      </c>
      <c r="B1800" s="4">
        <f>YEAR(SalesData[[#This Row],[Order Date]])</f>
        <v>2014</v>
      </c>
      <c r="C1800" s="4">
        <f>MONTH(SalesData[[#This Row],[Order Date]])</f>
        <v>12</v>
      </c>
      <c r="D1800" s="3" t="s">
        <v>1771</v>
      </c>
      <c r="E1800" s="3" t="s">
        <v>510</v>
      </c>
      <c r="F1800" s="3" t="s">
        <v>11</v>
      </c>
      <c r="G1800" s="3" t="s">
        <v>12</v>
      </c>
      <c r="H1800" s="3" t="s">
        <v>1157</v>
      </c>
      <c r="I1800" s="6">
        <v>25.92</v>
      </c>
      <c r="J1800" s="4">
        <v>4</v>
      </c>
      <c r="K1800" s="6">
        <v>12.44</v>
      </c>
    </row>
    <row r="1801" spans="1:11" x14ac:dyDescent="0.3">
      <c r="A1801" s="7">
        <v>41983</v>
      </c>
      <c r="B1801" s="4">
        <f>YEAR(SalesData[[#This Row],[Order Date]])</f>
        <v>2014</v>
      </c>
      <c r="C1801" s="4">
        <f>MONTH(SalesData[[#This Row],[Order Date]])</f>
        <v>12</v>
      </c>
      <c r="D1801" s="3" t="s">
        <v>1771</v>
      </c>
      <c r="E1801" s="3" t="s">
        <v>510</v>
      </c>
      <c r="F1801" s="3" t="s">
        <v>11</v>
      </c>
      <c r="G1801" s="3" t="s">
        <v>12</v>
      </c>
      <c r="H1801" s="3" t="s">
        <v>1773</v>
      </c>
      <c r="I1801" s="6">
        <v>91.36</v>
      </c>
      <c r="J1801" s="4">
        <v>4</v>
      </c>
      <c r="K1801" s="6">
        <v>42.03</v>
      </c>
    </row>
    <row r="1802" spans="1:11" x14ac:dyDescent="0.3">
      <c r="A1802" s="7">
        <v>41985</v>
      </c>
      <c r="B1802" s="4">
        <f>YEAR(SalesData[[#This Row],[Order Date]])</f>
        <v>2014</v>
      </c>
      <c r="C1802" s="4">
        <f>MONTH(SalesData[[#This Row],[Order Date]])</f>
        <v>12</v>
      </c>
      <c r="D1802" s="3" t="s">
        <v>1211</v>
      </c>
      <c r="E1802" s="3" t="s">
        <v>27</v>
      </c>
      <c r="F1802" s="3" t="s">
        <v>34</v>
      </c>
      <c r="G1802" s="3" t="s">
        <v>145</v>
      </c>
      <c r="H1802" s="3" t="s">
        <v>1774</v>
      </c>
      <c r="I1802" s="6">
        <v>764.69</v>
      </c>
      <c r="J1802" s="4">
        <v>6</v>
      </c>
      <c r="K1802" s="6">
        <v>95.59</v>
      </c>
    </row>
    <row r="1803" spans="1:11" x14ac:dyDescent="0.3">
      <c r="A1803" s="7">
        <v>41985</v>
      </c>
      <c r="B1803" s="4">
        <f>YEAR(SalesData[[#This Row],[Order Date]])</f>
        <v>2014</v>
      </c>
      <c r="C1803" s="4">
        <f>MONTH(SalesData[[#This Row],[Order Date]])</f>
        <v>12</v>
      </c>
      <c r="D1803" s="3" t="s">
        <v>1211</v>
      </c>
      <c r="E1803" s="3" t="s">
        <v>27</v>
      </c>
      <c r="F1803" s="3" t="s">
        <v>34</v>
      </c>
      <c r="G1803" s="3" t="s">
        <v>145</v>
      </c>
      <c r="H1803" s="3" t="s">
        <v>320</v>
      </c>
      <c r="I1803" s="6">
        <v>3610.85</v>
      </c>
      <c r="J1803" s="4">
        <v>12</v>
      </c>
      <c r="K1803" s="6">
        <v>135.41</v>
      </c>
    </row>
    <row r="1804" spans="1:11" x14ac:dyDescent="0.3">
      <c r="A1804" s="7">
        <v>41985</v>
      </c>
      <c r="B1804" s="4">
        <f>YEAR(SalesData[[#This Row],[Order Date]])</f>
        <v>2014</v>
      </c>
      <c r="C1804" s="4">
        <f>MONTH(SalesData[[#This Row],[Order Date]])</f>
        <v>12</v>
      </c>
      <c r="D1804" s="3" t="s">
        <v>1211</v>
      </c>
      <c r="E1804" s="3" t="s">
        <v>27</v>
      </c>
      <c r="F1804" s="3" t="s">
        <v>34</v>
      </c>
      <c r="G1804" s="3" t="s">
        <v>74</v>
      </c>
      <c r="H1804" s="3" t="s">
        <v>644</v>
      </c>
      <c r="I1804" s="6">
        <v>254.97</v>
      </c>
      <c r="J1804" s="4">
        <v>3</v>
      </c>
      <c r="K1804" s="6">
        <v>12</v>
      </c>
    </row>
    <row r="1805" spans="1:11" x14ac:dyDescent="0.3">
      <c r="A1805" s="7">
        <v>41985</v>
      </c>
      <c r="B1805" s="4">
        <f>YEAR(SalesData[[#This Row],[Order Date]])</f>
        <v>2014</v>
      </c>
      <c r="C1805" s="4">
        <f>MONTH(SalesData[[#This Row],[Order Date]])</f>
        <v>12</v>
      </c>
      <c r="D1805" s="3" t="s">
        <v>1563</v>
      </c>
      <c r="E1805" s="3" t="s">
        <v>27</v>
      </c>
      <c r="F1805" s="3" t="s">
        <v>34</v>
      </c>
      <c r="G1805" s="3" t="s">
        <v>47</v>
      </c>
      <c r="H1805" s="3" t="s">
        <v>1775</v>
      </c>
      <c r="I1805" s="6">
        <v>43.31</v>
      </c>
      <c r="J1805" s="4">
        <v>1</v>
      </c>
      <c r="K1805" s="6">
        <v>4.33</v>
      </c>
    </row>
    <row r="1806" spans="1:11" x14ac:dyDescent="0.3">
      <c r="A1806" s="7">
        <v>41985</v>
      </c>
      <c r="B1806" s="4">
        <f>YEAR(SalesData[[#This Row],[Order Date]])</f>
        <v>2014</v>
      </c>
      <c r="C1806" s="4">
        <f>MONTH(SalesData[[#This Row],[Order Date]])</f>
        <v>12</v>
      </c>
      <c r="D1806" s="3" t="s">
        <v>1776</v>
      </c>
      <c r="E1806" s="3" t="s">
        <v>10</v>
      </c>
      <c r="F1806" s="3" t="s">
        <v>11</v>
      </c>
      <c r="G1806" s="3" t="s">
        <v>20</v>
      </c>
      <c r="H1806" s="3" t="s">
        <v>1777</v>
      </c>
      <c r="I1806" s="6">
        <v>210.39</v>
      </c>
      <c r="J1806" s="4">
        <v>2</v>
      </c>
      <c r="K1806" s="6">
        <v>-336.63</v>
      </c>
    </row>
    <row r="1807" spans="1:11" x14ac:dyDescent="0.3">
      <c r="A1807" s="7">
        <v>41985</v>
      </c>
      <c r="B1807" s="4">
        <f>YEAR(SalesData[[#This Row],[Order Date]])</f>
        <v>2014</v>
      </c>
      <c r="C1807" s="4">
        <f>MONTH(SalesData[[#This Row],[Order Date]])</f>
        <v>12</v>
      </c>
      <c r="D1807" s="3" t="s">
        <v>1778</v>
      </c>
      <c r="E1807" s="3" t="s">
        <v>27</v>
      </c>
      <c r="F1807" s="3" t="s">
        <v>34</v>
      </c>
      <c r="G1807" s="3" t="s">
        <v>47</v>
      </c>
      <c r="H1807" s="3" t="s">
        <v>1779</v>
      </c>
      <c r="I1807" s="6">
        <v>12.54</v>
      </c>
      <c r="J1807" s="4">
        <v>3</v>
      </c>
      <c r="K1807" s="6">
        <v>4.51</v>
      </c>
    </row>
    <row r="1808" spans="1:11" x14ac:dyDescent="0.3">
      <c r="A1808" s="7">
        <v>41985</v>
      </c>
      <c r="B1808" s="4">
        <f>YEAR(SalesData[[#This Row],[Order Date]])</f>
        <v>2014</v>
      </c>
      <c r="C1808" s="4">
        <f>MONTH(SalesData[[#This Row],[Order Date]])</f>
        <v>12</v>
      </c>
      <c r="D1808" s="3" t="s">
        <v>1778</v>
      </c>
      <c r="E1808" s="3" t="s">
        <v>27</v>
      </c>
      <c r="F1808" s="3" t="s">
        <v>11</v>
      </c>
      <c r="G1808" s="3" t="s">
        <v>18</v>
      </c>
      <c r="H1808" s="3" t="s">
        <v>1780</v>
      </c>
      <c r="I1808" s="6">
        <v>8.94</v>
      </c>
      <c r="J1808" s="4">
        <v>3</v>
      </c>
      <c r="K1808" s="6">
        <v>0.63</v>
      </c>
    </row>
    <row r="1809" spans="1:11" x14ac:dyDescent="0.3">
      <c r="A1809" s="7">
        <v>41985</v>
      </c>
      <c r="B1809" s="4">
        <f>YEAR(SalesData[[#This Row],[Order Date]])</f>
        <v>2014</v>
      </c>
      <c r="C1809" s="4">
        <f>MONTH(SalesData[[#This Row],[Order Date]])</f>
        <v>12</v>
      </c>
      <c r="D1809" s="3" t="s">
        <v>1778</v>
      </c>
      <c r="E1809" s="3" t="s">
        <v>27</v>
      </c>
      <c r="F1809" s="3" t="s">
        <v>34</v>
      </c>
      <c r="G1809" s="3" t="s">
        <v>47</v>
      </c>
      <c r="H1809" s="3" t="s">
        <v>1404</v>
      </c>
      <c r="I1809" s="6">
        <v>9.24</v>
      </c>
      <c r="J1809" s="4">
        <v>3</v>
      </c>
      <c r="K1809" s="6">
        <v>4.4400000000000004</v>
      </c>
    </row>
    <row r="1810" spans="1:11" x14ac:dyDescent="0.3">
      <c r="A1810" s="7">
        <v>41985</v>
      </c>
      <c r="B1810" s="4">
        <f>YEAR(SalesData[[#This Row],[Order Date]])</f>
        <v>2014</v>
      </c>
      <c r="C1810" s="4">
        <f>MONTH(SalesData[[#This Row],[Order Date]])</f>
        <v>12</v>
      </c>
      <c r="D1810" s="3" t="s">
        <v>953</v>
      </c>
      <c r="E1810" s="3" t="s">
        <v>123</v>
      </c>
      <c r="F1810" s="3" t="s">
        <v>11</v>
      </c>
      <c r="G1810" s="3" t="s">
        <v>63</v>
      </c>
      <c r="H1810" s="3" t="s">
        <v>64</v>
      </c>
      <c r="I1810" s="6">
        <v>23.47</v>
      </c>
      <c r="J1810" s="4">
        <v>3</v>
      </c>
      <c r="K1810" s="6">
        <v>7.63</v>
      </c>
    </row>
    <row r="1811" spans="1:11" x14ac:dyDescent="0.3">
      <c r="A1811" s="7">
        <v>41986</v>
      </c>
      <c r="B1811" s="4">
        <f>YEAR(SalesData[[#This Row],[Order Date]])</f>
        <v>2014</v>
      </c>
      <c r="C1811" s="4">
        <f>MONTH(SalesData[[#This Row],[Order Date]])</f>
        <v>12</v>
      </c>
      <c r="D1811" s="3" t="s">
        <v>1207</v>
      </c>
      <c r="E1811" s="3" t="s">
        <v>27</v>
      </c>
      <c r="F1811" s="3" t="s">
        <v>11</v>
      </c>
      <c r="G1811" s="3" t="s">
        <v>12</v>
      </c>
      <c r="H1811" s="3" t="s">
        <v>1395</v>
      </c>
      <c r="I1811" s="6">
        <v>90.24</v>
      </c>
      <c r="J1811" s="4">
        <v>6</v>
      </c>
      <c r="K1811" s="6">
        <v>41.51</v>
      </c>
    </row>
    <row r="1812" spans="1:11" x14ac:dyDescent="0.3">
      <c r="A1812" s="7">
        <v>41986</v>
      </c>
      <c r="B1812" s="4">
        <f>YEAR(SalesData[[#This Row],[Order Date]])</f>
        <v>2014</v>
      </c>
      <c r="C1812" s="4">
        <f>MONTH(SalesData[[#This Row],[Order Date]])</f>
        <v>12</v>
      </c>
      <c r="D1812" s="3" t="s">
        <v>1781</v>
      </c>
      <c r="E1812" s="3" t="s">
        <v>10</v>
      </c>
      <c r="F1812" s="3" t="s">
        <v>11</v>
      </c>
      <c r="G1812" s="3" t="s">
        <v>200</v>
      </c>
      <c r="H1812" s="3" t="s">
        <v>1292</v>
      </c>
      <c r="I1812" s="6">
        <v>2.92</v>
      </c>
      <c r="J1812" s="4">
        <v>1</v>
      </c>
      <c r="K1812" s="6">
        <v>0.37</v>
      </c>
    </row>
    <row r="1813" spans="1:11" x14ac:dyDescent="0.3">
      <c r="A1813" s="7">
        <v>41986</v>
      </c>
      <c r="B1813" s="4">
        <f>YEAR(SalesData[[#This Row],[Order Date]])</f>
        <v>2014</v>
      </c>
      <c r="C1813" s="4">
        <f>MONTH(SalesData[[#This Row],[Order Date]])</f>
        <v>12</v>
      </c>
      <c r="D1813" s="3" t="s">
        <v>738</v>
      </c>
      <c r="E1813" s="3" t="s">
        <v>15</v>
      </c>
      <c r="F1813" s="3" t="s">
        <v>34</v>
      </c>
      <c r="G1813" s="3" t="s">
        <v>47</v>
      </c>
      <c r="H1813" s="3" t="s">
        <v>1782</v>
      </c>
      <c r="I1813" s="6">
        <v>94.43</v>
      </c>
      <c r="J1813" s="4">
        <v>3</v>
      </c>
      <c r="K1813" s="6">
        <v>-42.49</v>
      </c>
    </row>
    <row r="1814" spans="1:11" x14ac:dyDescent="0.3">
      <c r="A1814" s="7">
        <v>41986</v>
      </c>
      <c r="B1814" s="4">
        <f>YEAR(SalesData[[#This Row],[Order Date]])</f>
        <v>2014</v>
      </c>
      <c r="C1814" s="4">
        <f>MONTH(SalesData[[#This Row],[Order Date]])</f>
        <v>12</v>
      </c>
      <c r="D1814" s="3" t="s">
        <v>684</v>
      </c>
      <c r="E1814" s="3" t="s">
        <v>95</v>
      </c>
      <c r="F1814" s="3" t="s">
        <v>34</v>
      </c>
      <c r="G1814" s="3" t="s">
        <v>47</v>
      </c>
      <c r="H1814" s="3" t="s">
        <v>716</v>
      </c>
      <c r="I1814" s="6">
        <v>87.96</v>
      </c>
      <c r="J1814" s="4">
        <v>3</v>
      </c>
      <c r="K1814" s="6">
        <v>7.7</v>
      </c>
    </row>
    <row r="1815" spans="1:11" x14ac:dyDescent="0.3">
      <c r="A1815" s="7">
        <v>41986</v>
      </c>
      <c r="B1815" s="4">
        <f>YEAR(SalesData[[#This Row],[Order Date]])</f>
        <v>2014</v>
      </c>
      <c r="C1815" s="4">
        <f>MONTH(SalesData[[#This Row],[Order Date]])</f>
        <v>12</v>
      </c>
      <c r="D1815" s="3" t="s">
        <v>684</v>
      </c>
      <c r="E1815" s="3" t="s">
        <v>95</v>
      </c>
      <c r="F1815" s="3" t="s">
        <v>11</v>
      </c>
      <c r="G1815" s="3" t="s">
        <v>20</v>
      </c>
      <c r="H1815" s="3" t="s">
        <v>966</v>
      </c>
      <c r="I1815" s="6">
        <v>5.21</v>
      </c>
      <c r="J1815" s="4">
        <v>2</v>
      </c>
      <c r="K1815" s="6">
        <v>-4.17</v>
      </c>
    </row>
    <row r="1816" spans="1:11" x14ac:dyDescent="0.3">
      <c r="A1816" s="7">
        <v>41986</v>
      </c>
      <c r="B1816" s="4">
        <f>YEAR(SalesData[[#This Row],[Order Date]])</f>
        <v>2014</v>
      </c>
      <c r="C1816" s="4">
        <f>MONTH(SalesData[[#This Row],[Order Date]])</f>
        <v>12</v>
      </c>
      <c r="D1816" s="3" t="s">
        <v>1783</v>
      </c>
      <c r="E1816" s="3" t="s">
        <v>33</v>
      </c>
      <c r="F1816" s="3" t="s">
        <v>11</v>
      </c>
      <c r="G1816" s="3" t="s">
        <v>20</v>
      </c>
      <c r="H1816" s="3" t="s">
        <v>559</v>
      </c>
      <c r="I1816" s="6">
        <v>12.39</v>
      </c>
      <c r="J1816" s="4">
        <v>3</v>
      </c>
      <c r="K1816" s="6">
        <v>5.82</v>
      </c>
    </row>
    <row r="1817" spans="1:11" x14ac:dyDescent="0.3">
      <c r="A1817" s="7">
        <v>41987</v>
      </c>
      <c r="B1817" s="4">
        <f>YEAR(SalesData[[#This Row],[Order Date]])</f>
        <v>2014</v>
      </c>
      <c r="C1817" s="4">
        <f>MONTH(SalesData[[#This Row],[Order Date]])</f>
        <v>12</v>
      </c>
      <c r="D1817" s="3" t="s">
        <v>1433</v>
      </c>
      <c r="E1817" s="3" t="s">
        <v>15</v>
      </c>
      <c r="F1817" s="3" t="s">
        <v>11</v>
      </c>
      <c r="G1817" s="3" t="s">
        <v>20</v>
      </c>
      <c r="H1817" s="3" t="s">
        <v>682</v>
      </c>
      <c r="I1817" s="6">
        <v>5.0999999999999996</v>
      </c>
      <c r="J1817" s="4">
        <v>4</v>
      </c>
      <c r="K1817" s="6">
        <v>-8.68</v>
      </c>
    </row>
    <row r="1818" spans="1:11" x14ac:dyDescent="0.3">
      <c r="A1818" s="7">
        <v>41987</v>
      </c>
      <c r="B1818" s="4">
        <f>YEAR(SalesData[[#This Row],[Order Date]])</f>
        <v>2014</v>
      </c>
      <c r="C1818" s="4">
        <f>MONTH(SalesData[[#This Row],[Order Date]])</f>
        <v>12</v>
      </c>
      <c r="D1818" s="3" t="s">
        <v>1433</v>
      </c>
      <c r="E1818" s="3" t="s">
        <v>15</v>
      </c>
      <c r="F1818" s="3" t="s">
        <v>11</v>
      </c>
      <c r="G1818" s="3" t="s">
        <v>43</v>
      </c>
      <c r="H1818" s="3" t="s">
        <v>1784</v>
      </c>
      <c r="I1818" s="6">
        <v>2.9</v>
      </c>
      <c r="J1818" s="4">
        <v>2</v>
      </c>
      <c r="K1818" s="6">
        <v>0.47</v>
      </c>
    </row>
    <row r="1819" spans="1:11" x14ac:dyDescent="0.3">
      <c r="A1819" s="7">
        <v>41987</v>
      </c>
      <c r="B1819" s="4">
        <f>YEAR(SalesData[[#This Row],[Order Date]])</f>
        <v>2014</v>
      </c>
      <c r="C1819" s="4">
        <f>MONTH(SalesData[[#This Row],[Order Date]])</f>
        <v>12</v>
      </c>
      <c r="D1819" s="3" t="s">
        <v>1433</v>
      </c>
      <c r="E1819" s="3" t="s">
        <v>15</v>
      </c>
      <c r="F1819" s="3" t="s">
        <v>39</v>
      </c>
      <c r="G1819" s="3" t="s">
        <v>52</v>
      </c>
      <c r="H1819" s="3" t="s">
        <v>1227</v>
      </c>
      <c r="I1819" s="6">
        <v>35.020000000000003</v>
      </c>
      <c r="J1819" s="4">
        <v>3</v>
      </c>
      <c r="K1819" s="6">
        <v>-2.19</v>
      </c>
    </row>
    <row r="1820" spans="1:11" x14ac:dyDescent="0.3">
      <c r="A1820" s="7">
        <v>41987</v>
      </c>
      <c r="B1820" s="4">
        <f>YEAR(SalesData[[#This Row],[Order Date]])</f>
        <v>2014</v>
      </c>
      <c r="C1820" s="4">
        <f>MONTH(SalesData[[#This Row],[Order Date]])</f>
        <v>12</v>
      </c>
      <c r="D1820" s="3" t="s">
        <v>778</v>
      </c>
      <c r="E1820" s="3" t="s">
        <v>123</v>
      </c>
      <c r="F1820" s="3" t="s">
        <v>34</v>
      </c>
      <c r="G1820" s="3" t="s">
        <v>35</v>
      </c>
      <c r="H1820" s="3" t="s">
        <v>382</v>
      </c>
      <c r="I1820" s="6">
        <v>186.3</v>
      </c>
      <c r="J1820" s="4">
        <v>4</v>
      </c>
      <c r="K1820" s="6">
        <v>13.97</v>
      </c>
    </row>
    <row r="1821" spans="1:11" x14ac:dyDescent="0.3">
      <c r="A1821" s="7">
        <v>41987</v>
      </c>
      <c r="B1821" s="4">
        <f>YEAR(SalesData[[#This Row],[Order Date]])</f>
        <v>2014</v>
      </c>
      <c r="C1821" s="4">
        <f>MONTH(SalesData[[#This Row],[Order Date]])</f>
        <v>12</v>
      </c>
      <c r="D1821" s="3" t="s">
        <v>1785</v>
      </c>
      <c r="E1821" s="3" t="s">
        <v>78</v>
      </c>
      <c r="F1821" s="3" t="s">
        <v>11</v>
      </c>
      <c r="G1821" s="3" t="s">
        <v>24</v>
      </c>
      <c r="H1821" s="3" t="s">
        <v>317</v>
      </c>
      <c r="I1821" s="6">
        <v>2.62</v>
      </c>
      <c r="J1821" s="4">
        <v>1</v>
      </c>
      <c r="K1821" s="6">
        <v>0.3</v>
      </c>
    </row>
    <row r="1822" spans="1:11" x14ac:dyDescent="0.3">
      <c r="A1822" s="7">
        <v>41987</v>
      </c>
      <c r="B1822" s="4">
        <f>YEAR(SalesData[[#This Row],[Order Date]])</f>
        <v>2014</v>
      </c>
      <c r="C1822" s="4">
        <f>MONTH(SalesData[[#This Row],[Order Date]])</f>
        <v>12</v>
      </c>
      <c r="D1822" s="3" t="s">
        <v>1785</v>
      </c>
      <c r="E1822" s="3" t="s">
        <v>78</v>
      </c>
      <c r="F1822" s="3" t="s">
        <v>34</v>
      </c>
      <c r="G1822" s="3" t="s">
        <v>145</v>
      </c>
      <c r="H1822" s="3" t="s">
        <v>1786</v>
      </c>
      <c r="I1822" s="6">
        <v>136.53</v>
      </c>
      <c r="J1822" s="4">
        <v>1</v>
      </c>
      <c r="K1822" s="6">
        <v>-52.34</v>
      </c>
    </row>
    <row r="1823" spans="1:11" x14ac:dyDescent="0.3">
      <c r="A1823" s="7">
        <v>41987</v>
      </c>
      <c r="B1823" s="4">
        <f>YEAR(SalesData[[#This Row],[Order Date]])</f>
        <v>2014</v>
      </c>
      <c r="C1823" s="4">
        <f>MONTH(SalesData[[#This Row],[Order Date]])</f>
        <v>12</v>
      </c>
      <c r="D1823" s="3" t="s">
        <v>1785</v>
      </c>
      <c r="E1823" s="3" t="s">
        <v>78</v>
      </c>
      <c r="F1823" s="3" t="s">
        <v>39</v>
      </c>
      <c r="G1823" s="3" t="s">
        <v>52</v>
      </c>
      <c r="H1823" s="3" t="s">
        <v>1787</v>
      </c>
      <c r="I1823" s="6">
        <v>263.95999999999998</v>
      </c>
      <c r="J1823" s="4">
        <v>1</v>
      </c>
      <c r="K1823" s="6">
        <v>42.89</v>
      </c>
    </row>
    <row r="1824" spans="1:11" x14ac:dyDescent="0.3">
      <c r="A1824" s="7">
        <v>41987</v>
      </c>
      <c r="B1824" s="4">
        <f>YEAR(SalesData[[#This Row],[Order Date]])</f>
        <v>2014</v>
      </c>
      <c r="C1824" s="4">
        <f>MONTH(SalesData[[#This Row],[Order Date]])</f>
        <v>12</v>
      </c>
      <c r="D1824" s="3" t="s">
        <v>122</v>
      </c>
      <c r="E1824" s="3" t="s">
        <v>149</v>
      </c>
      <c r="F1824" s="3" t="s">
        <v>39</v>
      </c>
      <c r="G1824" s="3" t="s">
        <v>302</v>
      </c>
      <c r="H1824" s="3" t="s">
        <v>1329</v>
      </c>
      <c r="I1824" s="6">
        <v>6999.96</v>
      </c>
      <c r="J1824" s="4">
        <v>4</v>
      </c>
      <c r="K1824" s="6">
        <v>2239.9899999999998</v>
      </c>
    </row>
    <row r="1825" spans="1:11" x14ac:dyDescent="0.3">
      <c r="A1825" s="7">
        <v>41987</v>
      </c>
      <c r="B1825" s="4">
        <f>YEAR(SalesData[[#This Row],[Order Date]])</f>
        <v>2014</v>
      </c>
      <c r="C1825" s="4">
        <f>MONTH(SalesData[[#This Row],[Order Date]])</f>
        <v>12</v>
      </c>
      <c r="D1825" s="3" t="s">
        <v>1788</v>
      </c>
      <c r="E1825" s="3" t="s">
        <v>15</v>
      </c>
      <c r="F1825" s="3" t="s">
        <v>11</v>
      </c>
      <c r="G1825" s="3" t="s">
        <v>20</v>
      </c>
      <c r="H1825" s="3" t="s">
        <v>1509</v>
      </c>
      <c r="I1825" s="6">
        <v>9.26</v>
      </c>
      <c r="J1825" s="4">
        <v>3</v>
      </c>
      <c r="K1825" s="6">
        <v>-13.9</v>
      </c>
    </row>
    <row r="1826" spans="1:11" x14ac:dyDescent="0.3">
      <c r="A1826" s="7">
        <v>41988</v>
      </c>
      <c r="B1826" s="4">
        <f>YEAR(SalesData[[#This Row],[Order Date]])</f>
        <v>2014</v>
      </c>
      <c r="C1826" s="4">
        <f>MONTH(SalesData[[#This Row],[Order Date]])</f>
        <v>12</v>
      </c>
      <c r="D1826" s="3" t="s">
        <v>831</v>
      </c>
      <c r="E1826" s="3" t="s">
        <v>10</v>
      </c>
      <c r="F1826" s="3" t="s">
        <v>39</v>
      </c>
      <c r="G1826" s="3" t="s">
        <v>40</v>
      </c>
      <c r="H1826" s="3" t="s">
        <v>1789</v>
      </c>
      <c r="I1826" s="6">
        <v>40.68</v>
      </c>
      <c r="J1826" s="4">
        <v>3</v>
      </c>
      <c r="K1826" s="6">
        <v>-9.15</v>
      </c>
    </row>
    <row r="1827" spans="1:11" x14ac:dyDescent="0.3">
      <c r="A1827" s="7">
        <v>41988</v>
      </c>
      <c r="B1827" s="4">
        <f>YEAR(SalesData[[#This Row],[Order Date]])</f>
        <v>2014</v>
      </c>
      <c r="C1827" s="4">
        <f>MONTH(SalesData[[#This Row],[Order Date]])</f>
        <v>12</v>
      </c>
      <c r="D1827" s="3" t="s">
        <v>831</v>
      </c>
      <c r="E1827" s="3" t="s">
        <v>10</v>
      </c>
      <c r="F1827" s="3" t="s">
        <v>34</v>
      </c>
      <c r="G1827" s="3" t="s">
        <v>35</v>
      </c>
      <c r="H1827" s="3" t="s">
        <v>633</v>
      </c>
      <c r="I1827" s="6">
        <v>763.28</v>
      </c>
      <c r="J1827" s="4">
        <v>5</v>
      </c>
      <c r="K1827" s="6">
        <v>-21.81</v>
      </c>
    </row>
    <row r="1828" spans="1:11" x14ac:dyDescent="0.3">
      <c r="A1828" s="7">
        <v>41988</v>
      </c>
      <c r="B1828" s="4">
        <f>YEAR(SalesData[[#This Row],[Order Date]])</f>
        <v>2014</v>
      </c>
      <c r="C1828" s="4">
        <f>MONTH(SalesData[[#This Row],[Order Date]])</f>
        <v>12</v>
      </c>
      <c r="D1828" s="3" t="s">
        <v>422</v>
      </c>
      <c r="E1828" s="3" t="s">
        <v>27</v>
      </c>
      <c r="F1828" s="3" t="s">
        <v>34</v>
      </c>
      <c r="G1828" s="3" t="s">
        <v>47</v>
      </c>
      <c r="H1828" s="3" t="s">
        <v>1790</v>
      </c>
      <c r="I1828" s="6">
        <v>6.16</v>
      </c>
      <c r="J1828" s="4">
        <v>2</v>
      </c>
      <c r="K1828" s="6">
        <v>1.97</v>
      </c>
    </row>
    <row r="1829" spans="1:11" x14ac:dyDescent="0.3">
      <c r="A1829" s="7">
        <v>41988</v>
      </c>
      <c r="B1829" s="4">
        <f>YEAR(SalesData[[#This Row],[Order Date]])</f>
        <v>2014</v>
      </c>
      <c r="C1829" s="4">
        <f>MONTH(SalesData[[#This Row],[Order Date]])</f>
        <v>12</v>
      </c>
      <c r="D1829" s="3" t="s">
        <v>1791</v>
      </c>
      <c r="E1829" s="3" t="s">
        <v>15</v>
      </c>
      <c r="F1829" s="3" t="s">
        <v>34</v>
      </c>
      <c r="G1829" s="3" t="s">
        <v>47</v>
      </c>
      <c r="H1829" s="3" t="s">
        <v>1355</v>
      </c>
      <c r="I1829" s="6">
        <v>8.5399999999999991</v>
      </c>
      <c r="J1829" s="4">
        <v>2</v>
      </c>
      <c r="K1829" s="6">
        <v>-7.48</v>
      </c>
    </row>
    <row r="1830" spans="1:11" x14ac:dyDescent="0.3">
      <c r="A1830" s="7">
        <v>41988</v>
      </c>
      <c r="B1830" s="4">
        <f>YEAR(SalesData[[#This Row],[Order Date]])</f>
        <v>2014</v>
      </c>
      <c r="C1830" s="4">
        <f>MONTH(SalesData[[#This Row],[Order Date]])</f>
        <v>12</v>
      </c>
      <c r="D1830" s="3" t="s">
        <v>922</v>
      </c>
      <c r="E1830" s="3" t="s">
        <v>23</v>
      </c>
      <c r="F1830" s="3" t="s">
        <v>34</v>
      </c>
      <c r="G1830" s="3" t="s">
        <v>35</v>
      </c>
      <c r="H1830" s="3" t="s">
        <v>1480</v>
      </c>
      <c r="I1830" s="6">
        <v>445.8</v>
      </c>
      <c r="J1830" s="4">
        <v>7</v>
      </c>
      <c r="K1830" s="6">
        <v>-108.27</v>
      </c>
    </row>
    <row r="1831" spans="1:11" x14ac:dyDescent="0.3">
      <c r="A1831" s="7">
        <v>41989</v>
      </c>
      <c r="B1831" s="4">
        <f>YEAR(SalesData[[#This Row],[Order Date]])</f>
        <v>2014</v>
      </c>
      <c r="C1831" s="4">
        <f>MONTH(SalesData[[#This Row],[Order Date]])</f>
        <v>12</v>
      </c>
      <c r="D1831" s="3" t="s">
        <v>519</v>
      </c>
      <c r="E1831" s="3" t="s">
        <v>123</v>
      </c>
      <c r="F1831" s="3" t="s">
        <v>11</v>
      </c>
      <c r="G1831" s="3" t="s">
        <v>20</v>
      </c>
      <c r="H1831" s="3" t="s">
        <v>1792</v>
      </c>
      <c r="I1831" s="6">
        <v>1.17</v>
      </c>
      <c r="J1831" s="4">
        <v>1</v>
      </c>
      <c r="K1831" s="6">
        <v>-0.86</v>
      </c>
    </row>
    <row r="1832" spans="1:11" x14ac:dyDescent="0.3">
      <c r="A1832" s="7">
        <v>41989</v>
      </c>
      <c r="B1832" s="4">
        <f>YEAR(SalesData[[#This Row],[Order Date]])</f>
        <v>2014</v>
      </c>
      <c r="C1832" s="4">
        <f>MONTH(SalesData[[#This Row],[Order Date]])</f>
        <v>12</v>
      </c>
      <c r="D1832" s="3" t="s">
        <v>1793</v>
      </c>
      <c r="E1832" s="3" t="s">
        <v>27</v>
      </c>
      <c r="F1832" s="3" t="s">
        <v>34</v>
      </c>
      <c r="G1832" s="3" t="s">
        <v>47</v>
      </c>
      <c r="H1832" s="3" t="s">
        <v>1794</v>
      </c>
      <c r="I1832" s="6">
        <v>44.46</v>
      </c>
      <c r="J1832" s="4">
        <v>2</v>
      </c>
      <c r="K1832" s="6">
        <v>14.67</v>
      </c>
    </row>
    <row r="1833" spans="1:11" x14ac:dyDescent="0.3">
      <c r="A1833" s="7">
        <v>41989</v>
      </c>
      <c r="B1833" s="4">
        <f>YEAR(SalesData[[#This Row],[Order Date]])</f>
        <v>2014</v>
      </c>
      <c r="C1833" s="4">
        <f>MONTH(SalesData[[#This Row],[Order Date]])</f>
        <v>12</v>
      </c>
      <c r="D1833" s="3" t="s">
        <v>1793</v>
      </c>
      <c r="E1833" s="3" t="s">
        <v>27</v>
      </c>
      <c r="F1833" s="3" t="s">
        <v>34</v>
      </c>
      <c r="G1833" s="3" t="s">
        <v>35</v>
      </c>
      <c r="H1833" s="3" t="s">
        <v>542</v>
      </c>
      <c r="I1833" s="6">
        <v>241.57</v>
      </c>
      <c r="J1833" s="4">
        <v>2</v>
      </c>
      <c r="K1833" s="6">
        <v>18.12</v>
      </c>
    </row>
    <row r="1834" spans="1:11" x14ac:dyDescent="0.3">
      <c r="A1834" s="7">
        <v>41989</v>
      </c>
      <c r="B1834" s="4">
        <f>YEAR(SalesData[[#This Row],[Order Date]])</f>
        <v>2014</v>
      </c>
      <c r="C1834" s="4">
        <f>MONTH(SalesData[[#This Row],[Order Date]])</f>
        <v>12</v>
      </c>
      <c r="D1834" s="3" t="s">
        <v>1793</v>
      </c>
      <c r="E1834" s="3" t="s">
        <v>27</v>
      </c>
      <c r="F1834" s="3" t="s">
        <v>39</v>
      </c>
      <c r="G1834" s="3" t="s">
        <v>52</v>
      </c>
      <c r="H1834" s="3" t="s">
        <v>1795</v>
      </c>
      <c r="I1834" s="6">
        <v>395</v>
      </c>
      <c r="J1834" s="4">
        <v>5</v>
      </c>
      <c r="K1834" s="6">
        <v>39.5</v>
      </c>
    </row>
    <row r="1835" spans="1:11" x14ac:dyDescent="0.3">
      <c r="A1835" s="7">
        <v>41989</v>
      </c>
      <c r="B1835" s="4">
        <f>YEAR(SalesData[[#This Row],[Order Date]])</f>
        <v>2014</v>
      </c>
      <c r="C1835" s="4">
        <f>MONTH(SalesData[[#This Row],[Order Date]])</f>
        <v>12</v>
      </c>
      <c r="D1835" s="3" t="s">
        <v>1793</v>
      </c>
      <c r="E1835" s="3" t="s">
        <v>27</v>
      </c>
      <c r="F1835" s="3" t="s">
        <v>39</v>
      </c>
      <c r="G1835" s="3" t="s">
        <v>40</v>
      </c>
      <c r="H1835" s="3" t="s">
        <v>41</v>
      </c>
      <c r="I1835" s="6">
        <v>627.16999999999996</v>
      </c>
      <c r="J1835" s="4">
        <v>4</v>
      </c>
      <c r="K1835" s="6">
        <v>70.56</v>
      </c>
    </row>
    <row r="1836" spans="1:11" x14ac:dyDescent="0.3">
      <c r="A1836" s="7">
        <v>41989</v>
      </c>
      <c r="B1836" s="4">
        <f>YEAR(SalesData[[#This Row],[Order Date]])</f>
        <v>2014</v>
      </c>
      <c r="C1836" s="4">
        <f>MONTH(SalesData[[#This Row],[Order Date]])</f>
        <v>12</v>
      </c>
      <c r="D1836" s="3" t="s">
        <v>452</v>
      </c>
      <c r="E1836" s="3" t="s">
        <v>123</v>
      </c>
      <c r="F1836" s="3" t="s">
        <v>34</v>
      </c>
      <c r="G1836" s="3" t="s">
        <v>35</v>
      </c>
      <c r="H1836" s="3" t="s">
        <v>723</v>
      </c>
      <c r="I1836" s="6">
        <v>1013.83</v>
      </c>
      <c r="J1836" s="4">
        <v>9</v>
      </c>
      <c r="K1836" s="6">
        <v>101.38</v>
      </c>
    </row>
    <row r="1837" spans="1:11" x14ac:dyDescent="0.3">
      <c r="A1837" s="7">
        <v>41989</v>
      </c>
      <c r="B1837" s="4">
        <f>YEAR(SalesData[[#This Row],[Order Date]])</f>
        <v>2014</v>
      </c>
      <c r="C1837" s="4">
        <f>MONTH(SalesData[[#This Row],[Order Date]])</f>
        <v>12</v>
      </c>
      <c r="D1837" s="3" t="s">
        <v>452</v>
      </c>
      <c r="E1837" s="3" t="s">
        <v>123</v>
      </c>
      <c r="F1837" s="3" t="s">
        <v>11</v>
      </c>
      <c r="G1837" s="3" t="s">
        <v>43</v>
      </c>
      <c r="H1837" s="3" t="s">
        <v>1796</v>
      </c>
      <c r="I1837" s="6">
        <v>1.98</v>
      </c>
      <c r="J1837" s="4">
        <v>2</v>
      </c>
      <c r="K1837" s="6">
        <v>0.67</v>
      </c>
    </row>
    <row r="1838" spans="1:11" x14ac:dyDescent="0.3">
      <c r="A1838" s="7">
        <v>41989</v>
      </c>
      <c r="B1838" s="4">
        <f>YEAR(SalesData[[#This Row],[Order Date]])</f>
        <v>2014</v>
      </c>
      <c r="C1838" s="4">
        <f>MONTH(SalesData[[#This Row],[Order Date]])</f>
        <v>12</v>
      </c>
      <c r="D1838" s="3" t="s">
        <v>143</v>
      </c>
      <c r="E1838" s="3" t="s">
        <v>10</v>
      </c>
      <c r="F1838" s="3" t="s">
        <v>11</v>
      </c>
      <c r="G1838" s="3" t="s">
        <v>12</v>
      </c>
      <c r="H1838" s="3" t="s">
        <v>507</v>
      </c>
      <c r="I1838" s="6">
        <v>36.29</v>
      </c>
      <c r="J1838" s="4">
        <v>7</v>
      </c>
      <c r="K1838" s="6">
        <v>12.7</v>
      </c>
    </row>
    <row r="1839" spans="1:11" x14ac:dyDescent="0.3">
      <c r="A1839" s="7">
        <v>41989</v>
      </c>
      <c r="B1839" s="4">
        <f>YEAR(SalesData[[#This Row],[Order Date]])</f>
        <v>2014</v>
      </c>
      <c r="C1839" s="4">
        <f>MONTH(SalesData[[#This Row],[Order Date]])</f>
        <v>12</v>
      </c>
      <c r="D1839" s="3" t="s">
        <v>143</v>
      </c>
      <c r="E1839" s="3" t="s">
        <v>10</v>
      </c>
      <c r="F1839" s="3" t="s">
        <v>34</v>
      </c>
      <c r="G1839" s="3" t="s">
        <v>47</v>
      </c>
      <c r="H1839" s="3" t="s">
        <v>1205</v>
      </c>
      <c r="I1839" s="6">
        <v>56.57</v>
      </c>
      <c r="J1839" s="4">
        <v>2</v>
      </c>
      <c r="K1839" s="6">
        <v>-74.95</v>
      </c>
    </row>
    <row r="1840" spans="1:11" x14ac:dyDescent="0.3">
      <c r="A1840" s="7">
        <v>41989</v>
      </c>
      <c r="B1840" s="4">
        <f>YEAR(SalesData[[#This Row],[Order Date]])</f>
        <v>2014</v>
      </c>
      <c r="C1840" s="4">
        <f>MONTH(SalesData[[#This Row],[Order Date]])</f>
        <v>12</v>
      </c>
      <c r="D1840" s="3" t="s">
        <v>1797</v>
      </c>
      <c r="E1840" s="3" t="s">
        <v>110</v>
      </c>
      <c r="F1840" s="3" t="s">
        <v>11</v>
      </c>
      <c r="G1840" s="3" t="s">
        <v>12</v>
      </c>
      <c r="H1840" s="3" t="s">
        <v>1132</v>
      </c>
      <c r="I1840" s="6">
        <v>114.2</v>
      </c>
      <c r="J1840" s="4">
        <v>5</v>
      </c>
      <c r="K1840" s="6">
        <v>52.53</v>
      </c>
    </row>
    <row r="1841" spans="1:11" x14ac:dyDescent="0.3">
      <c r="A1841" s="7">
        <v>41989</v>
      </c>
      <c r="B1841" s="4">
        <f>YEAR(SalesData[[#This Row],[Order Date]])</f>
        <v>2014</v>
      </c>
      <c r="C1841" s="4">
        <f>MONTH(SalesData[[#This Row],[Order Date]])</f>
        <v>12</v>
      </c>
      <c r="D1841" s="3" t="s">
        <v>1798</v>
      </c>
      <c r="E1841" s="3" t="s">
        <v>27</v>
      </c>
      <c r="F1841" s="3" t="s">
        <v>34</v>
      </c>
      <c r="G1841" s="3" t="s">
        <v>35</v>
      </c>
      <c r="H1841" s="3" t="s">
        <v>1726</v>
      </c>
      <c r="I1841" s="6">
        <v>1403.92</v>
      </c>
      <c r="J1841" s="4">
        <v>5</v>
      </c>
      <c r="K1841" s="6">
        <v>70.2</v>
      </c>
    </row>
    <row r="1842" spans="1:11" x14ac:dyDescent="0.3">
      <c r="A1842" s="7">
        <v>41989</v>
      </c>
      <c r="B1842" s="4">
        <f>YEAR(SalesData[[#This Row],[Order Date]])</f>
        <v>2014</v>
      </c>
      <c r="C1842" s="4">
        <f>MONTH(SalesData[[#This Row],[Order Date]])</f>
        <v>12</v>
      </c>
      <c r="D1842" s="3" t="s">
        <v>732</v>
      </c>
      <c r="E1842" s="3" t="s">
        <v>55</v>
      </c>
      <c r="F1842" s="3" t="s">
        <v>39</v>
      </c>
      <c r="G1842" s="3" t="s">
        <v>52</v>
      </c>
      <c r="H1842" s="3" t="s">
        <v>1008</v>
      </c>
      <c r="I1842" s="6">
        <v>99.98</v>
      </c>
      <c r="J1842" s="4">
        <v>2</v>
      </c>
      <c r="K1842" s="6">
        <v>8</v>
      </c>
    </row>
    <row r="1843" spans="1:11" x14ac:dyDescent="0.3">
      <c r="A1843" s="7">
        <v>41989</v>
      </c>
      <c r="B1843" s="4">
        <f>YEAR(SalesData[[#This Row],[Order Date]])</f>
        <v>2014</v>
      </c>
      <c r="C1843" s="4">
        <f>MONTH(SalesData[[#This Row],[Order Date]])</f>
        <v>12</v>
      </c>
      <c r="D1843" s="3" t="s">
        <v>732</v>
      </c>
      <c r="E1843" s="3" t="s">
        <v>55</v>
      </c>
      <c r="F1843" s="3" t="s">
        <v>34</v>
      </c>
      <c r="G1843" s="3" t="s">
        <v>47</v>
      </c>
      <c r="H1843" s="3" t="s">
        <v>117</v>
      </c>
      <c r="I1843" s="6">
        <v>29.46</v>
      </c>
      <c r="J1843" s="4">
        <v>6</v>
      </c>
      <c r="K1843" s="6">
        <v>9.7200000000000006</v>
      </c>
    </row>
    <row r="1844" spans="1:11" x14ac:dyDescent="0.3">
      <c r="A1844" s="7">
        <v>41989</v>
      </c>
      <c r="B1844" s="4">
        <f>YEAR(SalesData[[#This Row],[Order Date]])</f>
        <v>2014</v>
      </c>
      <c r="C1844" s="4">
        <f>MONTH(SalesData[[#This Row],[Order Date]])</f>
        <v>12</v>
      </c>
      <c r="D1844" s="3" t="s">
        <v>1799</v>
      </c>
      <c r="E1844" s="3" t="s">
        <v>10</v>
      </c>
      <c r="F1844" s="3" t="s">
        <v>39</v>
      </c>
      <c r="G1844" s="3" t="s">
        <v>52</v>
      </c>
      <c r="H1844" s="3" t="s">
        <v>486</v>
      </c>
      <c r="I1844" s="6">
        <v>319.97000000000003</v>
      </c>
      <c r="J1844" s="4">
        <v>4</v>
      </c>
      <c r="K1844" s="6">
        <v>95.99</v>
      </c>
    </row>
    <row r="1845" spans="1:11" x14ac:dyDescent="0.3">
      <c r="A1845" s="7">
        <v>41989</v>
      </c>
      <c r="B1845" s="4">
        <f>YEAR(SalesData[[#This Row],[Order Date]])</f>
        <v>2014</v>
      </c>
      <c r="C1845" s="4">
        <f>MONTH(SalesData[[#This Row],[Order Date]])</f>
        <v>12</v>
      </c>
      <c r="D1845" s="3" t="s">
        <v>1799</v>
      </c>
      <c r="E1845" s="3" t="s">
        <v>10</v>
      </c>
      <c r="F1845" s="3" t="s">
        <v>34</v>
      </c>
      <c r="G1845" s="3" t="s">
        <v>47</v>
      </c>
      <c r="H1845" s="3" t="s">
        <v>1404</v>
      </c>
      <c r="I1845" s="6">
        <v>8.6199999999999992</v>
      </c>
      <c r="J1845" s="4">
        <v>7</v>
      </c>
      <c r="K1845" s="6">
        <v>-2.59</v>
      </c>
    </row>
    <row r="1846" spans="1:11" x14ac:dyDescent="0.3">
      <c r="A1846" s="7">
        <v>41990</v>
      </c>
      <c r="B1846" s="4">
        <f>YEAR(SalesData[[#This Row],[Order Date]])</f>
        <v>2014</v>
      </c>
      <c r="C1846" s="4">
        <f>MONTH(SalesData[[#This Row],[Order Date]])</f>
        <v>12</v>
      </c>
      <c r="D1846" s="3" t="s">
        <v>1610</v>
      </c>
      <c r="E1846" s="3" t="s">
        <v>30</v>
      </c>
      <c r="F1846" s="3" t="s">
        <v>11</v>
      </c>
      <c r="G1846" s="3" t="s">
        <v>24</v>
      </c>
      <c r="H1846" s="3" t="s">
        <v>466</v>
      </c>
      <c r="I1846" s="6">
        <v>40.049999999999997</v>
      </c>
      <c r="J1846" s="4">
        <v>3</v>
      </c>
      <c r="K1846" s="6">
        <v>11.21</v>
      </c>
    </row>
    <row r="1847" spans="1:11" x14ac:dyDescent="0.3">
      <c r="A1847" s="7">
        <v>41990</v>
      </c>
      <c r="B1847" s="4">
        <f>YEAR(SalesData[[#This Row],[Order Date]])</f>
        <v>2014</v>
      </c>
      <c r="C1847" s="4">
        <f>MONTH(SalesData[[#This Row],[Order Date]])</f>
        <v>12</v>
      </c>
      <c r="D1847" s="3" t="s">
        <v>1800</v>
      </c>
      <c r="E1847" s="3" t="s">
        <v>78</v>
      </c>
      <c r="F1847" s="3" t="s">
        <v>11</v>
      </c>
      <c r="G1847" s="3" t="s">
        <v>20</v>
      </c>
      <c r="H1847" s="3" t="s">
        <v>937</v>
      </c>
      <c r="I1847" s="6">
        <v>5.48</v>
      </c>
      <c r="J1847" s="4">
        <v>4</v>
      </c>
      <c r="K1847" s="6">
        <v>-4.0199999999999996</v>
      </c>
    </row>
    <row r="1848" spans="1:11" x14ac:dyDescent="0.3">
      <c r="A1848" s="7">
        <v>41992</v>
      </c>
      <c r="B1848" s="4">
        <f>YEAR(SalesData[[#This Row],[Order Date]])</f>
        <v>2014</v>
      </c>
      <c r="C1848" s="4">
        <f>MONTH(SalesData[[#This Row],[Order Date]])</f>
        <v>12</v>
      </c>
      <c r="D1848" s="3" t="s">
        <v>1801</v>
      </c>
      <c r="E1848" s="3" t="s">
        <v>123</v>
      </c>
      <c r="F1848" s="3" t="s">
        <v>11</v>
      </c>
      <c r="G1848" s="3" t="s">
        <v>20</v>
      </c>
      <c r="H1848" s="3" t="s">
        <v>310</v>
      </c>
      <c r="I1848" s="6">
        <v>4.8099999999999996</v>
      </c>
      <c r="J1848" s="4">
        <v>2</v>
      </c>
      <c r="K1848" s="6">
        <v>-3.69</v>
      </c>
    </row>
    <row r="1849" spans="1:11" x14ac:dyDescent="0.3">
      <c r="A1849" s="7">
        <v>41992</v>
      </c>
      <c r="B1849" s="4">
        <f>YEAR(SalesData[[#This Row],[Order Date]])</f>
        <v>2014</v>
      </c>
      <c r="C1849" s="4">
        <f>MONTH(SalesData[[#This Row],[Order Date]])</f>
        <v>12</v>
      </c>
      <c r="D1849" s="3" t="s">
        <v>1801</v>
      </c>
      <c r="E1849" s="3" t="s">
        <v>123</v>
      </c>
      <c r="F1849" s="3" t="s">
        <v>39</v>
      </c>
      <c r="G1849" s="3" t="s">
        <v>52</v>
      </c>
      <c r="H1849" s="3" t="s">
        <v>1802</v>
      </c>
      <c r="I1849" s="6">
        <v>247.8</v>
      </c>
      <c r="J1849" s="4">
        <v>5</v>
      </c>
      <c r="K1849" s="6">
        <v>-18.59</v>
      </c>
    </row>
    <row r="1850" spans="1:11" x14ac:dyDescent="0.3">
      <c r="A1850" s="7">
        <v>41992</v>
      </c>
      <c r="B1850" s="4">
        <f>YEAR(SalesData[[#This Row],[Order Date]])</f>
        <v>2014</v>
      </c>
      <c r="C1850" s="4">
        <f>MONTH(SalesData[[#This Row],[Order Date]])</f>
        <v>12</v>
      </c>
      <c r="D1850" s="3" t="s">
        <v>1803</v>
      </c>
      <c r="E1850" s="3" t="s">
        <v>488</v>
      </c>
      <c r="F1850" s="3" t="s">
        <v>11</v>
      </c>
      <c r="G1850" s="3" t="s">
        <v>20</v>
      </c>
      <c r="H1850" s="3" t="s">
        <v>1804</v>
      </c>
      <c r="I1850" s="6">
        <v>152.76</v>
      </c>
      <c r="J1850" s="4">
        <v>6</v>
      </c>
      <c r="K1850" s="6">
        <v>74.849999999999994</v>
      </c>
    </row>
    <row r="1851" spans="1:11" x14ac:dyDescent="0.3">
      <c r="A1851" s="7">
        <v>41992</v>
      </c>
      <c r="B1851" s="4">
        <f>YEAR(SalesData[[#This Row],[Order Date]])</f>
        <v>2014</v>
      </c>
      <c r="C1851" s="4">
        <f>MONTH(SalesData[[#This Row],[Order Date]])</f>
        <v>12</v>
      </c>
      <c r="D1851" s="3" t="s">
        <v>1803</v>
      </c>
      <c r="E1851" s="3" t="s">
        <v>488</v>
      </c>
      <c r="F1851" s="3" t="s">
        <v>11</v>
      </c>
      <c r="G1851" s="3" t="s">
        <v>200</v>
      </c>
      <c r="H1851" s="3" t="s">
        <v>1578</v>
      </c>
      <c r="I1851" s="6">
        <v>7.27</v>
      </c>
      <c r="J1851" s="4">
        <v>1</v>
      </c>
      <c r="K1851" s="6">
        <v>1.96</v>
      </c>
    </row>
    <row r="1852" spans="1:11" x14ac:dyDescent="0.3">
      <c r="A1852" s="7">
        <v>41992</v>
      </c>
      <c r="B1852" s="4">
        <f>YEAR(SalesData[[#This Row],[Order Date]])</f>
        <v>2014</v>
      </c>
      <c r="C1852" s="4">
        <f>MONTH(SalesData[[#This Row],[Order Date]])</f>
        <v>12</v>
      </c>
      <c r="D1852" s="3" t="s">
        <v>1803</v>
      </c>
      <c r="E1852" s="3" t="s">
        <v>488</v>
      </c>
      <c r="F1852" s="3" t="s">
        <v>34</v>
      </c>
      <c r="G1852" s="3" t="s">
        <v>35</v>
      </c>
      <c r="H1852" s="3" t="s">
        <v>1805</v>
      </c>
      <c r="I1852" s="6">
        <v>1819.86</v>
      </c>
      <c r="J1852" s="4">
        <v>14</v>
      </c>
      <c r="K1852" s="6">
        <v>163.79</v>
      </c>
    </row>
    <row r="1853" spans="1:11" x14ac:dyDescent="0.3">
      <c r="A1853" s="7">
        <v>41992</v>
      </c>
      <c r="B1853" s="4">
        <f>YEAR(SalesData[[#This Row],[Order Date]])</f>
        <v>2014</v>
      </c>
      <c r="C1853" s="4">
        <f>MONTH(SalesData[[#This Row],[Order Date]])</f>
        <v>12</v>
      </c>
      <c r="D1853" s="3" t="s">
        <v>788</v>
      </c>
      <c r="E1853" s="3" t="s">
        <v>27</v>
      </c>
      <c r="F1853" s="3" t="s">
        <v>11</v>
      </c>
      <c r="G1853" s="3" t="s">
        <v>16</v>
      </c>
      <c r="H1853" s="3" t="s">
        <v>906</v>
      </c>
      <c r="I1853" s="6">
        <v>14.62</v>
      </c>
      <c r="J1853" s="4">
        <v>2</v>
      </c>
      <c r="K1853" s="6">
        <v>6.87</v>
      </c>
    </row>
    <row r="1854" spans="1:11" x14ac:dyDescent="0.3">
      <c r="A1854" s="7">
        <v>41992</v>
      </c>
      <c r="B1854" s="4">
        <f>YEAR(SalesData[[#This Row],[Order Date]])</f>
        <v>2014</v>
      </c>
      <c r="C1854" s="4">
        <f>MONTH(SalesData[[#This Row],[Order Date]])</f>
        <v>12</v>
      </c>
      <c r="D1854" s="3" t="s">
        <v>788</v>
      </c>
      <c r="E1854" s="3" t="s">
        <v>27</v>
      </c>
      <c r="F1854" s="3" t="s">
        <v>11</v>
      </c>
      <c r="G1854" s="3" t="s">
        <v>43</v>
      </c>
      <c r="H1854" s="3" t="s">
        <v>1806</v>
      </c>
      <c r="I1854" s="6">
        <v>22.55</v>
      </c>
      <c r="J1854" s="4">
        <v>5</v>
      </c>
      <c r="K1854" s="6">
        <v>8.7899999999999991</v>
      </c>
    </row>
    <row r="1855" spans="1:11" x14ac:dyDescent="0.3">
      <c r="A1855" s="7">
        <v>41992</v>
      </c>
      <c r="B1855" s="4">
        <f>YEAR(SalesData[[#This Row],[Order Date]])</f>
        <v>2014</v>
      </c>
      <c r="C1855" s="4">
        <f>MONTH(SalesData[[#This Row],[Order Date]])</f>
        <v>12</v>
      </c>
      <c r="D1855" s="3" t="s">
        <v>788</v>
      </c>
      <c r="E1855" s="3" t="s">
        <v>27</v>
      </c>
      <c r="F1855" s="3" t="s">
        <v>39</v>
      </c>
      <c r="G1855" s="3" t="s">
        <v>40</v>
      </c>
      <c r="H1855" s="3" t="s">
        <v>1807</v>
      </c>
      <c r="I1855" s="6">
        <v>583.79999999999995</v>
      </c>
      <c r="J1855" s="4">
        <v>5</v>
      </c>
      <c r="K1855" s="6">
        <v>72.98</v>
      </c>
    </row>
    <row r="1856" spans="1:11" x14ac:dyDescent="0.3">
      <c r="A1856" s="7">
        <v>41992</v>
      </c>
      <c r="B1856" s="4">
        <f>YEAR(SalesData[[#This Row],[Order Date]])</f>
        <v>2014</v>
      </c>
      <c r="C1856" s="4">
        <f>MONTH(SalesData[[#This Row],[Order Date]])</f>
        <v>12</v>
      </c>
      <c r="D1856" s="3" t="s">
        <v>788</v>
      </c>
      <c r="E1856" s="3" t="s">
        <v>27</v>
      </c>
      <c r="F1856" s="3" t="s">
        <v>39</v>
      </c>
      <c r="G1856" s="3" t="s">
        <v>40</v>
      </c>
      <c r="H1856" s="3" t="s">
        <v>1808</v>
      </c>
      <c r="I1856" s="6">
        <v>211.17</v>
      </c>
      <c r="J1856" s="4">
        <v>4</v>
      </c>
      <c r="K1856" s="6">
        <v>15.84</v>
      </c>
    </row>
    <row r="1857" spans="1:11" x14ac:dyDescent="0.3">
      <c r="A1857" s="7">
        <v>41992</v>
      </c>
      <c r="B1857" s="4">
        <f>YEAR(SalesData[[#This Row],[Order Date]])</f>
        <v>2014</v>
      </c>
      <c r="C1857" s="4">
        <f>MONTH(SalesData[[#This Row],[Order Date]])</f>
        <v>12</v>
      </c>
      <c r="D1857" s="3" t="s">
        <v>128</v>
      </c>
      <c r="E1857" s="3" t="s">
        <v>15</v>
      </c>
      <c r="F1857" s="3" t="s">
        <v>39</v>
      </c>
      <c r="G1857" s="3" t="s">
        <v>40</v>
      </c>
      <c r="H1857" s="3" t="s">
        <v>1809</v>
      </c>
      <c r="I1857" s="6">
        <v>323.98</v>
      </c>
      <c r="J1857" s="4">
        <v>3</v>
      </c>
      <c r="K1857" s="6">
        <v>36.450000000000003</v>
      </c>
    </row>
    <row r="1858" spans="1:11" x14ac:dyDescent="0.3">
      <c r="A1858" s="7">
        <v>41992</v>
      </c>
      <c r="B1858" s="4">
        <f>YEAR(SalesData[[#This Row],[Order Date]])</f>
        <v>2014</v>
      </c>
      <c r="C1858" s="4">
        <f>MONTH(SalesData[[#This Row],[Order Date]])</f>
        <v>12</v>
      </c>
      <c r="D1858" s="3" t="s">
        <v>128</v>
      </c>
      <c r="E1858" s="3" t="s">
        <v>15</v>
      </c>
      <c r="F1858" s="3" t="s">
        <v>11</v>
      </c>
      <c r="G1858" s="3" t="s">
        <v>12</v>
      </c>
      <c r="H1858" s="3" t="s">
        <v>1116</v>
      </c>
      <c r="I1858" s="6">
        <v>15.55</v>
      </c>
      <c r="J1858" s="4">
        <v>3</v>
      </c>
      <c r="K1858" s="6">
        <v>5.44</v>
      </c>
    </row>
    <row r="1859" spans="1:11" x14ac:dyDescent="0.3">
      <c r="A1859" s="7">
        <v>41992</v>
      </c>
      <c r="B1859" s="4">
        <f>YEAR(SalesData[[#This Row],[Order Date]])</f>
        <v>2014</v>
      </c>
      <c r="C1859" s="4">
        <f>MONTH(SalesData[[#This Row],[Order Date]])</f>
        <v>12</v>
      </c>
      <c r="D1859" s="3" t="s">
        <v>128</v>
      </c>
      <c r="E1859" s="3" t="s">
        <v>15</v>
      </c>
      <c r="F1859" s="3" t="s">
        <v>11</v>
      </c>
      <c r="G1859" s="3" t="s">
        <v>18</v>
      </c>
      <c r="H1859" s="3" t="s">
        <v>1810</v>
      </c>
      <c r="I1859" s="6">
        <v>32.590000000000003</v>
      </c>
      <c r="J1859" s="4">
        <v>3</v>
      </c>
      <c r="K1859" s="6">
        <v>-7.74</v>
      </c>
    </row>
    <row r="1860" spans="1:11" x14ac:dyDescent="0.3">
      <c r="A1860" s="7">
        <v>41993</v>
      </c>
      <c r="B1860" s="4">
        <f>YEAR(SalesData[[#This Row],[Order Date]])</f>
        <v>2014</v>
      </c>
      <c r="C1860" s="4">
        <f>MONTH(SalesData[[#This Row],[Order Date]])</f>
        <v>12</v>
      </c>
      <c r="D1860" s="3" t="s">
        <v>1811</v>
      </c>
      <c r="E1860" s="3" t="s">
        <v>55</v>
      </c>
      <c r="F1860" s="3" t="s">
        <v>11</v>
      </c>
      <c r="G1860" s="3" t="s">
        <v>18</v>
      </c>
      <c r="H1860" s="3" t="s">
        <v>133</v>
      </c>
      <c r="I1860" s="6">
        <v>122.48</v>
      </c>
      <c r="J1860" s="4">
        <v>2</v>
      </c>
      <c r="K1860" s="6">
        <v>0</v>
      </c>
    </row>
    <row r="1861" spans="1:11" x14ac:dyDescent="0.3">
      <c r="A1861" s="7">
        <v>41993</v>
      </c>
      <c r="B1861" s="4">
        <f>YEAR(SalesData[[#This Row],[Order Date]])</f>
        <v>2014</v>
      </c>
      <c r="C1861" s="4">
        <f>MONTH(SalesData[[#This Row],[Order Date]])</f>
        <v>12</v>
      </c>
      <c r="D1861" s="3" t="s">
        <v>1811</v>
      </c>
      <c r="E1861" s="3" t="s">
        <v>55</v>
      </c>
      <c r="F1861" s="3" t="s">
        <v>34</v>
      </c>
      <c r="G1861" s="3" t="s">
        <v>145</v>
      </c>
      <c r="H1861" s="3" t="s">
        <v>1812</v>
      </c>
      <c r="I1861" s="6">
        <v>2244.48</v>
      </c>
      <c r="J1861" s="4">
        <v>7</v>
      </c>
      <c r="K1861" s="6">
        <v>493.79</v>
      </c>
    </row>
    <row r="1862" spans="1:11" x14ac:dyDescent="0.3">
      <c r="A1862" s="7">
        <v>41993</v>
      </c>
      <c r="B1862" s="4">
        <f>YEAR(SalesData[[#This Row],[Order Date]])</f>
        <v>2014</v>
      </c>
      <c r="C1862" s="4">
        <f>MONTH(SalesData[[#This Row],[Order Date]])</f>
        <v>12</v>
      </c>
      <c r="D1862" s="3" t="s">
        <v>1811</v>
      </c>
      <c r="E1862" s="3" t="s">
        <v>55</v>
      </c>
      <c r="F1862" s="3" t="s">
        <v>11</v>
      </c>
      <c r="G1862" s="3" t="s">
        <v>20</v>
      </c>
      <c r="H1862" s="3" t="s">
        <v>781</v>
      </c>
      <c r="I1862" s="6">
        <v>62.31</v>
      </c>
      <c r="J1862" s="4">
        <v>3</v>
      </c>
      <c r="K1862" s="6">
        <v>29.29</v>
      </c>
    </row>
    <row r="1863" spans="1:11" x14ac:dyDescent="0.3">
      <c r="A1863" s="7">
        <v>41993</v>
      </c>
      <c r="B1863" s="4">
        <f>YEAR(SalesData[[#This Row],[Order Date]])</f>
        <v>2014</v>
      </c>
      <c r="C1863" s="4">
        <f>MONTH(SalesData[[#This Row],[Order Date]])</f>
        <v>12</v>
      </c>
      <c r="D1863" s="3" t="s">
        <v>1811</v>
      </c>
      <c r="E1863" s="3" t="s">
        <v>55</v>
      </c>
      <c r="F1863" s="3" t="s">
        <v>34</v>
      </c>
      <c r="G1863" s="3" t="s">
        <v>145</v>
      </c>
      <c r="H1863" s="3" t="s">
        <v>1501</v>
      </c>
      <c r="I1863" s="6">
        <v>455.1</v>
      </c>
      <c r="J1863" s="4">
        <v>2</v>
      </c>
      <c r="K1863" s="6">
        <v>100.12</v>
      </c>
    </row>
    <row r="1864" spans="1:11" x14ac:dyDescent="0.3">
      <c r="A1864" s="7">
        <v>41993</v>
      </c>
      <c r="B1864" s="4">
        <f>YEAR(SalesData[[#This Row],[Order Date]])</f>
        <v>2014</v>
      </c>
      <c r="C1864" s="4">
        <f>MONTH(SalesData[[#This Row],[Order Date]])</f>
        <v>12</v>
      </c>
      <c r="D1864" s="3" t="s">
        <v>1121</v>
      </c>
      <c r="E1864" s="3" t="s">
        <v>164</v>
      </c>
      <c r="F1864" s="3" t="s">
        <v>11</v>
      </c>
      <c r="G1864" s="3" t="s">
        <v>16</v>
      </c>
      <c r="H1864" s="3" t="s">
        <v>1716</v>
      </c>
      <c r="I1864" s="6">
        <v>31.05</v>
      </c>
      <c r="J1864" s="4">
        <v>3</v>
      </c>
      <c r="K1864" s="6">
        <v>14.9</v>
      </c>
    </row>
    <row r="1865" spans="1:11" x14ac:dyDescent="0.3">
      <c r="A1865" s="7">
        <v>41993</v>
      </c>
      <c r="B1865" s="4">
        <f>YEAR(SalesData[[#This Row],[Order Date]])</f>
        <v>2014</v>
      </c>
      <c r="C1865" s="4">
        <f>MONTH(SalesData[[#This Row],[Order Date]])</f>
        <v>12</v>
      </c>
      <c r="D1865" s="3" t="s">
        <v>1813</v>
      </c>
      <c r="E1865" s="3" t="s">
        <v>120</v>
      </c>
      <c r="F1865" s="3" t="s">
        <v>11</v>
      </c>
      <c r="G1865" s="3" t="s">
        <v>92</v>
      </c>
      <c r="H1865" s="3" t="s">
        <v>1814</v>
      </c>
      <c r="I1865" s="6">
        <v>43.51</v>
      </c>
      <c r="J1865" s="4">
        <v>7</v>
      </c>
      <c r="K1865" s="6">
        <v>3.81</v>
      </c>
    </row>
    <row r="1866" spans="1:11" x14ac:dyDescent="0.3">
      <c r="A1866" s="7">
        <v>41993</v>
      </c>
      <c r="B1866" s="4">
        <f>YEAR(SalesData[[#This Row],[Order Date]])</f>
        <v>2014</v>
      </c>
      <c r="C1866" s="4">
        <f>MONTH(SalesData[[#This Row],[Order Date]])</f>
        <v>12</v>
      </c>
      <c r="D1866" s="3" t="s">
        <v>1813</v>
      </c>
      <c r="E1866" s="3" t="s">
        <v>120</v>
      </c>
      <c r="F1866" s="3" t="s">
        <v>34</v>
      </c>
      <c r="G1866" s="3" t="s">
        <v>35</v>
      </c>
      <c r="H1866" s="3" t="s">
        <v>1237</v>
      </c>
      <c r="I1866" s="6">
        <v>662.88</v>
      </c>
      <c r="J1866" s="4">
        <v>3</v>
      </c>
      <c r="K1866" s="6">
        <v>74.569999999999993</v>
      </c>
    </row>
    <row r="1867" spans="1:11" x14ac:dyDescent="0.3">
      <c r="A1867" s="7">
        <v>41993</v>
      </c>
      <c r="B1867" s="4">
        <f>YEAR(SalesData[[#This Row],[Order Date]])</f>
        <v>2014</v>
      </c>
      <c r="C1867" s="4">
        <f>MONTH(SalesData[[#This Row],[Order Date]])</f>
        <v>12</v>
      </c>
      <c r="D1867" s="3" t="s">
        <v>1813</v>
      </c>
      <c r="E1867" s="3" t="s">
        <v>120</v>
      </c>
      <c r="F1867" s="3" t="s">
        <v>11</v>
      </c>
      <c r="G1867" s="3" t="s">
        <v>12</v>
      </c>
      <c r="H1867" s="3" t="s">
        <v>640</v>
      </c>
      <c r="I1867" s="6">
        <v>25.92</v>
      </c>
      <c r="J1867" s="4">
        <v>5</v>
      </c>
      <c r="K1867" s="6">
        <v>9.07</v>
      </c>
    </row>
    <row r="1868" spans="1:11" x14ac:dyDescent="0.3">
      <c r="A1868" s="7">
        <v>41993</v>
      </c>
      <c r="B1868" s="4">
        <f>YEAR(SalesData[[#This Row],[Order Date]])</f>
        <v>2014</v>
      </c>
      <c r="C1868" s="4">
        <f>MONTH(SalesData[[#This Row],[Order Date]])</f>
        <v>12</v>
      </c>
      <c r="D1868" s="3" t="s">
        <v>904</v>
      </c>
      <c r="E1868" s="3" t="s">
        <v>27</v>
      </c>
      <c r="F1868" s="3" t="s">
        <v>11</v>
      </c>
      <c r="G1868" s="3" t="s">
        <v>20</v>
      </c>
      <c r="H1868" s="3" t="s">
        <v>37</v>
      </c>
      <c r="I1868" s="6">
        <v>487.98</v>
      </c>
      <c r="J1868" s="4">
        <v>2</v>
      </c>
      <c r="K1868" s="6">
        <v>152.5</v>
      </c>
    </row>
    <row r="1869" spans="1:11" x14ac:dyDescent="0.3">
      <c r="A1869" s="7">
        <v>41993</v>
      </c>
      <c r="B1869" s="4">
        <f>YEAR(SalesData[[#This Row],[Order Date]])</f>
        <v>2014</v>
      </c>
      <c r="C1869" s="4">
        <f>MONTH(SalesData[[#This Row],[Order Date]])</f>
        <v>12</v>
      </c>
      <c r="D1869" s="3" t="s">
        <v>904</v>
      </c>
      <c r="E1869" s="3" t="s">
        <v>27</v>
      </c>
      <c r="F1869" s="3" t="s">
        <v>11</v>
      </c>
      <c r="G1869" s="3" t="s">
        <v>24</v>
      </c>
      <c r="H1869" s="3" t="s">
        <v>484</v>
      </c>
      <c r="I1869" s="6">
        <v>47.3</v>
      </c>
      <c r="J1869" s="4">
        <v>2</v>
      </c>
      <c r="K1869" s="6">
        <v>12.3</v>
      </c>
    </row>
    <row r="1870" spans="1:11" x14ac:dyDescent="0.3">
      <c r="A1870" s="7">
        <v>41993</v>
      </c>
      <c r="B1870" s="4">
        <f>YEAR(SalesData[[#This Row],[Order Date]])</f>
        <v>2014</v>
      </c>
      <c r="C1870" s="4">
        <f>MONTH(SalesData[[#This Row],[Order Date]])</f>
        <v>12</v>
      </c>
      <c r="D1870" s="3" t="s">
        <v>904</v>
      </c>
      <c r="E1870" s="3" t="s">
        <v>27</v>
      </c>
      <c r="F1870" s="3" t="s">
        <v>11</v>
      </c>
      <c r="G1870" s="3" t="s">
        <v>24</v>
      </c>
      <c r="H1870" s="3" t="s">
        <v>1815</v>
      </c>
      <c r="I1870" s="6">
        <v>4.13</v>
      </c>
      <c r="J1870" s="4">
        <v>1</v>
      </c>
      <c r="K1870" s="6">
        <v>1.1599999999999999</v>
      </c>
    </row>
    <row r="1871" spans="1:11" x14ac:dyDescent="0.3">
      <c r="A1871" s="7">
        <v>41993</v>
      </c>
      <c r="B1871" s="4">
        <f>YEAR(SalesData[[#This Row],[Order Date]])</f>
        <v>2014</v>
      </c>
      <c r="C1871" s="4">
        <f>MONTH(SalesData[[#This Row],[Order Date]])</f>
        <v>12</v>
      </c>
      <c r="D1871" s="3" t="s">
        <v>904</v>
      </c>
      <c r="E1871" s="3" t="s">
        <v>27</v>
      </c>
      <c r="F1871" s="3" t="s">
        <v>11</v>
      </c>
      <c r="G1871" s="3" t="s">
        <v>20</v>
      </c>
      <c r="H1871" s="3" t="s">
        <v>300</v>
      </c>
      <c r="I1871" s="6">
        <v>155.12</v>
      </c>
      <c r="J1871" s="4">
        <v>5</v>
      </c>
      <c r="K1871" s="6">
        <v>50.41</v>
      </c>
    </row>
    <row r="1872" spans="1:11" x14ac:dyDescent="0.3">
      <c r="A1872" s="7">
        <v>41993</v>
      </c>
      <c r="B1872" s="4">
        <f>YEAR(SalesData[[#This Row],[Order Date]])</f>
        <v>2014</v>
      </c>
      <c r="C1872" s="4">
        <f>MONTH(SalesData[[#This Row],[Order Date]])</f>
        <v>12</v>
      </c>
      <c r="D1872" s="3" t="s">
        <v>1471</v>
      </c>
      <c r="E1872" s="3" t="s">
        <v>278</v>
      </c>
      <c r="F1872" s="3" t="s">
        <v>39</v>
      </c>
      <c r="G1872" s="3" t="s">
        <v>52</v>
      </c>
      <c r="H1872" s="3" t="s">
        <v>1816</v>
      </c>
      <c r="I1872" s="6">
        <v>447.94</v>
      </c>
      <c r="J1872" s="4">
        <v>7</v>
      </c>
      <c r="K1872" s="6">
        <v>89.59</v>
      </c>
    </row>
    <row r="1873" spans="1:11" x14ac:dyDescent="0.3">
      <c r="A1873" s="7">
        <v>41993</v>
      </c>
      <c r="B1873" s="4">
        <f>YEAR(SalesData[[#This Row],[Order Date]])</f>
        <v>2014</v>
      </c>
      <c r="C1873" s="4">
        <f>MONTH(SalesData[[#This Row],[Order Date]])</f>
        <v>12</v>
      </c>
      <c r="D1873" s="3" t="s">
        <v>1817</v>
      </c>
      <c r="E1873" s="3" t="s">
        <v>129</v>
      </c>
      <c r="F1873" s="3" t="s">
        <v>11</v>
      </c>
      <c r="G1873" s="3" t="s">
        <v>16</v>
      </c>
      <c r="H1873" s="3" t="s">
        <v>1818</v>
      </c>
      <c r="I1873" s="6">
        <v>3.69</v>
      </c>
      <c r="J1873" s="4">
        <v>1</v>
      </c>
      <c r="K1873" s="6">
        <v>1.73</v>
      </c>
    </row>
    <row r="1874" spans="1:11" x14ac:dyDescent="0.3">
      <c r="A1874" s="7">
        <v>41993</v>
      </c>
      <c r="B1874" s="4">
        <f>YEAR(SalesData[[#This Row],[Order Date]])</f>
        <v>2014</v>
      </c>
      <c r="C1874" s="4">
        <f>MONTH(SalesData[[#This Row],[Order Date]])</f>
        <v>12</v>
      </c>
      <c r="D1874" s="3" t="s">
        <v>1817</v>
      </c>
      <c r="E1874" s="3" t="s">
        <v>129</v>
      </c>
      <c r="F1874" s="3" t="s">
        <v>11</v>
      </c>
      <c r="G1874" s="3" t="s">
        <v>20</v>
      </c>
      <c r="H1874" s="3" t="s">
        <v>1103</v>
      </c>
      <c r="I1874" s="6">
        <v>1103.97</v>
      </c>
      <c r="J1874" s="4">
        <v>3</v>
      </c>
      <c r="K1874" s="6">
        <v>496.79</v>
      </c>
    </row>
    <row r="1875" spans="1:11" x14ac:dyDescent="0.3">
      <c r="A1875" s="7">
        <v>41993</v>
      </c>
      <c r="B1875" s="4">
        <f>YEAR(SalesData[[#This Row],[Order Date]])</f>
        <v>2014</v>
      </c>
      <c r="C1875" s="4">
        <f>MONTH(SalesData[[#This Row],[Order Date]])</f>
        <v>12</v>
      </c>
      <c r="D1875" s="3" t="s">
        <v>935</v>
      </c>
      <c r="E1875" s="3" t="s">
        <v>78</v>
      </c>
      <c r="F1875" s="3" t="s">
        <v>34</v>
      </c>
      <c r="G1875" s="3" t="s">
        <v>47</v>
      </c>
      <c r="H1875" s="3" t="s">
        <v>1715</v>
      </c>
      <c r="I1875" s="6">
        <v>190.85</v>
      </c>
      <c r="J1875" s="4">
        <v>3</v>
      </c>
      <c r="K1875" s="6">
        <v>-21.47</v>
      </c>
    </row>
    <row r="1876" spans="1:11" x14ac:dyDescent="0.3">
      <c r="A1876" s="7">
        <v>41993</v>
      </c>
      <c r="B1876" s="4">
        <f>YEAR(SalesData[[#This Row],[Order Date]])</f>
        <v>2014</v>
      </c>
      <c r="C1876" s="4">
        <f>MONTH(SalesData[[#This Row],[Order Date]])</f>
        <v>12</v>
      </c>
      <c r="D1876" s="3" t="s">
        <v>630</v>
      </c>
      <c r="E1876" s="3" t="s">
        <v>95</v>
      </c>
      <c r="F1876" s="3" t="s">
        <v>34</v>
      </c>
      <c r="G1876" s="3" t="s">
        <v>47</v>
      </c>
      <c r="H1876" s="3" t="s">
        <v>1362</v>
      </c>
      <c r="I1876" s="6">
        <v>51.97</v>
      </c>
      <c r="J1876" s="4">
        <v>2</v>
      </c>
      <c r="K1876" s="6">
        <v>10.39</v>
      </c>
    </row>
    <row r="1877" spans="1:11" x14ac:dyDescent="0.3">
      <c r="A1877" s="7">
        <v>41993</v>
      </c>
      <c r="B1877" s="4">
        <f>YEAR(SalesData[[#This Row],[Order Date]])</f>
        <v>2014</v>
      </c>
      <c r="C1877" s="4">
        <f>MONTH(SalesData[[#This Row],[Order Date]])</f>
        <v>12</v>
      </c>
      <c r="D1877" s="3" t="s">
        <v>630</v>
      </c>
      <c r="E1877" s="3" t="s">
        <v>95</v>
      </c>
      <c r="F1877" s="3" t="s">
        <v>39</v>
      </c>
      <c r="G1877" s="3" t="s">
        <v>52</v>
      </c>
      <c r="H1877" s="3" t="s">
        <v>84</v>
      </c>
      <c r="I1877" s="6">
        <v>71.98</v>
      </c>
      <c r="J1877" s="4">
        <v>3</v>
      </c>
      <c r="K1877" s="6">
        <v>21.59</v>
      </c>
    </row>
    <row r="1878" spans="1:11" x14ac:dyDescent="0.3">
      <c r="A1878" s="7">
        <v>41993</v>
      </c>
      <c r="B1878" s="4">
        <f>YEAR(SalesData[[#This Row],[Order Date]])</f>
        <v>2014</v>
      </c>
      <c r="C1878" s="4">
        <f>MONTH(SalesData[[#This Row],[Order Date]])</f>
        <v>12</v>
      </c>
      <c r="D1878" s="3" t="s">
        <v>630</v>
      </c>
      <c r="E1878" s="3" t="s">
        <v>95</v>
      </c>
      <c r="F1878" s="3" t="s">
        <v>34</v>
      </c>
      <c r="G1878" s="3" t="s">
        <v>35</v>
      </c>
      <c r="H1878" s="3" t="s">
        <v>1819</v>
      </c>
      <c r="I1878" s="6">
        <v>242.35</v>
      </c>
      <c r="J1878" s="4">
        <v>3</v>
      </c>
      <c r="K1878" s="6">
        <v>-42.41</v>
      </c>
    </row>
    <row r="1879" spans="1:11" x14ac:dyDescent="0.3">
      <c r="A1879" s="7">
        <v>41993</v>
      </c>
      <c r="B1879" s="4">
        <f>YEAR(SalesData[[#This Row],[Order Date]])</f>
        <v>2014</v>
      </c>
      <c r="C1879" s="4">
        <f>MONTH(SalesData[[#This Row],[Order Date]])</f>
        <v>12</v>
      </c>
      <c r="D1879" s="3" t="s">
        <v>630</v>
      </c>
      <c r="E1879" s="3" t="s">
        <v>95</v>
      </c>
      <c r="F1879" s="3" t="s">
        <v>11</v>
      </c>
      <c r="G1879" s="3" t="s">
        <v>12</v>
      </c>
      <c r="H1879" s="3" t="s">
        <v>1664</v>
      </c>
      <c r="I1879" s="6">
        <v>221.92</v>
      </c>
      <c r="J1879" s="4">
        <v>5</v>
      </c>
      <c r="K1879" s="6">
        <v>77.67</v>
      </c>
    </row>
    <row r="1880" spans="1:11" x14ac:dyDescent="0.3">
      <c r="A1880" s="7">
        <v>41993</v>
      </c>
      <c r="B1880" s="4">
        <f>YEAR(SalesData[[#This Row],[Order Date]])</f>
        <v>2014</v>
      </c>
      <c r="C1880" s="4">
        <f>MONTH(SalesData[[#This Row],[Order Date]])</f>
        <v>12</v>
      </c>
      <c r="D1880" s="3" t="s">
        <v>630</v>
      </c>
      <c r="E1880" s="3" t="s">
        <v>95</v>
      </c>
      <c r="F1880" s="3" t="s">
        <v>11</v>
      </c>
      <c r="G1880" s="3" t="s">
        <v>12</v>
      </c>
      <c r="H1880" s="3" t="s">
        <v>1376</v>
      </c>
      <c r="I1880" s="6">
        <v>8.4499999999999993</v>
      </c>
      <c r="J1880" s="4">
        <v>2</v>
      </c>
      <c r="K1880" s="6">
        <v>2.64</v>
      </c>
    </row>
    <row r="1881" spans="1:11" x14ac:dyDescent="0.3">
      <c r="A1881" s="7">
        <v>41993</v>
      </c>
      <c r="B1881" s="4">
        <f>YEAR(SalesData[[#This Row],[Order Date]])</f>
        <v>2014</v>
      </c>
      <c r="C1881" s="4">
        <f>MONTH(SalesData[[#This Row],[Order Date]])</f>
        <v>12</v>
      </c>
      <c r="D1881" s="3" t="s">
        <v>1563</v>
      </c>
      <c r="E1881" s="3" t="s">
        <v>10</v>
      </c>
      <c r="F1881" s="3" t="s">
        <v>11</v>
      </c>
      <c r="G1881" s="3" t="s">
        <v>92</v>
      </c>
      <c r="H1881" s="3" t="s">
        <v>1820</v>
      </c>
      <c r="I1881" s="6">
        <v>19.43</v>
      </c>
      <c r="J1881" s="4">
        <v>2</v>
      </c>
      <c r="K1881" s="6">
        <v>-49.55</v>
      </c>
    </row>
    <row r="1882" spans="1:11" x14ac:dyDescent="0.3">
      <c r="A1882" s="7">
        <v>41993</v>
      </c>
      <c r="B1882" s="4">
        <f>YEAR(SalesData[[#This Row],[Order Date]])</f>
        <v>2014</v>
      </c>
      <c r="C1882" s="4">
        <f>MONTH(SalesData[[#This Row],[Order Date]])</f>
        <v>12</v>
      </c>
      <c r="D1882" s="3" t="s">
        <v>1563</v>
      </c>
      <c r="E1882" s="3" t="s">
        <v>10</v>
      </c>
      <c r="F1882" s="3" t="s">
        <v>39</v>
      </c>
      <c r="G1882" s="3" t="s">
        <v>52</v>
      </c>
      <c r="H1882" s="3" t="s">
        <v>1068</v>
      </c>
      <c r="I1882" s="6">
        <v>65.44</v>
      </c>
      <c r="J1882" s="4">
        <v>5</v>
      </c>
      <c r="K1882" s="6">
        <v>-8.18</v>
      </c>
    </row>
    <row r="1883" spans="1:11" x14ac:dyDescent="0.3">
      <c r="A1883" s="7">
        <v>41993</v>
      </c>
      <c r="B1883" s="4">
        <f>YEAR(SalesData[[#This Row],[Order Date]])</f>
        <v>2014</v>
      </c>
      <c r="C1883" s="4">
        <f>MONTH(SalesData[[#This Row],[Order Date]])</f>
        <v>12</v>
      </c>
      <c r="D1883" s="3" t="s">
        <v>1401</v>
      </c>
      <c r="E1883" s="3" t="s">
        <v>149</v>
      </c>
      <c r="F1883" s="3" t="s">
        <v>34</v>
      </c>
      <c r="G1883" s="3" t="s">
        <v>35</v>
      </c>
      <c r="H1883" s="3" t="s">
        <v>1821</v>
      </c>
      <c r="I1883" s="6">
        <v>192.19</v>
      </c>
      <c r="J1883" s="4">
        <v>3</v>
      </c>
      <c r="K1883" s="6">
        <v>36.299999999999997</v>
      </c>
    </row>
    <row r="1884" spans="1:11" x14ac:dyDescent="0.3">
      <c r="A1884" s="7">
        <v>41994</v>
      </c>
      <c r="B1884" s="4">
        <f>YEAR(SalesData[[#This Row],[Order Date]])</f>
        <v>2014</v>
      </c>
      <c r="C1884" s="4">
        <f>MONTH(SalesData[[#This Row],[Order Date]])</f>
        <v>12</v>
      </c>
      <c r="D1884" s="3" t="s">
        <v>363</v>
      </c>
      <c r="E1884" s="3" t="s">
        <v>27</v>
      </c>
      <c r="F1884" s="3" t="s">
        <v>34</v>
      </c>
      <c r="G1884" s="3" t="s">
        <v>35</v>
      </c>
      <c r="H1884" s="3" t="s">
        <v>1237</v>
      </c>
      <c r="I1884" s="6">
        <v>1325.76</v>
      </c>
      <c r="J1884" s="4">
        <v>6</v>
      </c>
      <c r="K1884" s="6">
        <v>149.15</v>
      </c>
    </row>
    <row r="1885" spans="1:11" x14ac:dyDescent="0.3">
      <c r="A1885" s="7">
        <v>41994</v>
      </c>
      <c r="B1885" s="4">
        <f>YEAR(SalesData[[#This Row],[Order Date]])</f>
        <v>2014</v>
      </c>
      <c r="C1885" s="4">
        <f>MONTH(SalesData[[#This Row],[Order Date]])</f>
        <v>12</v>
      </c>
      <c r="D1885" s="3" t="s">
        <v>363</v>
      </c>
      <c r="E1885" s="3" t="s">
        <v>27</v>
      </c>
      <c r="F1885" s="3" t="s">
        <v>34</v>
      </c>
      <c r="G1885" s="3" t="s">
        <v>35</v>
      </c>
      <c r="H1885" s="3" t="s">
        <v>1679</v>
      </c>
      <c r="I1885" s="6">
        <v>572.16</v>
      </c>
      <c r="J1885" s="4">
        <v>3</v>
      </c>
      <c r="K1885" s="6">
        <v>35.76</v>
      </c>
    </row>
    <row r="1886" spans="1:11" x14ac:dyDescent="0.3">
      <c r="A1886" s="7">
        <v>41994</v>
      </c>
      <c r="B1886" s="4">
        <f>YEAR(SalesData[[#This Row],[Order Date]])</f>
        <v>2014</v>
      </c>
      <c r="C1886" s="4">
        <f>MONTH(SalesData[[#This Row],[Order Date]])</f>
        <v>12</v>
      </c>
      <c r="D1886" s="3" t="s">
        <v>910</v>
      </c>
      <c r="E1886" s="3" t="s">
        <v>120</v>
      </c>
      <c r="F1886" s="3" t="s">
        <v>11</v>
      </c>
      <c r="G1886" s="3" t="s">
        <v>20</v>
      </c>
      <c r="H1886" s="3" t="s">
        <v>701</v>
      </c>
      <c r="I1886" s="6">
        <v>18.239999999999998</v>
      </c>
      <c r="J1886" s="4">
        <v>2</v>
      </c>
      <c r="K1886" s="6">
        <v>-14.59</v>
      </c>
    </row>
    <row r="1887" spans="1:11" x14ac:dyDescent="0.3">
      <c r="A1887" s="7">
        <v>41994</v>
      </c>
      <c r="B1887" s="4">
        <f>YEAR(SalesData[[#This Row],[Order Date]])</f>
        <v>2014</v>
      </c>
      <c r="C1887" s="4">
        <f>MONTH(SalesData[[#This Row],[Order Date]])</f>
        <v>12</v>
      </c>
      <c r="D1887" s="3" t="s">
        <v>1301</v>
      </c>
      <c r="E1887" s="3" t="s">
        <v>59</v>
      </c>
      <c r="F1887" s="3" t="s">
        <v>11</v>
      </c>
      <c r="G1887" s="3" t="s">
        <v>16</v>
      </c>
      <c r="H1887" s="3" t="s">
        <v>359</v>
      </c>
      <c r="I1887" s="6">
        <v>17.28</v>
      </c>
      <c r="J1887" s="4">
        <v>6</v>
      </c>
      <c r="K1887" s="6">
        <v>7.95</v>
      </c>
    </row>
    <row r="1888" spans="1:11" x14ac:dyDescent="0.3">
      <c r="A1888" s="7">
        <v>41995</v>
      </c>
      <c r="B1888" s="4">
        <f>YEAR(SalesData[[#This Row],[Order Date]])</f>
        <v>2014</v>
      </c>
      <c r="C1888" s="4">
        <f>MONTH(SalesData[[#This Row],[Order Date]])</f>
        <v>12</v>
      </c>
      <c r="D1888" s="3" t="s">
        <v>1822</v>
      </c>
      <c r="E1888" s="3" t="s">
        <v>27</v>
      </c>
      <c r="F1888" s="3" t="s">
        <v>11</v>
      </c>
      <c r="G1888" s="3" t="s">
        <v>24</v>
      </c>
      <c r="H1888" s="3" t="s">
        <v>1823</v>
      </c>
      <c r="I1888" s="6">
        <v>11.76</v>
      </c>
      <c r="J1888" s="4">
        <v>4</v>
      </c>
      <c r="K1888" s="6">
        <v>3.18</v>
      </c>
    </row>
    <row r="1889" spans="1:11" x14ac:dyDescent="0.3">
      <c r="A1889" s="7">
        <v>41995</v>
      </c>
      <c r="B1889" s="4">
        <f>YEAR(SalesData[[#This Row],[Order Date]])</f>
        <v>2014</v>
      </c>
      <c r="C1889" s="4">
        <f>MONTH(SalesData[[#This Row],[Order Date]])</f>
        <v>12</v>
      </c>
      <c r="D1889" s="3" t="s">
        <v>695</v>
      </c>
      <c r="E1889" s="3" t="s">
        <v>149</v>
      </c>
      <c r="F1889" s="3" t="s">
        <v>11</v>
      </c>
      <c r="G1889" s="3" t="s">
        <v>18</v>
      </c>
      <c r="H1889" s="3" t="s">
        <v>1824</v>
      </c>
      <c r="I1889" s="6">
        <v>216.4</v>
      </c>
      <c r="J1889" s="4">
        <v>4</v>
      </c>
      <c r="K1889" s="6">
        <v>56.26</v>
      </c>
    </row>
    <row r="1890" spans="1:11" x14ac:dyDescent="0.3">
      <c r="A1890" s="7">
        <v>41995</v>
      </c>
      <c r="B1890" s="4">
        <f>YEAR(SalesData[[#This Row],[Order Date]])</f>
        <v>2014</v>
      </c>
      <c r="C1890" s="4">
        <f>MONTH(SalesData[[#This Row],[Order Date]])</f>
        <v>12</v>
      </c>
      <c r="D1890" s="3" t="s">
        <v>1211</v>
      </c>
      <c r="E1890" s="3" t="s">
        <v>15</v>
      </c>
      <c r="F1890" s="3" t="s">
        <v>11</v>
      </c>
      <c r="G1890" s="3" t="s">
        <v>18</v>
      </c>
      <c r="H1890" s="3" t="s">
        <v>374</v>
      </c>
      <c r="I1890" s="6">
        <v>132.16</v>
      </c>
      <c r="J1890" s="4">
        <v>1</v>
      </c>
      <c r="K1890" s="6">
        <v>9.91</v>
      </c>
    </row>
    <row r="1891" spans="1:11" x14ac:dyDescent="0.3">
      <c r="A1891" s="7">
        <v>41995</v>
      </c>
      <c r="B1891" s="4">
        <f>YEAR(SalesData[[#This Row],[Order Date]])</f>
        <v>2014</v>
      </c>
      <c r="C1891" s="4">
        <f>MONTH(SalesData[[#This Row],[Order Date]])</f>
        <v>12</v>
      </c>
      <c r="D1891" s="3" t="s">
        <v>1211</v>
      </c>
      <c r="E1891" s="3" t="s">
        <v>15</v>
      </c>
      <c r="F1891" s="3" t="s">
        <v>11</v>
      </c>
      <c r="G1891" s="3" t="s">
        <v>20</v>
      </c>
      <c r="H1891" s="3" t="s">
        <v>1825</v>
      </c>
      <c r="I1891" s="6">
        <v>17.899999999999999</v>
      </c>
      <c r="J1891" s="4">
        <v>6</v>
      </c>
      <c r="K1891" s="6">
        <v>-31.33</v>
      </c>
    </row>
    <row r="1892" spans="1:11" x14ac:dyDescent="0.3">
      <c r="A1892" s="7">
        <v>41995</v>
      </c>
      <c r="B1892" s="4">
        <f>YEAR(SalesData[[#This Row],[Order Date]])</f>
        <v>2014</v>
      </c>
      <c r="C1892" s="4">
        <f>MONTH(SalesData[[#This Row],[Order Date]])</f>
        <v>12</v>
      </c>
      <c r="D1892" s="3" t="s">
        <v>1211</v>
      </c>
      <c r="E1892" s="3" t="s">
        <v>15</v>
      </c>
      <c r="F1892" s="3" t="s">
        <v>11</v>
      </c>
      <c r="G1892" s="3" t="s">
        <v>12</v>
      </c>
      <c r="H1892" s="3" t="s">
        <v>1054</v>
      </c>
      <c r="I1892" s="6">
        <v>124.03</v>
      </c>
      <c r="J1892" s="4">
        <v>4</v>
      </c>
      <c r="K1892" s="6">
        <v>44.96</v>
      </c>
    </row>
    <row r="1893" spans="1:11" x14ac:dyDescent="0.3">
      <c r="A1893" s="7">
        <v>41995</v>
      </c>
      <c r="B1893" s="4">
        <f>YEAR(SalesData[[#This Row],[Order Date]])</f>
        <v>2014</v>
      </c>
      <c r="C1893" s="4">
        <f>MONTH(SalesData[[#This Row],[Order Date]])</f>
        <v>12</v>
      </c>
      <c r="D1893" s="3" t="s">
        <v>1826</v>
      </c>
      <c r="E1893" s="3" t="s">
        <v>149</v>
      </c>
      <c r="F1893" s="3" t="s">
        <v>11</v>
      </c>
      <c r="G1893" s="3" t="s">
        <v>20</v>
      </c>
      <c r="H1893" s="3" t="s">
        <v>1827</v>
      </c>
      <c r="I1893" s="6">
        <v>296.70999999999998</v>
      </c>
      <c r="J1893" s="4">
        <v>13</v>
      </c>
      <c r="K1893" s="6">
        <v>100.14</v>
      </c>
    </row>
    <row r="1894" spans="1:11" x14ac:dyDescent="0.3">
      <c r="A1894" s="7">
        <v>41996</v>
      </c>
      <c r="B1894" s="4">
        <f>YEAR(SalesData[[#This Row],[Order Date]])</f>
        <v>2014</v>
      </c>
      <c r="C1894" s="4">
        <f>MONTH(SalesData[[#This Row],[Order Date]])</f>
        <v>12</v>
      </c>
      <c r="D1894" s="3" t="s">
        <v>1828</v>
      </c>
      <c r="E1894" s="3" t="s">
        <v>129</v>
      </c>
      <c r="F1894" s="3" t="s">
        <v>11</v>
      </c>
      <c r="G1894" s="3" t="s">
        <v>92</v>
      </c>
      <c r="H1894" s="3" t="s">
        <v>1829</v>
      </c>
      <c r="I1894" s="6">
        <v>207.24</v>
      </c>
      <c r="J1894" s="4">
        <v>11</v>
      </c>
      <c r="K1894" s="6">
        <v>58.03</v>
      </c>
    </row>
    <row r="1895" spans="1:11" x14ac:dyDescent="0.3">
      <c r="A1895" s="7">
        <v>41996</v>
      </c>
      <c r="B1895" s="4">
        <f>YEAR(SalesData[[#This Row],[Order Date]])</f>
        <v>2014</v>
      </c>
      <c r="C1895" s="4">
        <f>MONTH(SalesData[[#This Row],[Order Date]])</f>
        <v>12</v>
      </c>
      <c r="D1895" s="3" t="s">
        <v>1568</v>
      </c>
      <c r="E1895" s="3" t="s">
        <v>149</v>
      </c>
      <c r="F1895" s="3" t="s">
        <v>34</v>
      </c>
      <c r="G1895" s="3" t="s">
        <v>145</v>
      </c>
      <c r="H1895" s="3" t="s">
        <v>1830</v>
      </c>
      <c r="I1895" s="6">
        <v>53.32</v>
      </c>
      <c r="J1895" s="4">
        <v>2</v>
      </c>
      <c r="K1895" s="6">
        <v>-19.55</v>
      </c>
    </row>
    <row r="1896" spans="1:11" x14ac:dyDescent="0.3">
      <c r="A1896" s="7">
        <v>41996</v>
      </c>
      <c r="B1896" s="4">
        <f>YEAR(SalesData[[#This Row],[Order Date]])</f>
        <v>2014</v>
      </c>
      <c r="C1896" s="4">
        <f>MONTH(SalesData[[#This Row],[Order Date]])</f>
        <v>12</v>
      </c>
      <c r="D1896" s="3" t="s">
        <v>1568</v>
      </c>
      <c r="E1896" s="3" t="s">
        <v>149</v>
      </c>
      <c r="F1896" s="3" t="s">
        <v>11</v>
      </c>
      <c r="G1896" s="3" t="s">
        <v>92</v>
      </c>
      <c r="H1896" s="3" t="s">
        <v>1829</v>
      </c>
      <c r="I1896" s="6">
        <v>56.52</v>
      </c>
      <c r="J1896" s="4">
        <v>3</v>
      </c>
      <c r="K1896" s="6">
        <v>15.83</v>
      </c>
    </row>
    <row r="1897" spans="1:11" x14ac:dyDescent="0.3">
      <c r="A1897" s="7">
        <v>41996</v>
      </c>
      <c r="B1897" s="4">
        <f>YEAR(SalesData[[#This Row],[Order Date]])</f>
        <v>2014</v>
      </c>
      <c r="C1897" s="4">
        <f>MONTH(SalesData[[#This Row],[Order Date]])</f>
        <v>12</v>
      </c>
      <c r="D1897" s="3" t="s">
        <v>989</v>
      </c>
      <c r="E1897" s="3" t="s">
        <v>10</v>
      </c>
      <c r="F1897" s="3" t="s">
        <v>11</v>
      </c>
      <c r="G1897" s="3" t="s">
        <v>12</v>
      </c>
      <c r="H1897" s="3" t="s">
        <v>1219</v>
      </c>
      <c r="I1897" s="6">
        <v>5.18</v>
      </c>
      <c r="J1897" s="4">
        <v>1</v>
      </c>
      <c r="K1897" s="6">
        <v>1.81</v>
      </c>
    </row>
    <row r="1898" spans="1:11" x14ac:dyDescent="0.3">
      <c r="A1898" s="7">
        <v>41996</v>
      </c>
      <c r="B1898" s="4">
        <f>YEAR(SalesData[[#This Row],[Order Date]])</f>
        <v>2014</v>
      </c>
      <c r="C1898" s="4">
        <f>MONTH(SalesData[[#This Row],[Order Date]])</f>
        <v>12</v>
      </c>
      <c r="D1898" s="3" t="s">
        <v>1831</v>
      </c>
      <c r="E1898" s="3" t="s">
        <v>123</v>
      </c>
      <c r="F1898" s="3" t="s">
        <v>11</v>
      </c>
      <c r="G1898" s="3" t="s">
        <v>12</v>
      </c>
      <c r="H1898" s="3" t="s">
        <v>1832</v>
      </c>
      <c r="I1898" s="6">
        <v>45.53</v>
      </c>
      <c r="J1898" s="4">
        <v>3</v>
      </c>
      <c r="K1898" s="6">
        <v>15.93</v>
      </c>
    </row>
    <row r="1899" spans="1:11" x14ac:dyDescent="0.3">
      <c r="A1899" s="7">
        <v>41996</v>
      </c>
      <c r="B1899" s="4">
        <f>YEAR(SalesData[[#This Row],[Order Date]])</f>
        <v>2014</v>
      </c>
      <c r="C1899" s="4">
        <f>MONTH(SalesData[[#This Row],[Order Date]])</f>
        <v>12</v>
      </c>
      <c r="D1899" s="3" t="s">
        <v>1831</v>
      </c>
      <c r="E1899" s="3" t="s">
        <v>123</v>
      </c>
      <c r="F1899" s="3" t="s">
        <v>34</v>
      </c>
      <c r="G1899" s="3" t="s">
        <v>35</v>
      </c>
      <c r="H1899" s="3" t="s">
        <v>862</v>
      </c>
      <c r="I1899" s="6">
        <v>64.78</v>
      </c>
      <c r="J1899" s="4">
        <v>1</v>
      </c>
      <c r="K1899" s="6">
        <v>6.48</v>
      </c>
    </row>
    <row r="1900" spans="1:11" x14ac:dyDescent="0.3">
      <c r="A1900" s="7">
        <v>41996</v>
      </c>
      <c r="B1900" s="4">
        <f>YEAR(SalesData[[#This Row],[Order Date]])</f>
        <v>2014</v>
      </c>
      <c r="C1900" s="4">
        <f>MONTH(SalesData[[#This Row],[Order Date]])</f>
        <v>12</v>
      </c>
      <c r="D1900" s="3" t="s">
        <v>1831</v>
      </c>
      <c r="E1900" s="3" t="s">
        <v>123</v>
      </c>
      <c r="F1900" s="3" t="s">
        <v>11</v>
      </c>
      <c r="G1900" s="3" t="s">
        <v>18</v>
      </c>
      <c r="H1900" s="3" t="s">
        <v>73</v>
      </c>
      <c r="I1900" s="6">
        <v>424.27</v>
      </c>
      <c r="J1900" s="4">
        <v>2</v>
      </c>
      <c r="K1900" s="6">
        <v>-10.61</v>
      </c>
    </row>
    <row r="1901" spans="1:11" x14ac:dyDescent="0.3">
      <c r="A1901" s="7">
        <v>41996</v>
      </c>
      <c r="B1901" s="4">
        <f>YEAR(SalesData[[#This Row],[Order Date]])</f>
        <v>2014</v>
      </c>
      <c r="C1901" s="4">
        <f>MONTH(SalesData[[#This Row],[Order Date]])</f>
        <v>12</v>
      </c>
      <c r="D1901" s="3" t="s">
        <v>1831</v>
      </c>
      <c r="E1901" s="3" t="s">
        <v>123</v>
      </c>
      <c r="F1901" s="3" t="s">
        <v>11</v>
      </c>
      <c r="G1901" s="3" t="s">
        <v>24</v>
      </c>
      <c r="H1901" s="3" t="s">
        <v>541</v>
      </c>
      <c r="I1901" s="6">
        <v>1.34</v>
      </c>
      <c r="J1901" s="4">
        <v>1</v>
      </c>
      <c r="K1901" s="6">
        <v>0.5</v>
      </c>
    </row>
    <row r="1902" spans="1:11" x14ac:dyDescent="0.3">
      <c r="A1902" s="7">
        <v>41996</v>
      </c>
      <c r="B1902" s="4">
        <f>YEAR(SalesData[[#This Row],[Order Date]])</f>
        <v>2014</v>
      </c>
      <c r="C1902" s="4">
        <f>MONTH(SalesData[[#This Row],[Order Date]])</f>
        <v>12</v>
      </c>
      <c r="D1902" s="3" t="s">
        <v>1831</v>
      </c>
      <c r="E1902" s="3" t="s">
        <v>123</v>
      </c>
      <c r="F1902" s="3" t="s">
        <v>11</v>
      </c>
      <c r="G1902" s="3" t="s">
        <v>18</v>
      </c>
      <c r="H1902" s="3" t="s">
        <v>1592</v>
      </c>
      <c r="I1902" s="6">
        <v>83.92</v>
      </c>
      <c r="J1902" s="4">
        <v>5</v>
      </c>
      <c r="K1902" s="6">
        <v>-1.05</v>
      </c>
    </row>
    <row r="1903" spans="1:11" x14ac:dyDescent="0.3">
      <c r="A1903" s="7">
        <v>41997</v>
      </c>
      <c r="B1903" s="4">
        <f>YEAR(SalesData[[#This Row],[Order Date]])</f>
        <v>2014</v>
      </c>
      <c r="C1903" s="4">
        <f>MONTH(SalesData[[#This Row],[Order Date]])</f>
        <v>12</v>
      </c>
      <c r="D1903" s="3" t="s">
        <v>1027</v>
      </c>
      <c r="E1903" s="3" t="s">
        <v>123</v>
      </c>
      <c r="F1903" s="3" t="s">
        <v>11</v>
      </c>
      <c r="G1903" s="3" t="s">
        <v>12</v>
      </c>
      <c r="H1903" s="3" t="s">
        <v>1612</v>
      </c>
      <c r="I1903" s="6">
        <v>9.57</v>
      </c>
      <c r="J1903" s="4">
        <v>2</v>
      </c>
      <c r="K1903" s="6">
        <v>3.47</v>
      </c>
    </row>
    <row r="1904" spans="1:11" x14ac:dyDescent="0.3">
      <c r="A1904" s="7">
        <v>41997</v>
      </c>
      <c r="B1904" s="4">
        <f>YEAR(SalesData[[#This Row],[Order Date]])</f>
        <v>2014</v>
      </c>
      <c r="C1904" s="4">
        <f>MONTH(SalesData[[#This Row],[Order Date]])</f>
        <v>12</v>
      </c>
      <c r="D1904" s="3" t="s">
        <v>712</v>
      </c>
      <c r="E1904" s="3" t="s">
        <v>78</v>
      </c>
      <c r="F1904" s="3" t="s">
        <v>34</v>
      </c>
      <c r="G1904" s="3" t="s">
        <v>47</v>
      </c>
      <c r="H1904" s="3" t="s">
        <v>1833</v>
      </c>
      <c r="I1904" s="6">
        <v>30.36</v>
      </c>
      <c r="J1904" s="4">
        <v>5</v>
      </c>
      <c r="K1904" s="6">
        <v>8.73</v>
      </c>
    </row>
    <row r="1905" spans="1:11" x14ac:dyDescent="0.3">
      <c r="A1905" s="7">
        <v>41997</v>
      </c>
      <c r="B1905" s="4">
        <f>YEAR(SalesData[[#This Row],[Order Date]])</f>
        <v>2014</v>
      </c>
      <c r="C1905" s="4">
        <f>MONTH(SalesData[[#This Row],[Order Date]])</f>
        <v>12</v>
      </c>
      <c r="D1905" s="3" t="s">
        <v>1655</v>
      </c>
      <c r="E1905" s="3" t="s">
        <v>27</v>
      </c>
      <c r="F1905" s="3" t="s">
        <v>11</v>
      </c>
      <c r="G1905" s="3" t="s">
        <v>18</v>
      </c>
      <c r="H1905" s="3" t="s">
        <v>974</v>
      </c>
      <c r="I1905" s="6">
        <v>142.86000000000001</v>
      </c>
      <c r="J1905" s="4">
        <v>1</v>
      </c>
      <c r="K1905" s="6">
        <v>41.43</v>
      </c>
    </row>
    <row r="1906" spans="1:11" x14ac:dyDescent="0.3">
      <c r="A1906" s="7">
        <v>41997</v>
      </c>
      <c r="B1906" s="4">
        <f>YEAR(SalesData[[#This Row],[Order Date]])</f>
        <v>2014</v>
      </c>
      <c r="C1906" s="4">
        <f>MONTH(SalesData[[#This Row],[Order Date]])</f>
        <v>12</v>
      </c>
      <c r="D1906" s="3" t="s">
        <v>1655</v>
      </c>
      <c r="E1906" s="3" t="s">
        <v>27</v>
      </c>
      <c r="F1906" s="3" t="s">
        <v>34</v>
      </c>
      <c r="G1906" s="3" t="s">
        <v>35</v>
      </c>
      <c r="H1906" s="3" t="s">
        <v>187</v>
      </c>
      <c r="I1906" s="6">
        <v>292.27</v>
      </c>
      <c r="J1906" s="4">
        <v>6</v>
      </c>
      <c r="K1906" s="6">
        <v>18.27</v>
      </c>
    </row>
    <row r="1907" spans="1:11" x14ac:dyDescent="0.3">
      <c r="A1907" s="7">
        <v>41997</v>
      </c>
      <c r="B1907" s="4">
        <f>YEAR(SalesData[[#This Row],[Order Date]])</f>
        <v>2014</v>
      </c>
      <c r="C1907" s="4">
        <f>MONTH(SalesData[[#This Row],[Order Date]])</f>
        <v>12</v>
      </c>
      <c r="D1907" s="3" t="s">
        <v>530</v>
      </c>
      <c r="E1907" s="3" t="s">
        <v>27</v>
      </c>
      <c r="F1907" s="3" t="s">
        <v>39</v>
      </c>
      <c r="G1907" s="3" t="s">
        <v>40</v>
      </c>
      <c r="H1907" s="3" t="s">
        <v>1834</v>
      </c>
      <c r="I1907" s="6">
        <v>173.66</v>
      </c>
      <c r="J1907" s="4">
        <v>7</v>
      </c>
      <c r="K1907" s="6">
        <v>17.37</v>
      </c>
    </row>
    <row r="1908" spans="1:11" x14ac:dyDescent="0.3">
      <c r="A1908" s="7">
        <v>41997</v>
      </c>
      <c r="B1908" s="4">
        <f>YEAR(SalesData[[#This Row],[Order Date]])</f>
        <v>2014</v>
      </c>
      <c r="C1908" s="4">
        <f>MONTH(SalesData[[#This Row],[Order Date]])</f>
        <v>12</v>
      </c>
      <c r="D1908" s="3" t="s">
        <v>530</v>
      </c>
      <c r="E1908" s="3" t="s">
        <v>27</v>
      </c>
      <c r="F1908" s="3" t="s">
        <v>11</v>
      </c>
      <c r="G1908" s="3" t="s">
        <v>92</v>
      </c>
      <c r="H1908" s="3" t="s">
        <v>1835</v>
      </c>
      <c r="I1908" s="6">
        <v>361.96</v>
      </c>
      <c r="J1908" s="4">
        <v>2</v>
      </c>
      <c r="K1908" s="6">
        <v>101.35</v>
      </c>
    </row>
    <row r="1909" spans="1:11" x14ac:dyDescent="0.3">
      <c r="A1909" s="7">
        <v>41997</v>
      </c>
      <c r="B1909" s="4">
        <f>YEAR(SalesData[[#This Row],[Order Date]])</f>
        <v>2014</v>
      </c>
      <c r="C1909" s="4">
        <f>MONTH(SalesData[[#This Row],[Order Date]])</f>
        <v>12</v>
      </c>
      <c r="D1909" s="3" t="s">
        <v>530</v>
      </c>
      <c r="E1909" s="3" t="s">
        <v>27</v>
      </c>
      <c r="F1909" s="3" t="s">
        <v>39</v>
      </c>
      <c r="G1909" s="3" t="s">
        <v>52</v>
      </c>
      <c r="H1909" s="3" t="s">
        <v>1836</v>
      </c>
      <c r="I1909" s="6">
        <v>62.85</v>
      </c>
      <c r="J1909" s="4">
        <v>3</v>
      </c>
      <c r="K1909" s="6">
        <v>13.2</v>
      </c>
    </row>
    <row r="1910" spans="1:11" x14ac:dyDescent="0.3">
      <c r="A1910" s="7">
        <v>41997</v>
      </c>
      <c r="B1910" s="4">
        <f>YEAR(SalesData[[#This Row],[Order Date]])</f>
        <v>2014</v>
      </c>
      <c r="C1910" s="4">
        <f>MONTH(SalesData[[#This Row],[Order Date]])</f>
        <v>12</v>
      </c>
      <c r="D1910" s="3" t="s">
        <v>530</v>
      </c>
      <c r="E1910" s="3" t="s">
        <v>27</v>
      </c>
      <c r="F1910" s="3" t="s">
        <v>39</v>
      </c>
      <c r="G1910" s="3" t="s">
        <v>40</v>
      </c>
      <c r="H1910" s="3" t="s">
        <v>1100</v>
      </c>
      <c r="I1910" s="6">
        <v>818.38</v>
      </c>
      <c r="J1910" s="4">
        <v>3</v>
      </c>
      <c r="K1910" s="6">
        <v>51.15</v>
      </c>
    </row>
    <row r="1911" spans="1:11" x14ac:dyDescent="0.3">
      <c r="A1911" s="7">
        <v>41997</v>
      </c>
      <c r="B1911" s="4">
        <f>YEAR(SalesData[[#This Row],[Order Date]])</f>
        <v>2014</v>
      </c>
      <c r="C1911" s="4">
        <f>MONTH(SalesData[[#This Row],[Order Date]])</f>
        <v>12</v>
      </c>
      <c r="D1911" s="3" t="s">
        <v>530</v>
      </c>
      <c r="E1911" s="3" t="s">
        <v>27</v>
      </c>
      <c r="F1911" s="3" t="s">
        <v>11</v>
      </c>
      <c r="G1911" s="3" t="s">
        <v>18</v>
      </c>
      <c r="H1911" s="3" t="s">
        <v>356</v>
      </c>
      <c r="I1911" s="6">
        <v>20.34</v>
      </c>
      <c r="J1911" s="4">
        <v>1</v>
      </c>
      <c r="K1911" s="6">
        <v>0.2</v>
      </c>
    </row>
    <row r="1912" spans="1:11" x14ac:dyDescent="0.3">
      <c r="A1912" s="7">
        <v>41997</v>
      </c>
      <c r="B1912" s="4">
        <f>YEAR(SalesData[[#This Row],[Order Date]])</f>
        <v>2014</v>
      </c>
      <c r="C1912" s="4">
        <f>MONTH(SalesData[[#This Row],[Order Date]])</f>
        <v>12</v>
      </c>
      <c r="D1912" s="3" t="s">
        <v>530</v>
      </c>
      <c r="E1912" s="3" t="s">
        <v>27</v>
      </c>
      <c r="F1912" s="3" t="s">
        <v>34</v>
      </c>
      <c r="G1912" s="3" t="s">
        <v>47</v>
      </c>
      <c r="H1912" s="3" t="s">
        <v>1837</v>
      </c>
      <c r="I1912" s="6">
        <v>23.99</v>
      </c>
      <c r="J1912" s="4">
        <v>1</v>
      </c>
      <c r="K1912" s="6">
        <v>5.52</v>
      </c>
    </row>
    <row r="1913" spans="1:11" x14ac:dyDescent="0.3">
      <c r="A1913" s="7">
        <v>41997</v>
      </c>
      <c r="B1913" s="4">
        <f>YEAR(SalesData[[#This Row],[Order Date]])</f>
        <v>2014</v>
      </c>
      <c r="C1913" s="4">
        <f>MONTH(SalesData[[#This Row],[Order Date]])</f>
        <v>12</v>
      </c>
      <c r="D1913" s="3" t="s">
        <v>1361</v>
      </c>
      <c r="E1913" s="3" t="s">
        <v>27</v>
      </c>
      <c r="F1913" s="3" t="s">
        <v>11</v>
      </c>
      <c r="G1913" s="3" t="s">
        <v>92</v>
      </c>
      <c r="H1913" s="3" t="s">
        <v>1838</v>
      </c>
      <c r="I1913" s="6">
        <v>13.97</v>
      </c>
      <c r="J1913" s="4">
        <v>1</v>
      </c>
      <c r="K1913" s="6">
        <v>3.63</v>
      </c>
    </row>
    <row r="1914" spans="1:11" x14ac:dyDescent="0.3">
      <c r="A1914" s="7">
        <v>41999</v>
      </c>
      <c r="B1914" s="4">
        <f>YEAR(SalesData[[#This Row],[Order Date]])</f>
        <v>2014</v>
      </c>
      <c r="C1914" s="4">
        <f>MONTH(SalesData[[#This Row],[Order Date]])</f>
        <v>12</v>
      </c>
      <c r="D1914" s="3" t="s">
        <v>1665</v>
      </c>
      <c r="E1914" s="3" t="s">
        <v>10</v>
      </c>
      <c r="F1914" s="3" t="s">
        <v>34</v>
      </c>
      <c r="G1914" s="3" t="s">
        <v>35</v>
      </c>
      <c r="H1914" s="3" t="s">
        <v>36</v>
      </c>
      <c r="I1914" s="6">
        <v>600.55999999999995</v>
      </c>
      <c r="J1914" s="4">
        <v>3</v>
      </c>
      <c r="K1914" s="6">
        <v>-8.58</v>
      </c>
    </row>
    <row r="1915" spans="1:11" x14ac:dyDescent="0.3">
      <c r="A1915" s="7">
        <v>41999</v>
      </c>
      <c r="B1915" s="4">
        <f>YEAR(SalesData[[#This Row],[Order Date]])</f>
        <v>2014</v>
      </c>
      <c r="C1915" s="4">
        <f>MONTH(SalesData[[#This Row],[Order Date]])</f>
        <v>12</v>
      </c>
      <c r="D1915" s="3" t="s">
        <v>817</v>
      </c>
      <c r="E1915" s="3" t="s">
        <v>278</v>
      </c>
      <c r="F1915" s="3" t="s">
        <v>34</v>
      </c>
      <c r="G1915" s="3" t="s">
        <v>47</v>
      </c>
      <c r="H1915" s="3" t="s">
        <v>535</v>
      </c>
      <c r="I1915" s="6">
        <v>300.42</v>
      </c>
      <c r="J1915" s="4">
        <v>8</v>
      </c>
      <c r="K1915" s="6">
        <v>78.86</v>
      </c>
    </row>
    <row r="1916" spans="1:11" x14ac:dyDescent="0.3">
      <c r="A1916" s="7">
        <v>41999</v>
      </c>
      <c r="B1916" s="4">
        <f>YEAR(SalesData[[#This Row],[Order Date]])</f>
        <v>2014</v>
      </c>
      <c r="C1916" s="4">
        <f>MONTH(SalesData[[#This Row],[Order Date]])</f>
        <v>12</v>
      </c>
      <c r="D1916" s="3" t="s">
        <v>817</v>
      </c>
      <c r="E1916" s="3" t="s">
        <v>278</v>
      </c>
      <c r="F1916" s="3" t="s">
        <v>34</v>
      </c>
      <c r="G1916" s="3" t="s">
        <v>35</v>
      </c>
      <c r="H1916" s="3" t="s">
        <v>1839</v>
      </c>
      <c r="I1916" s="6">
        <v>230.35</v>
      </c>
      <c r="J1916" s="4">
        <v>3</v>
      </c>
      <c r="K1916" s="6">
        <v>20.16</v>
      </c>
    </row>
    <row r="1917" spans="1:11" x14ac:dyDescent="0.3">
      <c r="A1917" s="7">
        <v>41999</v>
      </c>
      <c r="B1917" s="4">
        <f>YEAR(SalesData[[#This Row],[Order Date]])</f>
        <v>2014</v>
      </c>
      <c r="C1917" s="4">
        <f>MONTH(SalesData[[#This Row],[Order Date]])</f>
        <v>12</v>
      </c>
      <c r="D1917" s="3" t="s">
        <v>817</v>
      </c>
      <c r="E1917" s="3" t="s">
        <v>278</v>
      </c>
      <c r="F1917" s="3" t="s">
        <v>34</v>
      </c>
      <c r="G1917" s="3" t="s">
        <v>47</v>
      </c>
      <c r="H1917" s="3" t="s">
        <v>112</v>
      </c>
      <c r="I1917" s="6">
        <v>218.35</v>
      </c>
      <c r="J1917" s="4">
        <v>3</v>
      </c>
      <c r="K1917" s="6">
        <v>-24.56</v>
      </c>
    </row>
    <row r="1918" spans="1:11" x14ac:dyDescent="0.3">
      <c r="A1918" s="7">
        <v>41999</v>
      </c>
      <c r="B1918" s="4">
        <f>YEAR(SalesData[[#This Row],[Order Date]])</f>
        <v>2014</v>
      </c>
      <c r="C1918" s="4">
        <f>MONTH(SalesData[[#This Row],[Order Date]])</f>
        <v>12</v>
      </c>
      <c r="D1918" s="3" t="s">
        <v>817</v>
      </c>
      <c r="E1918" s="3" t="s">
        <v>278</v>
      </c>
      <c r="F1918" s="3" t="s">
        <v>11</v>
      </c>
      <c r="G1918" s="3" t="s">
        <v>20</v>
      </c>
      <c r="H1918" s="3" t="s">
        <v>165</v>
      </c>
      <c r="I1918" s="6">
        <v>78.599999999999994</v>
      </c>
      <c r="J1918" s="4">
        <v>5</v>
      </c>
      <c r="K1918" s="6">
        <v>-62.88</v>
      </c>
    </row>
    <row r="1919" spans="1:11" x14ac:dyDescent="0.3">
      <c r="A1919" s="7">
        <v>41999</v>
      </c>
      <c r="B1919" s="4">
        <f>YEAR(SalesData[[#This Row],[Order Date]])</f>
        <v>2014</v>
      </c>
      <c r="C1919" s="4">
        <f>MONTH(SalesData[[#This Row],[Order Date]])</f>
        <v>12</v>
      </c>
      <c r="D1919" s="3" t="s">
        <v>817</v>
      </c>
      <c r="E1919" s="3" t="s">
        <v>278</v>
      </c>
      <c r="F1919" s="3" t="s">
        <v>11</v>
      </c>
      <c r="G1919" s="3" t="s">
        <v>43</v>
      </c>
      <c r="H1919" s="3" t="s">
        <v>1109</v>
      </c>
      <c r="I1919" s="6">
        <v>27.55</v>
      </c>
      <c r="J1919" s="4">
        <v>3</v>
      </c>
      <c r="K1919" s="6">
        <v>9.3000000000000007</v>
      </c>
    </row>
    <row r="1920" spans="1:11" x14ac:dyDescent="0.3">
      <c r="A1920" s="7">
        <v>41999</v>
      </c>
      <c r="B1920" s="4">
        <f>YEAR(SalesData[[#This Row],[Order Date]])</f>
        <v>2014</v>
      </c>
      <c r="C1920" s="4">
        <f>MONTH(SalesData[[#This Row],[Order Date]])</f>
        <v>12</v>
      </c>
      <c r="D1920" s="3" t="s">
        <v>383</v>
      </c>
      <c r="E1920" s="3" t="s">
        <v>15</v>
      </c>
      <c r="F1920" s="3" t="s">
        <v>11</v>
      </c>
      <c r="G1920" s="3" t="s">
        <v>20</v>
      </c>
      <c r="H1920" s="3" t="s">
        <v>966</v>
      </c>
      <c r="I1920" s="6">
        <v>8.69</v>
      </c>
      <c r="J1920" s="4">
        <v>5</v>
      </c>
      <c r="K1920" s="6">
        <v>-14.77</v>
      </c>
    </row>
    <row r="1921" spans="1:11" x14ac:dyDescent="0.3">
      <c r="A1921" s="7">
        <v>41999</v>
      </c>
      <c r="B1921" s="4">
        <f>YEAR(SalesData[[#This Row],[Order Date]])</f>
        <v>2014</v>
      </c>
      <c r="C1921" s="4">
        <f>MONTH(SalesData[[#This Row],[Order Date]])</f>
        <v>12</v>
      </c>
      <c r="D1921" s="3" t="s">
        <v>1840</v>
      </c>
      <c r="E1921" s="3" t="s">
        <v>27</v>
      </c>
      <c r="F1921" s="3" t="s">
        <v>11</v>
      </c>
      <c r="G1921" s="3" t="s">
        <v>200</v>
      </c>
      <c r="H1921" s="3" t="s">
        <v>1841</v>
      </c>
      <c r="I1921" s="6">
        <v>11.91</v>
      </c>
      <c r="J1921" s="4">
        <v>3</v>
      </c>
      <c r="K1921" s="6">
        <v>0.12</v>
      </c>
    </row>
    <row r="1922" spans="1:11" x14ac:dyDescent="0.3">
      <c r="A1922" s="7">
        <v>41999</v>
      </c>
      <c r="B1922" s="4">
        <f>YEAR(SalesData[[#This Row],[Order Date]])</f>
        <v>2014</v>
      </c>
      <c r="C1922" s="4">
        <f>MONTH(SalesData[[#This Row],[Order Date]])</f>
        <v>12</v>
      </c>
      <c r="D1922" s="3" t="s">
        <v>1840</v>
      </c>
      <c r="E1922" s="3" t="s">
        <v>27</v>
      </c>
      <c r="F1922" s="3" t="s">
        <v>34</v>
      </c>
      <c r="G1922" s="3" t="s">
        <v>47</v>
      </c>
      <c r="H1922" s="3" t="s">
        <v>616</v>
      </c>
      <c r="I1922" s="6">
        <v>3.48</v>
      </c>
      <c r="J1922" s="4">
        <v>2</v>
      </c>
      <c r="K1922" s="6">
        <v>1.1100000000000001</v>
      </c>
    </row>
    <row r="1923" spans="1:11" x14ac:dyDescent="0.3">
      <c r="A1923" s="7">
        <v>41999</v>
      </c>
      <c r="B1923" s="4">
        <f>YEAR(SalesData[[#This Row],[Order Date]])</f>
        <v>2014</v>
      </c>
      <c r="C1923" s="4">
        <f>MONTH(SalesData[[#This Row],[Order Date]])</f>
        <v>12</v>
      </c>
      <c r="D1923" s="3" t="s">
        <v>1842</v>
      </c>
      <c r="E1923" s="3" t="s">
        <v>23</v>
      </c>
      <c r="F1923" s="3" t="s">
        <v>11</v>
      </c>
      <c r="G1923" s="3" t="s">
        <v>12</v>
      </c>
      <c r="H1923" s="3" t="s">
        <v>985</v>
      </c>
      <c r="I1923" s="6">
        <v>18.260000000000002</v>
      </c>
      <c r="J1923" s="4">
        <v>3</v>
      </c>
      <c r="K1923" s="6">
        <v>6.16</v>
      </c>
    </row>
    <row r="1924" spans="1:11" x14ac:dyDescent="0.3">
      <c r="A1924" s="7">
        <v>41999</v>
      </c>
      <c r="B1924" s="4">
        <f>YEAR(SalesData[[#This Row],[Order Date]])</f>
        <v>2014</v>
      </c>
      <c r="C1924" s="4">
        <f>MONTH(SalesData[[#This Row],[Order Date]])</f>
        <v>12</v>
      </c>
      <c r="D1924" s="3" t="s">
        <v>1842</v>
      </c>
      <c r="E1924" s="3" t="s">
        <v>23</v>
      </c>
      <c r="F1924" s="3" t="s">
        <v>11</v>
      </c>
      <c r="G1924" s="3" t="s">
        <v>92</v>
      </c>
      <c r="H1924" s="3" t="s">
        <v>1843</v>
      </c>
      <c r="I1924" s="6">
        <v>34.659999999999997</v>
      </c>
      <c r="J1924" s="4">
        <v>2</v>
      </c>
      <c r="K1924" s="6">
        <v>5.63</v>
      </c>
    </row>
    <row r="1925" spans="1:11" x14ac:dyDescent="0.3">
      <c r="A1925" s="7">
        <v>41999</v>
      </c>
      <c r="B1925" s="4">
        <f>YEAR(SalesData[[#This Row],[Order Date]])</f>
        <v>2014</v>
      </c>
      <c r="C1925" s="4">
        <f>MONTH(SalesData[[#This Row],[Order Date]])</f>
        <v>12</v>
      </c>
      <c r="D1925" s="3" t="s">
        <v>1842</v>
      </c>
      <c r="E1925" s="3" t="s">
        <v>23</v>
      </c>
      <c r="F1925" s="3" t="s">
        <v>11</v>
      </c>
      <c r="G1925" s="3" t="s">
        <v>92</v>
      </c>
      <c r="H1925" s="3" t="s">
        <v>1125</v>
      </c>
      <c r="I1925" s="6">
        <v>81.55</v>
      </c>
      <c r="J1925" s="4">
        <v>2</v>
      </c>
      <c r="K1925" s="6">
        <v>8.16</v>
      </c>
    </row>
    <row r="1926" spans="1:11" x14ac:dyDescent="0.3">
      <c r="A1926" s="7">
        <v>41999</v>
      </c>
      <c r="B1926" s="4">
        <f>YEAR(SalesData[[#This Row],[Order Date]])</f>
        <v>2014</v>
      </c>
      <c r="C1926" s="4">
        <f>MONTH(SalesData[[#This Row],[Order Date]])</f>
        <v>12</v>
      </c>
      <c r="D1926" s="3" t="s">
        <v>1842</v>
      </c>
      <c r="E1926" s="3" t="s">
        <v>23</v>
      </c>
      <c r="F1926" s="3" t="s">
        <v>11</v>
      </c>
      <c r="G1926" s="3" t="s">
        <v>18</v>
      </c>
      <c r="H1926" s="3" t="s">
        <v>257</v>
      </c>
      <c r="I1926" s="6">
        <v>227.14</v>
      </c>
      <c r="J1926" s="4">
        <v>4</v>
      </c>
      <c r="K1926" s="6">
        <v>-42.59</v>
      </c>
    </row>
    <row r="1927" spans="1:11" x14ac:dyDescent="0.3">
      <c r="A1927" s="7">
        <v>41999</v>
      </c>
      <c r="B1927" s="4">
        <f>YEAR(SalesData[[#This Row],[Order Date]])</f>
        <v>2014</v>
      </c>
      <c r="C1927" s="4">
        <f>MONTH(SalesData[[#This Row],[Order Date]])</f>
        <v>12</v>
      </c>
      <c r="D1927" s="3" t="s">
        <v>1477</v>
      </c>
      <c r="E1927" s="3" t="s">
        <v>149</v>
      </c>
      <c r="F1927" s="3" t="s">
        <v>11</v>
      </c>
      <c r="G1927" s="3" t="s">
        <v>18</v>
      </c>
      <c r="H1927" s="3" t="s">
        <v>909</v>
      </c>
      <c r="I1927" s="6">
        <v>191.88</v>
      </c>
      <c r="J1927" s="4">
        <v>6</v>
      </c>
      <c r="K1927" s="6">
        <v>19.190000000000001</v>
      </c>
    </row>
    <row r="1928" spans="1:11" x14ac:dyDescent="0.3">
      <c r="A1928" s="7">
        <v>41999</v>
      </c>
      <c r="B1928" s="4">
        <f>YEAR(SalesData[[#This Row],[Order Date]])</f>
        <v>2014</v>
      </c>
      <c r="C1928" s="4">
        <f>MONTH(SalesData[[#This Row],[Order Date]])</f>
        <v>12</v>
      </c>
      <c r="D1928" s="3" t="s">
        <v>478</v>
      </c>
      <c r="E1928" s="3" t="s">
        <v>23</v>
      </c>
      <c r="F1928" s="3" t="s">
        <v>11</v>
      </c>
      <c r="G1928" s="3" t="s">
        <v>24</v>
      </c>
      <c r="H1928" s="3" t="s">
        <v>1844</v>
      </c>
      <c r="I1928" s="6">
        <v>8.02</v>
      </c>
      <c r="J1928" s="4">
        <v>3</v>
      </c>
      <c r="K1928" s="6">
        <v>1.1000000000000001</v>
      </c>
    </row>
    <row r="1929" spans="1:11" x14ac:dyDescent="0.3">
      <c r="A1929" s="7">
        <v>42000</v>
      </c>
      <c r="B1929" s="4">
        <f>YEAR(SalesData[[#This Row],[Order Date]])</f>
        <v>2014</v>
      </c>
      <c r="C1929" s="4">
        <f>MONTH(SalesData[[#This Row],[Order Date]])</f>
        <v>12</v>
      </c>
      <c r="D1929" s="3" t="s">
        <v>1699</v>
      </c>
      <c r="E1929" s="3" t="s">
        <v>27</v>
      </c>
      <c r="F1929" s="3" t="s">
        <v>11</v>
      </c>
      <c r="G1929" s="3" t="s">
        <v>16</v>
      </c>
      <c r="H1929" s="3" t="s">
        <v>221</v>
      </c>
      <c r="I1929" s="6">
        <v>11.56</v>
      </c>
      <c r="J1929" s="4">
        <v>4</v>
      </c>
      <c r="K1929" s="6">
        <v>5.43</v>
      </c>
    </row>
    <row r="1930" spans="1:11" x14ac:dyDescent="0.3">
      <c r="A1930" s="7">
        <v>42000</v>
      </c>
      <c r="B1930" s="4">
        <f>YEAR(SalesData[[#This Row],[Order Date]])</f>
        <v>2014</v>
      </c>
      <c r="C1930" s="4">
        <f>MONTH(SalesData[[#This Row],[Order Date]])</f>
        <v>12</v>
      </c>
      <c r="D1930" s="3" t="s">
        <v>839</v>
      </c>
      <c r="E1930" s="3" t="s">
        <v>15</v>
      </c>
      <c r="F1930" s="3" t="s">
        <v>34</v>
      </c>
      <c r="G1930" s="3" t="s">
        <v>47</v>
      </c>
      <c r="H1930" s="3" t="s">
        <v>365</v>
      </c>
      <c r="I1930" s="6">
        <v>32.950000000000003</v>
      </c>
      <c r="J1930" s="4">
        <v>6</v>
      </c>
      <c r="K1930" s="6">
        <v>-19.77</v>
      </c>
    </row>
    <row r="1931" spans="1:11" x14ac:dyDescent="0.3">
      <c r="A1931" s="7">
        <v>42000</v>
      </c>
      <c r="B1931" s="4">
        <f>YEAR(SalesData[[#This Row],[Order Date]])</f>
        <v>2014</v>
      </c>
      <c r="C1931" s="4">
        <f>MONTH(SalesData[[#This Row],[Order Date]])</f>
        <v>12</v>
      </c>
      <c r="D1931" s="3" t="s">
        <v>839</v>
      </c>
      <c r="E1931" s="3" t="s">
        <v>15</v>
      </c>
      <c r="F1931" s="3" t="s">
        <v>11</v>
      </c>
      <c r="G1931" s="3" t="s">
        <v>18</v>
      </c>
      <c r="H1931" s="3" t="s">
        <v>299</v>
      </c>
      <c r="I1931" s="6">
        <v>30.02</v>
      </c>
      <c r="J1931" s="4">
        <v>4</v>
      </c>
      <c r="K1931" s="6">
        <v>3</v>
      </c>
    </row>
    <row r="1932" spans="1:11" x14ac:dyDescent="0.3">
      <c r="A1932" s="7">
        <v>42000</v>
      </c>
      <c r="B1932" s="4">
        <f>YEAR(SalesData[[#This Row],[Order Date]])</f>
        <v>2014</v>
      </c>
      <c r="C1932" s="4">
        <f>MONTH(SalesData[[#This Row],[Order Date]])</f>
        <v>12</v>
      </c>
      <c r="D1932" s="3" t="s">
        <v>1487</v>
      </c>
      <c r="E1932" s="3" t="s">
        <v>27</v>
      </c>
      <c r="F1932" s="3" t="s">
        <v>34</v>
      </c>
      <c r="G1932" s="3" t="s">
        <v>35</v>
      </c>
      <c r="H1932" s="3" t="s">
        <v>574</v>
      </c>
      <c r="I1932" s="6">
        <v>230.28</v>
      </c>
      <c r="J1932" s="4">
        <v>3</v>
      </c>
      <c r="K1932" s="6">
        <v>23.03</v>
      </c>
    </row>
    <row r="1933" spans="1:11" x14ac:dyDescent="0.3">
      <c r="A1933" s="7">
        <v>42000</v>
      </c>
      <c r="B1933" s="4">
        <f>YEAR(SalesData[[#This Row],[Order Date]])</f>
        <v>2014</v>
      </c>
      <c r="C1933" s="4">
        <f>MONTH(SalesData[[#This Row],[Order Date]])</f>
        <v>12</v>
      </c>
      <c r="D1933" s="3" t="s">
        <v>1487</v>
      </c>
      <c r="E1933" s="3" t="s">
        <v>27</v>
      </c>
      <c r="F1933" s="3" t="s">
        <v>11</v>
      </c>
      <c r="G1933" s="3" t="s">
        <v>12</v>
      </c>
      <c r="H1933" s="3" t="s">
        <v>1845</v>
      </c>
      <c r="I1933" s="6">
        <v>12.84</v>
      </c>
      <c r="J1933" s="4">
        <v>3</v>
      </c>
      <c r="K1933" s="6">
        <v>5.78</v>
      </c>
    </row>
    <row r="1934" spans="1:11" x14ac:dyDescent="0.3">
      <c r="A1934" s="7">
        <v>42000</v>
      </c>
      <c r="B1934" s="4">
        <f>YEAR(SalesData[[#This Row],[Order Date]])</f>
        <v>2014</v>
      </c>
      <c r="C1934" s="4">
        <f>MONTH(SalesData[[#This Row],[Order Date]])</f>
        <v>12</v>
      </c>
      <c r="D1934" s="3" t="s">
        <v>1846</v>
      </c>
      <c r="E1934" s="3" t="s">
        <v>149</v>
      </c>
      <c r="F1934" s="3" t="s">
        <v>34</v>
      </c>
      <c r="G1934" s="3" t="s">
        <v>35</v>
      </c>
      <c r="H1934" s="3" t="s">
        <v>265</v>
      </c>
      <c r="I1934" s="6">
        <v>767.21</v>
      </c>
      <c r="J1934" s="4">
        <v>14</v>
      </c>
      <c r="K1934" s="6">
        <v>161.97</v>
      </c>
    </row>
    <row r="1935" spans="1:11" x14ac:dyDescent="0.3">
      <c r="A1935" s="7">
        <v>42000</v>
      </c>
      <c r="B1935" s="4">
        <f>YEAR(SalesData[[#This Row],[Order Date]])</f>
        <v>2014</v>
      </c>
      <c r="C1935" s="4">
        <f>MONTH(SalesData[[#This Row],[Order Date]])</f>
        <v>12</v>
      </c>
      <c r="D1935" s="3" t="s">
        <v>159</v>
      </c>
      <c r="E1935" s="3" t="s">
        <v>27</v>
      </c>
      <c r="F1935" s="3" t="s">
        <v>11</v>
      </c>
      <c r="G1935" s="3" t="s">
        <v>92</v>
      </c>
      <c r="H1935" s="3" t="s">
        <v>658</v>
      </c>
      <c r="I1935" s="6">
        <v>10.98</v>
      </c>
      <c r="J1935" s="4">
        <v>1</v>
      </c>
      <c r="K1935" s="6">
        <v>2.96</v>
      </c>
    </row>
    <row r="1936" spans="1:11" x14ac:dyDescent="0.3">
      <c r="A1936" s="7">
        <v>42000</v>
      </c>
      <c r="B1936" s="4">
        <f>YEAR(SalesData[[#This Row],[Order Date]])</f>
        <v>2014</v>
      </c>
      <c r="C1936" s="4">
        <f>MONTH(SalesData[[#This Row],[Order Date]])</f>
        <v>12</v>
      </c>
      <c r="D1936" s="3" t="s">
        <v>159</v>
      </c>
      <c r="E1936" s="3" t="s">
        <v>27</v>
      </c>
      <c r="F1936" s="3" t="s">
        <v>11</v>
      </c>
      <c r="G1936" s="3" t="s">
        <v>43</v>
      </c>
      <c r="H1936" s="3" t="s">
        <v>160</v>
      </c>
      <c r="I1936" s="6">
        <v>7.86</v>
      </c>
      <c r="J1936" s="4">
        <v>3</v>
      </c>
      <c r="K1936" s="6">
        <v>3.62</v>
      </c>
    </row>
    <row r="1937" spans="1:11" x14ac:dyDescent="0.3">
      <c r="A1937" s="7">
        <v>42000</v>
      </c>
      <c r="B1937" s="4">
        <f>YEAR(SalesData[[#This Row],[Order Date]])</f>
        <v>2014</v>
      </c>
      <c r="C1937" s="4">
        <f>MONTH(SalesData[[#This Row],[Order Date]])</f>
        <v>12</v>
      </c>
      <c r="D1937" s="3" t="s">
        <v>159</v>
      </c>
      <c r="E1937" s="3" t="s">
        <v>27</v>
      </c>
      <c r="F1937" s="3" t="s">
        <v>11</v>
      </c>
      <c r="G1937" s="3" t="s">
        <v>18</v>
      </c>
      <c r="H1937" s="3" t="s">
        <v>1847</v>
      </c>
      <c r="I1937" s="6">
        <v>51.45</v>
      </c>
      <c r="J1937" s="4">
        <v>3</v>
      </c>
      <c r="K1937" s="6">
        <v>13.89</v>
      </c>
    </row>
    <row r="1938" spans="1:11" x14ac:dyDescent="0.3">
      <c r="A1938" s="7">
        <v>42000</v>
      </c>
      <c r="B1938" s="4">
        <f>YEAR(SalesData[[#This Row],[Order Date]])</f>
        <v>2014</v>
      </c>
      <c r="C1938" s="4">
        <f>MONTH(SalesData[[#This Row],[Order Date]])</f>
        <v>12</v>
      </c>
      <c r="D1938" s="3" t="s">
        <v>159</v>
      </c>
      <c r="E1938" s="3" t="s">
        <v>27</v>
      </c>
      <c r="F1938" s="3" t="s">
        <v>11</v>
      </c>
      <c r="G1938" s="3" t="s">
        <v>20</v>
      </c>
      <c r="H1938" s="3" t="s">
        <v>1509</v>
      </c>
      <c r="I1938" s="6">
        <v>37.06</v>
      </c>
      <c r="J1938" s="4">
        <v>3</v>
      </c>
      <c r="K1938" s="6">
        <v>13.9</v>
      </c>
    </row>
    <row r="1939" spans="1:11" x14ac:dyDescent="0.3">
      <c r="A1939" s="7">
        <v>42000</v>
      </c>
      <c r="B1939" s="4">
        <f>YEAR(SalesData[[#This Row],[Order Date]])</f>
        <v>2014</v>
      </c>
      <c r="C1939" s="4">
        <f>MONTH(SalesData[[#This Row],[Order Date]])</f>
        <v>12</v>
      </c>
      <c r="D1939" s="3" t="s">
        <v>1576</v>
      </c>
      <c r="E1939" s="3" t="s">
        <v>488</v>
      </c>
      <c r="F1939" s="3" t="s">
        <v>11</v>
      </c>
      <c r="G1939" s="3" t="s">
        <v>12</v>
      </c>
      <c r="H1939" s="3" t="s">
        <v>1848</v>
      </c>
      <c r="I1939" s="6">
        <v>23.92</v>
      </c>
      <c r="J1939" s="4">
        <v>4</v>
      </c>
      <c r="K1939" s="6">
        <v>11.72</v>
      </c>
    </row>
    <row r="1940" spans="1:11" x14ac:dyDescent="0.3">
      <c r="A1940" s="7">
        <v>42000</v>
      </c>
      <c r="B1940" s="4">
        <f>YEAR(SalesData[[#This Row],[Order Date]])</f>
        <v>2014</v>
      </c>
      <c r="C1940" s="4">
        <f>MONTH(SalesData[[#This Row],[Order Date]])</f>
        <v>12</v>
      </c>
      <c r="D1940" s="3" t="s">
        <v>1576</v>
      </c>
      <c r="E1940" s="3" t="s">
        <v>488</v>
      </c>
      <c r="F1940" s="3" t="s">
        <v>39</v>
      </c>
      <c r="G1940" s="3" t="s">
        <v>52</v>
      </c>
      <c r="H1940" s="3" t="s">
        <v>1849</v>
      </c>
      <c r="I1940" s="6">
        <v>498</v>
      </c>
      <c r="J1940" s="4">
        <v>5</v>
      </c>
      <c r="K1940" s="6">
        <v>184.26</v>
      </c>
    </row>
    <row r="1941" spans="1:11" x14ac:dyDescent="0.3">
      <c r="A1941" s="7">
        <v>42000</v>
      </c>
      <c r="B1941" s="4">
        <f>YEAR(SalesData[[#This Row],[Order Date]])</f>
        <v>2014</v>
      </c>
      <c r="C1941" s="4">
        <f>MONTH(SalesData[[#This Row],[Order Date]])</f>
        <v>12</v>
      </c>
      <c r="D1941" s="3" t="s">
        <v>607</v>
      </c>
      <c r="E1941" s="3" t="s">
        <v>10</v>
      </c>
      <c r="F1941" s="3" t="s">
        <v>11</v>
      </c>
      <c r="G1941" s="3" t="s">
        <v>20</v>
      </c>
      <c r="H1941" s="3" t="s">
        <v>765</v>
      </c>
      <c r="I1941" s="6">
        <v>4.9800000000000004</v>
      </c>
      <c r="J1941" s="4">
        <v>1</v>
      </c>
      <c r="K1941" s="6">
        <v>-8.4700000000000006</v>
      </c>
    </row>
    <row r="1942" spans="1:11" x14ac:dyDescent="0.3">
      <c r="A1942" s="7">
        <v>42000</v>
      </c>
      <c r="B1942" s="4">
        <f>YEAR(SalesData[[#This Row],[Order Date]])</f>
        <v>2014</v>
      </c>
      <c r="C1942" s="4">
        <f>MONTH(SalesData[[#This Row],[Order Date]])</f>
        <v>12</v>
      </c>
      <c r="D1942" s="3" t="s">
        <v>1178</v>
      </c>
      <c r="E1942" s="3" t="s">
        <v>78</v>
      </c>
      <c r="F1942" s="3" t="s">
        <v>34</v>
      </c>
      <c r="G1942" s="3" t="s">
        <v>47</v>
      </c>
      <c r="H1942" s="3" t="s">
        <v>1850</v>
      </c>
      <c r="I1942" s="6">
        <v>182.35</v>
      </c>
      <c r="J1942" s="4">
        <v>3</v>
      </c>
      <c r="K1942" s="6">
        <v>-18.239999999999998</v>
      </c>
    </row>
    <row r="1943" spans="1:11" x14ac:dyDescent="0.3">
      <c r="A1943" s="7">
        <v>42000</v>
      </c>
      <c r="B1943" s="4">
        <f>YEAR(SalesData[[#This Row],[Order Date]])</f>
        <v>2014</v>
      </c>
      <c r="C1943" s="4">
        <f>MONTH(SalesData[[#This Row],[Order Date]])</f>
        <v>12</v>
      </c>
      <c r="D1943" s="3" t="s">
        <v>1178</v>
      </c>
      <c r="E1943" s="3" t="s">
        <v>78</v>
      </c>
      <c r="F1943" s="3" t="s">
        <v>11</v>
      </c>
      <c r="G1943" s="3" t="s">
        <v>18</v>
      </c>
      <c r="H1943" s="3" t="s">
        <v>1851</v>
      </c>
      <c r="I1943" s="6">
        <v>118.16</v>
      </c>
      <c r="J1943" s="4">
        <v>2</v>
      </c>
      <c r="K1943" s="6">
        <v>-25.11</v>
      </c>
    </row>
    <row r="1944" spans="1:11" x14ac:dyDescent="0.3">
      <c r="A1944" s="7">
        <v>42000</v>
      </c>
      <c r="B1944" s="4">
        <f>YEAR(SalesData[[#This Row],[Order Date]])</f>
        <v>2014</v>
      </c>
      <c r="C1944" s="4">
        <f>MONTH(SalesData[[#This Row],[Order Date]])</f>
        <v>12</v>
      </c>
      <c r="D1944" s="3" t="s">
        <v>712</v>
      </c>
      <c r="E1944" s="3" t="s">
        <v>95</v>
      </c>
      <c r="F1944" s="3" t="s">
        <v>11</v>
      </c>
      <c r="G1944" s="3" t="s">
        <v>20</v>
      </c>
      <c r="H1944" s="3" t="s">
        <v>1777</v>
      </c>
      <c r="I1944" s="6">
        <v>946.76</v>
      </c>
      <c r="J1944" s="4">
        <v>6</v>
      </c>
      <c r="K1944" s="6">
        <v>-694.29</v>
      </c>
    </row>
    <row r="1945" spans="1:11" x14ac:dyDescent="0.3">
      <c r="A1945" s="7">
        <v>42001</v>
      </c>
      <c r="B1945" s="4">
        <f>YEAR(SalesData[[#This Row],[Order Date]])</f>
        <v>2014</v>
      </c>
      <c r="C1945" s="4">
        <f>MONTH(SalesData[[#This Row],[Order Date]])</f>
        <v>12</v>
      </c>
      <c r="D1945" s="3" t="s">
        <v>1791</v>
      </c>
      <c r="E1945" s="3" t="s">
        <v>23</v>
      </c>
      <c r="F1945" s="3" t="s">
        <v>11</v>
      </c>
      <c r="G1945" s="3" t="s">
        <v>24</v>
      </c>
      <c r="H1945" s="3" t="s">
        <v>1852</v>
      </c>
      <c r="I1945" s="6">
        <v>99.14</v>
      </c>
      <c r="J1945" s="4">
        <v>4</v>
      </c>
      <c r="K1945" s="6">
        <v>8.67</v>
      </c>
    </row>
    <row r="1946" spans="1:11" x14ac:dyDescent="0.3">
      <c r="A1946" s="7">
        <v>42001</v>
      </c>
      <c r="B1946" s="4">
        <f>YEAR(SalesData[[#This Row],[Order Date]])</f>
        <v>2014</v>
      </c>
      <c r="C1946" s="4">
        <f>MONTH(SalesData[[#This Row],[Order Date]])</f>
        <v>12</v>
      </c>
      <c r="D1946" s="3" t="s">
        <v>54</v>
      </c>
      <c r="E1946" s="3" t="s">
        <v>434</v>
      </c>
      <c r="F1946" s="3" t="s">
        <v>11</v>
      </c>
      <c r="G1946" s="3" t="s">
        <v>92</v>
      </c>
      <c r="H1946" s="3" t="s">
        <v>1853</v>
      </c>
      <c r="I1946" s="6">
        <v>1737.18</v>
      </c>
      <c r="J1946" s="4">
        <v>6</v>
      </c>
      <c r="K1946" s="6">
        <v>503.78</v>
      </c>
    </row>
    <row r="1947" spans="1:11" x14ac:dyDescent="0.3">
      <c r="A1947" s="7">
        <v>42001</v>
      </c>
      <c r="B1947" s="4">
        <f>YEAR(SalesData[[#This Row],[Order Date]])</f>
        <v>2014</v>
      </c>
      <c r="C1947" s="4">
        <f>MONTH(SalesData[[#This Row],[Order Date]])</f>
        <v>12</v>
      </c>
      <c r="D1947" s="3" t="s">
        <v>54</v>
      </c>
      <c r="E1947" s="3" t="s">
        <v>434</v>
      </c>
      <c r="F1947" s="3" t="s">
        <v>11</v>
      </c>
      <c r="G1947" s="3" t="s">
        <v>18</v>
      </c>
      <c r="H1947" s="3" t="s">
        <v>1854</v>
      </c>
      <c r="I1947" s="6">
        <v>704.25</v>
      </c>
      <c r="J1947" s="4">
        <v>5</v>
      </c>
      <c r="K1947" s="6">
        <v>84.51</v>
      </c>
    </row>
    <row r="1948" spans="1:11" x14ac:dyDescent="0.3">
      <c r="A1948" s="7">
        <v>42001</v>
      </c>
      <c r="B1948" s="4">
        <f>YEAR(SalesData[[#This Row],[Order Date]])</f>
        <v>2014</v>
      </c>
      <c r="C1948" s="4">
        <f>MONTH(SalesData[[#This Row],[Order Date]])</f>
        <v>12</v>
      </c>
      <c r="D1948" s="3" t="s">
        <v>54</v>
      </c>
      <c r="E1948" s="3" t="s">
        <v>434</v>
      </c>
      <c r="F1948" s="3" t="s">
        <v>11</v>
      </c>
      <c r="G1948" s="3" t="s">
        <v>12</v>
      </c>
      <c r="H1948" s="3" t="s">
        <v>1855</v>
      </c>
      <c r="I1948" s="6">
        <v>141.76</v>
      </c>
      <c r="J1948" s="4">
        <v>4</v>
      </c>
      <c r="K1948" s="6">
        <v>66.63</v>
      </c>
    </row>
    <row r="1949" spans="1:11" x14ac:dyDescent="0.3">
      <c r="A1949" s="7">
        <v>42001</v>
      </c>
      <c r="B1949" s="4">
        <f>YEAR(SalesData[[#This Row],[Order Date]])</f>
        <v>2014</v>
      </c>
      <c r="C1949" s="4">
        <f>MONTH(SalesData[[#This Row],[Order Date]])</f>
        <v>12</v>
      </c>
      <c r="D1949" s="3" t="s">
        <v>1571</v>
      </c>
      <c r="E1949" s="3" t="s">
        <v>27</v>
      </c>
      <c r="F1949" s="3" t="s">
        <v>11</v>
      </c>
      <c r="G1949" s="3" t="s">
        <v>18</v>
      </c>
      <c r="H1949" s="3" t="s">
        <v>586</v>
      </c>
      <c r="I1949" s="6">
        <v>998.82</v>
      </c>
      <c r="J1949" s="4">
        <v>9</v>
      </c>
      <c r="K1949" s="6">
        <v>29.96</v>
      </c>
    </row>
    <row r="1950" spans="1:11" x14ac:dyDescent="0.3">
      <c r="A1950" s="7">
        <v>42001</v>
      </c>
      <c r="B1950" s="4">
        <f>YEAR(SalesData[[#This Row],[Order Date]])</f>
        <v>2014</v>
      </c>
      <c r="C1950" s="4">
        <f>MONTH(SalesData[[#This Row],[Order Date]])</f>
        <v>12</v>
      </c>
      <c r="D1950" s="3" t="s">
        <v>1571</v>
      </c>
      <c r="E1950" s="3" t="s">
        <v>27</v>
      </c>
      <c r="F1950" s="3" t="s">
        <v>11</v>
      </c>
      <c r="G1950" s="3" t="s">
        <v>200</v>
      </c>
      <c r="H1950" s="3" t="s">
        <v>1053</v>
      </c>
      <c r="I1950" s="6">
        <v>51.15</v>
      </c>
      <c r="J1950" s="4">
        <v>5</v>
      </c>
      <c r="K1950" s="6">
        <v>13.3</v>
      </c>
    </row>
    <row r="1951" spans="1:11" x14ac:dyDescent="0.3">
      <c r="A1951" s="7">
        <v>42002</v>
      </c>
      <c r="B1951" s="4">
        <f>YEAR(SalesData[[#This Row],[Order Date]])</f>
        <v>2014</v>
      </c>
      <c r="C1951" s="4">
        <f>MONTH(SalesData[[#This Row],[Order Date]])</f>
        <v>12</v>
      </c>
      <c r="D1951" s="3" t="s">
        <v>1856</v>
      </c>
      <c r="E1951" s="3" t="s">
        <v>315</v>
      </c>
      <c r="F1951" s="3" t="s">
        <v>11</v>
      </c>
      <c r="G1951" s="3" t="s">
        <v>18</v>
      </c>
      <c r="H1951" s="3" t="s">
        <v>843</v>
      </c>
      <c r="I1951" s="6">
        <v>24.56</v>
      </c>
      <c r="J1951" s="4">
        <v>2</v>
      </c>
      <c r="K1951" s="6">
        <v>6.88</v>
      </c>
    </row>
    <row r="1952" spans="1:11" x14ac:dyDescent="0.3">
      <c r="A1952" s="7">
        <v>42002</v>
      </c>
      <c r="B1952" s="4">
        <f>YEAR(SalesData[[#This Row],[Order Date]])</f>
        <v>2014</v>
      </c>
      <c r="C1952" s="4">
        <f>MONTH(SalesData[[#This Row],[Order Date]])</f>
        <v>12</v>
      </c>
      <c r="D1952" s="3" t="s">
        <v>1856</v>
      </c>
      <c r="E1952" s="3" t="s">
        <v>315</v>
      </c>
      <c r="F1952" s="3" t="s">
        <v>39</v>
      </c>
      <c r="G1952" s="3" t="s">
        <v>52</v>
      </c>
      <c r="H1952" s="3" t="s">
        <v>1737</v>
      </c>
      <c r="I1952" s="6">
        <v>119.8</v>
      </c>
      <c r="J1952" s="4">
        <v>4</v>
      </c>
      <c r="K1952" s="6">
        <v>47.92</v>
      </c>
    </row>
    <row r="1953" spans="1:11" x14ac:dyDescent="0.3">
      <c r="A1953" s="7">
        <v>42002</v>
      </c>
      <c r="B1953" s="4">
        <f>YEAR(SalesData[[#This Row],[Order Date]])</f>
        <v>2014</v>
      </c>
      <c r="C1953" s="4">
        <f>MONTH(SalesData[[#This Row],[Order Date]])</f>
        <v>12</v>
      </c>
      <c r="D1953" s="3" t="s">
        <v>669</v>
      </c>
      <c r="E1953" s="3" t="s">
        <v>27</v>
      </c>
      <c r="F1953" s="3" t="s">
        <v>34</v>
      </c>
      <c r="G1953" s="3" t="s">
        <v>47</v>
      </c>
      <c r="H1953" s="3" t="s">
        <v>849</v>
      </c>
      <c r="I1953" s="6">
        <v>24.9</v>
      </c>
      <c r="J1953" s="4">
        <v>5</v>
      </c>
      <c r="K1953" s="6">
        <v>8.2200000000000006</v>
      </c>
    </row>
    <row r="1954" spans="1:11" x14ac:dyDescent="0.3">
      <c r="A1954" s="7">
        <v>42002</v>
      </c>
      <c r="B1954" s="4">
        <f>YEAR(SalesData[[#This Row],[Order Date]])</f>
        <v>2014</v>
      </c>
      <c r="C1954" s="4">
        <f>MONTH(SalesData[[#This Row],[Order Date]])</f>
        <v>12</v>
      </c>
      <c r="D1954" s="3" t="s">
        <v>669</v>
      </c>
      <c r="E1954" s="3" t="s">
        <v>27</v>
      </c>
      <c r="F1954" s="3" t="s">
        <v>11</v>
      </c>
      <c r="G1954" s="3" t="s">
        <v>12</v>
      </c>
      <c r="H1954" s="3" t="s">
        <v>1857</v>
      </c>
      <c r="I1954" s="6">
        <v>21.12</v>
      </c>
      <c r="J1954" s="4">
        <v>4</v>
      </c>
      <c r="K1954" s="6">
        <v>9.5</v>
      </c>
    </row>
    <row r="1955" spans="1:11" x14ac:dyDescent="0.3">
      <c r="A1955" s="7">
        <v>42002</v>
      </c>
      <c r="B1955" s="4">
        <f>YEAR(SalesData[[#This Row],[Order Date]])</f>
        <v>2014</v>
      </c>
      <c r="C1955" s="4">
        <f>MONTH(SalesData[[#This Row],[Order Date]])</f>
        <v>12</v>
      </c>
      <c r="D1955" s="3" t="s">
        <v>669</v>
      </c>
      <c r="E1955" s="3" t="s">
        <v>27</v>
      </c>
      <c r="F1955" s="3" t="s">
        <v>39</v>
      </c>
      <c r="G1955" s="3" t="s">
        <v>302</v>
      </c>
      <c r="H1955" s="3" t="s">
        <v>1858</v>
      </c>
      <c r="I1955" s="6">
        <v>767.95</v>
      </c>
      <c r="J1955" s="4">
        <v>6</v>
      </c>
      <c r="K1955" s="6">
        <v>287.98</v>
      </c>
    </row>
    <row r="1956" spans="1:11" x14ac:dyDescent="0.3">
      <c r="A1956" s="7">
        <v>42002</v>
      </c>
      <c r="B1956" s="4">
        <f>YEAR(SalesData[[#This Row],[Order Date]])</f>
        <v>2014</v>
      </c>
      <c r="C1956" s="4">
        <f>MONTH(SalesData[[#This Row],[Order Date]])</f>
        <v>12</v>
      </c>
      <c r="D1956" s="3" t="s">
        <v>669</v>
      </c>
      <c r="E1956" s="3" t="s">
        <v>27</v>
      </c>
      <c r="F1956" s="3" t="s">
        <v>11</v>
      </c>
      <c r="G1956" s="3" t="s">
        <v>20</v>
      </c>
      <c r="H1956" s="3" t="s">
        <v>1859</v>
      </c>
      <c r="I1956" s="6">
        <v>14.35</v>
      </c>
      <c r="J1956" s="4">
        <v>3</v>
      </c>
      <c r="K1956" s="6">
        <v>4.66</v>
      </c>
    </row>
    <row r="1957" spans="1:11" x14ac:dyDescent="0.3">
      <c r="A1957" s="7">
        <v>42002</v>
      </c>
      <c r="B1957" s="4">
        <f>YEAR(SalesData[[#This Row],[Order Date]])</f>
        <v>2014</v>
      </c>
      <c r="C1957" s="4">
        <f>MONTH(SalesData[[#This Row],[Order Date]])</f>
        <v>12</v>
      </c>
      <c r="D1957" s="3" t="s">
        <v>669</v>
      </c>
      <c r="E1957" s="3" t="s">
        <v>27</v>
      </c>
      <c r="F1957" s="3" t="s">
        <v>39</v>
      </c>
      <c r="G1957" s="3" t="s">
        <v>40</v>
      </c>
      <c r="H1957" s="3" t="s">
        <v>767</v>
      </c>
      <c r="I1957" s="6">
        <v>191.98</v>
      </c>
      <c r="J1957" s="4">
        <v>3</v>
      </c>
      <c r="K1957" s="6">
        <v>19.2</v>
      </c>
    </row>
    <row r="1958" spans="1:11" x14ac:dyDescent="0.3">
      <c r="A1958" s="7">
        <v>42002</v>
      </c>
      <c r="B1958" s="4">
        <f>YEAR(SalesData[[#This Row],[Order Date]])</f>
        <v>2014</v>
      </c>
      <c r="C1958" s="4">
        <f>MONTH(SalesData[[#This Row],[Order Date]])</f>
        <v>12</v>
      </c>
      <c r="D1958" s="3" t="s">
        <v>669</v>
      </c>
      <c r="E1958" s="3" t="s">
        <v>27</v>
      </c>
      <c r="F1958" s="3" t="s">
        <v>11</v>
      </c>
      <c r="G1958" s="3" t="s">
        <v>16</v>
      </c>
      <c r="H1958" s="3" t="s">
        <v>1860</v>
      </c>
      <c r="I1958" s="6">
        <v>274.77</v>
      </c>
      <c r="J1958" s="4">
        <v>9</v>
      </c>
      <c r="K1958" s="6">
        <v>126.39</v>
      </c>
    </row>
    <row r="1959" spans="1:11" x14ac:dyDescent="0.3">
      <c r="A1959" s="7">
        <v>42002</v>
      </c>
      <c r="B1959" s="4">
        <f>YEAR(SalesData[[#This Row],[Order Date]])</f>
        <v>2014</v>
      </c>
      <c r="C1959" s="4">
        <f>MONTH(SalesData[[#This Row],[Order Date]])</f>
        <v>12</v>
      </c>
      <c r="D1959" s="3" t="s">
        <v>669</v>
      </c>
      <c r="E1959" s="3" t="s">
        <v>27</v>
      </c>
      <c r="F1959" s="3" t="s">
        <v>34</v>
      </c>
      <c r="G1959" s="3" t="s">
        <v>47</v>
      </c>
      <c r="H1959" s="3" t="s">
        <v>1861</v>
      </c>
      <c r="I1959" s="6">
        <v>70.56</v>
      </c>
      <c r="J1959" s="4">
        <v>6</v>
      </c>
      <c r="K1959" s="6">
        <v>23.99</v>
      </c>
    </row>
    <row r="1960" spans="1:11" x14ac:dyDescent="0.3">
      <c r="A1960" s="7">
        <v>42002</v>
      </c>
      <c r="B1960" s="4">
        <f>YEAR(SalesData[[#This Row],[Order Date]])</f>
        <v>2014</v>
      </c>
      <c r="C1960" s="4">
        <f>MONTH(SalesData[[#This Row],[Order Date]])</f>
        <v>12</v>
      </c>
      <c r="D1960" s="3" t="s">
        <v>195</v>
      </c>
      <c r="E1960" s="3" t="s">
        <v>399</v>
      </c>
      <c r="F1960" s="3" t="s">
        <v>39</v>
      </c>
      <c r="G1960" s="3" t="s">
        <v>40</v>
      </c>
      <c r="H1960" s="3" t="s">
        <v>1862</v>
      </c>
      <c r="I1960" s="6">
        <v>23.98</v>
      </c>
      <c r="J1960" s="4">
        <v>3</v>
      </c>
      <c r="K1960" s="6">
        <v>-5.69</v>
      </c>
    </row>
    <row r="1961" spans="1:11" x14ac:dyDescent="0.3">
      <c r="A1961" s="7">
        <v>42002</v>
      </c>
      <c r="B1961" s="4">
        <f>YEAR(SalesData[[#This Row],[Order Date]])</f>
        <v>2014</v>
      </c>
      <c r="C1961" s="4">
        <f>MONTH(SalesData[[#This Row],[Order Date]])</f>
        <v>12</v>
      </c>
      <c r="D1961" s="3" t="s">
        <v>195</v>
      </c>
      <c r="E1961" s="3" t="s">
        <v>399</v>
      </c>
      <c r="F1961" s="3" t="s">
        <v>11</v>
      </c>
      <c r="G1961" s="3" t="s">
        <v>18</v>
      </c>
      <c r="H1961" s="3" t="s">
        <v>115</v>
      </c>
      <c r="I1961" s="6">
        <v>33.29</v>
      </c>
      <c r="J1961" s="4">
        <v>1</v>
      </c>
      <c r="K1961" s="6">
        <v>7.99</v>
      </c>
    </row>
    <row r="1962" spans="1:11" x14ac:dyDescent="0.3">
      <c r="A1962" s="7">
        <v>42002</v>
      </c>
      <c r="B1962" s="4">
        <f>YEAR(SalesData[[#This Row],[Order Date]])</f>
        <v>2014</v>
      </c>
      <c r="C1962" s="4">
        <f>MONTH(SalesData[[#This Row],[Order Date]])</f>
        <v>12</v>
      </c>
      <c r="D1962" s="3" t="s">
        <v>1459</v>
      </c>
      <c r="E1962" s="3" t="s">
        <v>15</v>
      </c>
      <c r="F1962" s="3" t="s">
        <v>34</v>
      </c>
      <c r="G1962" s="3" t="s">
        <v>47</v>
      </c>
      <c r="H1962" s="3" t="s">
        <v>1506</v>
      </c>
      <c r="I1962" s="6">
        <v>38.979999999999997</v>
      </c>
      <c r="J1962" s="4">
        <v>3</v>
      </c>
      <c r="K1962" s="6">
        <v>-50.67</v>
      </c>
    </row>
    <row r="1963" spans="1:11" x14ac:dyDescent="0.3">
      <c r="A1963" s="7">
        <v>42002</v>
      </c>
      <c r="B1963" s="4">
        <f>YEAR(SalesData[[#This Row],[Order Date]])</f>
        <v>2014</v>
      </c>
      <c r="C1963" s="4">
        <f>MONTH(SalesData[[#This Row],[Order Date]])</f>
        <v>12</v>
      </c>
      <c r="D1963" s="3" t="s">
        <v>1863</v>
      </c>
      <c r="E1963" s="3" t="s">
        <v>15</v>
      </c>
      <c r="F1963" s="3" t="s">
        <v>34</v>
      </c>
      <c r="G1963" s="3" t="s">
        <v>47</v>
      </c>
      <c r="H1963" s="3" t="s">
        <v>181</v>
      </c>
      <c r="I1963" s="6">
        <v>8.74</v>
      </c>
      <c r="J1963" s="4">
        <v>3</v>
      </c>
      <c r="K1963" s="6">
        <v>-4.8</v>
      </c>
    </row>
    <row r="1964" spans="1:11" x14ac:dyDescent="0.3">
      <c r="A1964" s="7">
        <v>42002</v>
      </c>
      <c r="B1964" s="4">
        <f>YEAR(SalesData[[#This Row],[Order Date]])</f>
        <v>2014</v>
      </c>
      <c r="C1964" s="4">
        <f>MONTH(SalesData[[#This Row],[Order Date]])</f>
        <v>12</v>
      </c>
      <c r="D1964" s="3" t="s">
        <v>587</v>
      </c>
      <c r="E1964" s="3" t="s">
        <v>27</v>
      </c>
      <c r="F1964" s="3" t="s">
        <v>11</v>
      </c>
      <c r="G1964" s="3" t="s">
        <v>16</v>
      </c>
      <c r="H1964" s="3" t="s">
        <v>1259</v>
      </c>
      <c r="I1964" s="6">
        <v>88.8</v>
      </c>
      <c r="J1964" s="4">
        <v>6</v>
      </c>
      <c r="K1964" s="6">
        <v>44.4</v>
      </c>
    </row>
    <row r="1965" spans="1:11" x14ac:dyDescent="0.3">
      <c r="A1965" s="7">
        <v>42002</v>
      </c>
      <c r="B1965" s="4">
        <f>YEAR(SalesData[[#This Row],[Order Date]])</f>
        <v>2014</v>
      </c>
      <c r="C1965" s="4">
        <f>MONTH(SalesData[[#This Row],[Order Date]])</f>
        <v>12</v>
      </c>
      <c r="D1965" s="3" t="s">
        <v>587</v>
      </c>
      <c r="E1965" s="3" t="s">
        <v>27</v>
      </c>
      <c r="F1965" s="3" t="s">
        <v>39</v>
      </c>
      <c r="G1965" s="3" t="s">
        <v>40</v>
      </c>
      <c r="H1965" s="3" t="s">
        <v>1864</v>
      </c>
      <c r="I1965" s="6">
        <v>319.97000000000003</v>
      </c>
      <c r="J1965" s="4">
        <v>4</v>
      </c>
      <c r="K1965" s="6">
        <v>36</v>
      </c>
    </row>
    <row r="1966" spans="1:11" x14ac:dyDescent="0.3">
      <c r="A1966" s="7">
        <v>42002</v>
      </c>
      <c r="B1966" s="4">
        <f>YEAR(SalesData[[#This Row],[Order Date]])</f>
        <v>2014</v>
      </c>
      <c r="C1966" s="4">
        <f>MONTH(SalesData[[#This Row],[Order Date]])</f>
        <v>12</v>
      </c>
      <c r="D1966" s="3" t="s">
        <v>1865</v>
      </c>
      <c r="E1966" s="3" t="s">
        <v>78</v>
      </c>
      <c r="F1966" s="3" t="s">
        <v>11</v>
      </c>
      <c r="G1966" s="3" t="s">
        <v>92</v>
      </c>
      <c r="H1966" s="3" t="s">
        <v>1031</v>
      </c>
      <c r="I1966" s="6">
        <v>48.36</v>
      </c>
      <c r="J1966" s="4">
        <v>5</v>
      </c>
      <c r="K1966" s="6">
        <v>6.05</v>
      </c>
    </row>
    <row r="1967" spans="1:11" x14ac:dyDescent="0.3">
      <c r="A1967" s="7">
        <v>42003</v>
      </c>
      <c r="B1967" s="4">
        <f>YEAR(SalesData[[#This Row],[Order Date]])</f>
        <v>2014</v>
      </c>
      <c r="C1967" s="4">
        <f>MONTH(SalesData[[#This Row],[Order Date]])</f>
        <v>12</v>
      </c>
      <c r="D1967" s="3" t="s">
        <v>1866</v>
      </c>
      <c r="E1967" s="3" t="s">
        <v>110</v>
      </c>
      <c r="F1967" s="3" t="s">
        <v>11</v>
      </c>
      <c r="G1967" s="3" t="s">
        <v>24</v>
      </c>
      <c r="H1967" s="3" t="s">
        <v>620</v>
      </c>
      <c r="I1967" s="6">
        <v>9.84</v>
      </c>
      <c r="J1967" s="4">
        <v>3</v>
      </c>
      <c r="K1967" s="6">
        <v>2.85</v>
      </c>
    </row>
    <row r="1968" spans="1:11" x14ac:dyDescent="0.3">
      <c r="A1968" s="7">
        <v>42003</v>
      </c>
      <c r="B1968" s="4">
        <f>YEAR(SalesData[[#This Row],[Order Date]])</f>
        <v>2014</v>
      </c>
      <c r="C1968" s="4">
        <f>MONTH(SalesData[[#This Row],[Order Date]])</f>
        <v>12</v>
      </c>
      <c r="D1968" s="3" t="s">
        <v>1249</v>
      </c>
      <c r="E1968" s="3" t="s">
        <v>10</v>
      </c>
      <c r="F1968" s="3" t="s">
        <v>11</v>
      </c>
      <c r="G1968" s="3" t="s">
        <v>63</v>
      </c>
      <c r="H1968" s="3" t="s">
        <v>1674</v>
      </c>
      <c r="I1968" s="6">
        <v>12.98</v>
      </c>
      <c r="J1968" s="4">
        <v>3</v>
      </c>
      <c r="K1968" s="6">
        <v>4.71</v>
      </c>
    </row>
    <row r="1969" spans="1:11" x14ac:dyDescent="0.3">
      <c r="A1969" s="7">
        <v>42003</v>
      </c>
      <c r="B1969" s="4">
        <f>YEAR(SalesData[[#This Row],[Order Date]])</f>
        <v>2014</v>
      </c>
      <c r="C1969" s="4">
        <f>MONTH(SalesData[[#This Row],[Order Date]])</f>
        <v>12</v>
      </c>
      <c r="D1969" s="3" t="s">
        <v>1249</v>
      </c>
      <c r="E1969" s="3" t="s">
        <v>10</v>
      </c>
      <c r="F1969" s="3" t="s">
        <v>39</v>
      </c>
      <c r="G1969" s="3" t="s">
        <v>40</v>
      </c>
      <c r="H1969" s="3" t="s">
        <v>1073</v>
      </c>
      <c r="I1969" s="6">
        <v>217.58</v>
      </c>
      <c r="J1969" s="4">
        <v>2</v>
      </c>
      <c r="K1969" s="6">
        <v>19.04</v>
      </c>
    </row>
    <row r="1970" spans="1:11" x14ac:dyDescent="0.3">
      <c r="A1970" s="7">
        <v>42003</v>
      </c>
      <c r="B1970" s="4">
        <f>YEAR(SalesData[[#This Row],[Order Date]])</f>
        <v>2014</v>
      </c>
      <c r="C1970" s="4">
        <f>MONTH(SalesData[[#This Row],[Order Date]])</f>
        <v>12</v>
      </c>
      <c r="D1970" s="3" t="s">
        <v>1249</v>
      </c>
      <c r="E1970" s="3" t="s">
        <v>10</v>
      </c>
      <c r="F1970" s="3" t="s">
        <v>39</v>
      </c>
      <c r="G1970" s="3" t="s">
        <v>40</v>
      </c>
      <c r="H1970" s="3" t="s">
        <v>521</v>
      </c>
      <c r="I1970" s="6">
        <v>328.78</v>
      </c>
      <c r="J1970" s="4">
        <v>3</v>
      </c>
      <c r="K1970" s="6">
        <v>28.77</v>
      </c>
    </row>
    <row r="1971" spans="1:11" x14ac:dyDescent="0.3">
      <c r="A1971" s="7">
        <v>42003</v>
      </c>
      <c r="B1971" s="4">
        <f>YEAR(SalesData[[#This Row],[Order Date]])</f>
        <v>2014</v>
      </c>
      <c r="C1971" s="4">
        <f>MONTH(SalesData[[#This Row],[Order Date]])</f>
        <v>12</v>
      </c>
      <c r="D1971" s="3" t="s">
        <v>1249</v>
      </c>
      <c r="E1971" s="3" t="s">
        <v>10</v>
      </c>
      <c r="F1971" s="3" t="s">
        <v>11</v>
      </c>
      <c r="G1971" s="3" t="s">
        <v>20</v>
      </c>
      <c r="H1971" s="3" t="s">
        <v>970</v>
      </c>
      <c r="I1971" s="6">
        <v>2.29</v>
      </c>
      <c r="J1971" s="4">
        <v>3</v>
      </c>
      <c r="K1971" s="6">
        <v>-3.66</v>
      </c>
    </row>
    <row r="1972" spans="1:11" x14ac:dyDescent="0.3">
      <c r="A1972" s="7">
        <v>42003</v>
      </c>
      <c r="B1972" s="4">
        <f>YEAR(SalesData[[#This Row],[Order Date]])</f>
        <v>2014</v>
      </c>
      <c r="C1972" s="4">
        <f>MONTH(SalesData[[#This Row],[Order Date]])</f>
        <v>12</v>
      </c>
      <c r="D1972" s="3" t="s">
        <v>1249</v>
      </c>
      <c r="E1972" s="3" t="s">
        <v>10</v>
      </c>
      <c r="F1972" s="3" t="s">
        <v>39</v>
      </c>
      <c r="G1972" s="3" t="s">
        <v>52</v>
      </c>
      <c r="H1972" s="3" t="s">
        <v>84</v>
      </c>
      <c r="I1972" s="6">
        <v>47.98</v>
      </c>
      <c r="J1972" s="4">
        <v>2</v>
      </c>
      <c r="K1972" s="6">
        <v>14.4</v>
      </c>
    </row>
    <row r="1973" spans="1:11" x14ac:dyDescent="0.3">
      <c r="A1973" s="7">
        <v>42003</v>
      </c>
      <c r="B1973" s="4">
        <f>YEAR(SalesData[[#This Row],[Order Date]])</f>
        <v>2014</v>
      </c>
      <c r="C1973" s="4">
        <f>MONTH(SalesData[[#This Row],[Order Date]])</f>
        <v>12</v>
      </c>
      <c r="D1973" s="3" t="s">
        <v>1867</v>
      </c>
      <c r="E1973" s="3" t="s">
        <v>95</v>
      </c>
      <c r="F1973" s="3" t="s">
        <v>11</v>
      </c>
      <c r="G1973" s="3" t="s">
        <v>20</v>
      </c>
      <c r="H1973" s="3" t="s">
        <v>1103</v>
      </c>
      <c r="I1973" s="6">
        <v>551.99</v>
      </c>
      <c r="J1973" s="4">
        <v>5</v>
      </c>
      <c r="K1973" s="6">
        <v>-459.99</v>
      </c>
    </row>
    <row r="1974" spans="1:11" x14ac:dyDescent="0.3">
      <c r="A1974" s="7">
        <v>42003</v>
      </c>
      <c r="B1974" s="4">
        <f>YEAR(SalesData[[#This Row],[Order Date]])</f>
        <v>2014</v>
      </c>
      <c r="C1974" s="4">
        <f>MONTH(SalesData[[#This Row],[Order Date]])</f>
        <v>12</v>
      </c>
      <c r="D1974" s="3" t="s">
        <v>185</v>
      </c>
      <c r="E1974" s="3" t="s">
        <v>23</v>
      </c>
      <c r="F1974" s="3" t="s">
        <v>39</v>
      </c>
      <c r="G1974" s="3" t="s">
        <v>52</v>
      </c>
      <c r="H1974" s="3" t="s">
        <v>1390</v>
      </c>
      <c r="I1974" s="6">
        <v>27.97</v>
      </c>
      <c r="J1974" s="4">
        <v>2</v>
      </c>
      <c r="K1974" s="6">
        <v>6.99</v>
      </c>
    </row>
    <row r="1975" spans="1:11" x14ac:dyDescent="0.3">
      <c r="A1975" s="7">
        <v>42003</v>
      </c>
      <c r="B1975" s="4">
        <f>YEAR(SalesData[[#This Row],[Order Date]])</f>
        <v>2014</v>
      </c>
      <c r="C1975" s="4">
        <f>MONTH(SalesData[[#This Row],[Order Date]])</f>
        <v>12</v>
      </c>
      <c r="D1975" s="3" t="s">
        <v>1868</v>
      </c>
      <c r="E1975" s="3" t="s">
        <v>23</v>
      </c>
      <c r="F1975" s="3" t="s">
        <v>39</v>
      </c>
      <c r="G1975" s="3" t="s">
        <v>40</v>
      </c>
      <c r="H1975" s="3" t="s">
        <v>1708</v>
      </c>
      <c r="I1975" s="6">
        <v>251.96</v>
      </c>
      <c r="J1975" s="4">
        <v>6</v>
      </c>
      <c r="K1975" s="6">
        <v>-50.39</v>
      </c>
    </row>
    <row r="1976" spans="1:11" x14ac:dyDescent="0.3">
      <c r="A1976" s="7">
        <v>42003</v>
      </c>
      <c r="B1976" s="4">
        <f>YEAR(SalesData[[#This Row],[Order Date]])</f>
        <v>2014</v>
      </c>
      <c r="C1976" s="4">
        <f>MONTH(SalesData[[#This Row],[Order Date]])</f>
        <v>12</v>
      </c>
      <c r="D1976" s="3" t="s">
        <v>1868</v>
      </c>
      <c r="E1976" s="3" t="s">
        <v>23</v>
      </c>
      <c r="F1976" s="3" t="s">
        <v>34</v>
      </c>
      <c r="G1976" s="3" t="s">
        <v>145</v>
      </c>
      <c r="H1976" s="3" t="s">
        <v>942</v>
      </c>
      <c r="I1976" s="6">
        <v>523.76</v>
      </c>
      <c r="J1976" s="4">
        <v>3</v>
      </c>
      <c r="K1976" s="6">
        <v>-192.05</v>
      </c>
    </row>
    <row r="1977" spans="1:11" x14ac:dyDescent="0.3">
      <c r="A1977" s="7">
        <v>42003</v>
      </c>
      <c r="B1977" s="4">
        <f>YEAR(SalesData[[#This Row],[Order Date]])</f>
        <v>2014</v>
      </c>
      <c r="C1977" s="4">
        <f>MONTH(SalesData[[#This Row],[Order Date]])</f>
        <v>12</v>
      </c>
      <c r="D1977" s="3" t="s">
        <v>1298</v>
      </c>
      <c r="E1977" s="3" t="s">
        <v>149</v>
      </c>
      <c r="F1977" s="3" t="s">
        <v>11</v>
      </c>
      <c r="G1977" s="3" t="s">
        <v>92</v>
      </c>
      <c r="H1977" s="3" t="s">
        <v>1869</v>
      </c>
      <c r="I1977" s="6">
        <v>122.94</v>
      </c>
      <c r="J1977" s="4">
        <v>3</v>
      </c>
      <c r="K1977" s="6">
        <v>30.74</v>
      </c>
    </row>
    <row r="1978" spans="1:11" x14ac:dyDescent="0.3">
      <c r="A1978" s="7">
        <v>42003</v>
      </c>
      <c r="B1978" s="4">
        <f>YEAR(SalesData[[#This Row],[Order Date]])</f>
        <v>2014</v>
      </c>
      <c r="C1978" s="4">
        <f>MONTH(SalesData[[#This Row],[Order Date]])</f>
        <v>12</v>
      </c>
      <c r="D1978" s="3" t="s">
        <v>1298</v>
      </c>
      <c r="E1978" s="3" t="s">
        <v>149</v>
      </c>
      <c r="F1978" s="3" t="s">
        <v>11</v>
      </c>
      <c r="G1978" s="3" t="s">
        <v>20</v>
      </c>
      <c r="H1978" s="3" t="s">
        <v>248</v>
      </c>
      <c r="I1978" s="6">
        <v>35.450000000000003</v>
      </c>
      <c r="J1978" s="4">
        <v>7</v>
      </c>
      <c r="K1978" s="6">
        <v>12.85</v>
      </c>
    </row>
    <row r="1979" spans="1:11" x14ac:dyDescent="0.3">
      <c r="A1979" s="7">
        <v>42003</v>
      </c>
      <c r="B1979" s="4">
        <f>YEAR(SalesData[[#This Row],[Order Date]])</f>
        <v>2014</v>
      </c>
      <c r="C1979" s="4">
        <f>MONTH(SalesData[[#This Row],[Order Date]])</f>
        <v>12</v>
      </c>
      <c r="D1979" s="3" t="s">
        <v>424</v>
      </c>
      <c r="E1979" s="3" t="s">
        <v>120</v>
      </c>
      <c r="F1979" s="3" t="s">
        <v>11</v>
      </c>
      <c r="G1979" s="3" t="s">
        <v>18</v>
      </c>
      <c r="H1979" s="3" t="s">
        <v>1870</v>
      </c>
      <c r="I1979" s="6">
        <v>39.130000000000003</v>
      </c>
      <c r="J1979" s="4">
        <v>1</v>
      </c>
      <c r="K1979" s="6">
        <v>-8.8000000000000007</v>
      </c>
    </row>
    <row r="1980" spans="1:11" x14ac:dyDescent="0.3">
      <c r="A1980" s="7">
        <v>42004</v>
      </c>
      <c r="B1980" s="4">
        <f>YEAR(SalesData[[#This Row],[Order Date]])</f>
        <v>2014</v>
      </c>
      <c r="C1980" s="4">
        <f>MONTH(SalesData[[#This Row],[Order Date]])</f>
        <v>12</v>
      </c>
      <c r="D1980" s="3" t="s">
        <v>1871</v>
      </c>
      <c r="E1980" s="3" t="s">
        <v>149</v>
      </c>
      <c r="F1980" s="3" t="s">
        <v>34</v>
      </c>
      <c r="G1980" s="3" t="s">
        <v>74</v>
      </c>
      <c r="H1980" s="3" t="s">
        <v>1872</v>
      </c>
      <c r="I1980" s="6">
        <v>1573.49</v>
      </c>
      <c r="J1980" s="4">
        <v>7</v>
      </c>
      <c r="K1980" s="6">
        <v>196.69</v>
      </c>
    </row>
    <row r="1981" spans="1:11" x14ac:dyDescent="0.3">
      <c r="A1981" s="7">
        <v>42004</v>
      </c>
      <c r="B1981" s="4">
        <f>YEAR(SalesData[[#This Row],[Order Date]])</f>
        <v>2014</v>
      </c>
      <c r="C1981" s="4">
        <f>MONTH(SalesData[[#This Row],[Order Date]])</f>
        <v>12</v>
      </c>
      <c r="D1981" s="3" t="s">
        <v>883</v>
      </c>
      <c r="E1981" s="3" t="s">
        <v>186</v>
      </c>
      <c r="F1981" s="3" t="s">
        <v>11</v>
      </c>
      <c r="G1981" s="3" t="s">
        <v>24</v>
      </c>
      <c r="H1981" s="3" t="s">
        <v>386</v>
      </c>
      <c r="I1981" s="6">
        <v>29.68</v>
      </c>
      <c r="J1981" s="4">
        <v>7</v>
      </c>
      <c r="K1981" s="6">
        <v>11.58</v>
      </c>
    </row>
    <row r="1982" spans="1:11" x14ac:dyDescent="0.3">
      <c r="A1982" s="7">
        <v>42004</v>
      </c>
      <c r="B1982" s="4">
        <f>YEAR(SalesData[[#This Row],[Order Date]])</f>
        <v>2014</v>
      </c>
      <c r="C1982" s="4">
        <f>MONTH(SalesData[[#This Row],[Order Date]])</f>
        <v>12</v>
      </c>
      <c r="D1982" s="3" t="s">
        <v>883</v>
      </c>
      <c r="E1982" s="3" t="s">
        <v>186</v>
      </c>
      <c r="F1982" s="3" t="s">
        <v>39</v>
      </c>
      <c r="G1982" s="3" t="s">
        <v>52</v>
      </c>
      <c r="H1982" s="3" t="s">
        <v>1873</v>
      </c>
      <c r="I1982" s="6">
        <v>47.53</v>
      </c>
      <c r="J1982" s="4">
        <v>7</v>
      </c>
      <c r="K1982" s="6">
        <v>16.16</v>
      </c>
    </row>
    <row r="1983" spans="1:11" x14ac:dyDescent="0.3">
      <c r="A1983" s="7">
        <v>42004</v>
      </c>
      <c r="B1983" s="4">
        <f>YEAR(SalesData[[#This Row],[Order Date]])</f>
        <v>2014</v>
      </c>
      <c r="C1983" s="4">
        <f>MONTH(SalesData[[#This Row],[Order Date]])</f>
        <v>12</v>
      </c>
      <c r="D1983" s="3" t="s">
        <v>512</v>
      </c>
      <c r="E1983" s="3" t="s">
        <v>434</v>
      </c>
      <c r="F1983" s="3" t="s">
        <v>34</v>
      </c>
      <c r="G1983" s="3" t="s">
        <v>47</v>
      </c>
      <c r="H1983" s="3" t="s">
        <v>1269</v>
      </c>
      <c r="I1983" s="6">
        <v>63.2</v>
      </c>
      <c r="J1983" s="4">
        <v>5</v>
      </c>
      <c r="K1983" s="6">
        <v>23.38</v>
      </c>
    </row>
    <row r="1984" spans="1:11" x14ac:dyDescent="0.3">
      <c r="A1984" s="7">
        <v>42004</v>
      </c>
      <c r="B1984" s="4">
        <f>YEAR(SalesData[[#This Row],[Order Date]])</f>
        <v>2014</v>
      </c>
      <c r="C1984" s="4">
        <f>MONTH(SalesData[[#This Row],[Order Date]])</f>
        <v>12</v>
      </c>
      <c r="D1984" s="3" t="s">
        <v>512</v>
      </c>
      <c r="E1984" s="3" t="s">
        <v>434</v>
      </c>
      <c r="F1984" s="3" t="s">
        <v>39</v>
      </c>
      <c r="G1984" s="3" t="s">
        <v>52</v>
      </c>
      <c r="H1984" s="3" t="s">
        <v>1874</v>
      </c>
      <c r="I1984" s="6">
        <v>113.97</v>
      </c>
      <c r="J1984" s="4">
        <v>3</v>
      </c>
      <c r="K1984" s="6">
        <v>27.35</v>
      </c>
    </row>
    <row r="1985" spans="1:11" x14ac:dyDescent="0.3">
      <c r="A1985" s="7">
        <v>42004</v>
      </c>
      <c r="B1985" s="4">
        <f>YEAR(SalesData[[#This Row],[Order Date]])</f>
        <v>2014</v>
      </c>
      <c r="C1985" s="4">
        <f>MONTH(SalesData[[#This Row],[Order Date]])</f>
        <v>12</v>
      </c>
      <c r="D1985" s="3" t="s">
        <v>1618</v>
      </c>
      <c r="E1985" s="3" t="s">
        <v>10</v>
      </c>
      <c r="F1985" s="3" t="s">
        <v>11</v>
      </c>
      <c r="G1985" s="3" t="s">
        <v>63</v>
      </c>
      <c r="H1985" s="3" t="s">
        <v>64</v>
      </c>
      <c r="I1985" s="6">
        <v>49.57</v>
      </c>
      <c r="J1985" s="4">
        <v>2</v>
      </c>
      <c r="K1985" s="6">
        <v>17.97</v>
      </c>
    </row>
    <row r="1986" spans="1:11" x14ac:dyDescent="0.3">
      <c r="A1986" s="7">
        <v>42004</v>
      </c>
      <c r="B1986" s="4">
        <f>YEAR(SalesData[[#This Row],[Order Date]])</f>
        <v>2014</v>
      </c>
      <c r="C1986" s="4">
        <f>MONTH(SalesData[[#This Row],[Order Date]])</f>
        <v>12</v>
      </c>
      <c r="D1986" s="3" t="s">
        <v>973</v>
      </c>
      <c r="E1986" s="3" t="s">
        <v>1529</v>
      </c>
      <c r="F1986" s="3" t="s">
        <v>11</v>
      </c>
      <c r="G1986" s="3" t="s">
        <v>12</v>
      </c>
      <c r="H1986" s="3" t="s">
        <v>1492</v>
      </c>
      <c r="I1986" s="6">
        <v>195.64</v>
      </c>
      <c r="J1986" s="4">
        <v>4</v>
      </c>
      <c r="K1986" s="6">
        <v>91.95</v>
      </c>
    </row>
    <row r="1987" spans="1:11" x14ac:dyDescent="0.3">
      <c r="A1987" s="7">
        <v>42004</v>
      </c>
      <c r="B1987" s="4">
        <f>YEAR(SalesData[[#This Row],[Order Date]])</f>
        <v>2014</v>
      </c>
      <c r="C1987" s="4">
        <f>MONTH(SalesData[[#This Row],[Order Date]])</f>
        <v>12</v>
      </c>
      <c r="D1987" s="3" t="s">
        <v>973</v>
      </c>
      <c r="E1987" s="3" t="s">
        <v>1529</v>
      </c>
      <c r="F1987" s="3" t="s">
        <v>11</v>
      </c>
      <c r="G1987" s="3" t="s">
        <v>12</v>
      </c>
      <c r="H1987" s="3" t="s">
        <v>1710</v>
      </c>
      <c r="I1987" s="6">
        <v>14.94</v>
      </c>
      <c r="J1987" s="4">
        <v>3</v>
      </c>
      <c r="K1987" s="6">
        <v>7.02</v>
      </c>
    </row>
    <row r="1988" spans="1:11" x14ac:dyDescent="0.3">
      <c r="A1988" s="7">
        <v>42004</v>
      </c>
      <c r="B1988" s="4">
        <f>YEAR(SalesData[[#This Row],[Order Date]])</f>
        <v>2014</v>
      </c>
      <c r="C1988" s="4">
        <f>MONTH(SalesData[[#This Row],[Order Date]])</f>
        <v>12</v>
      </c>
      <c r="D1988" s="3" t="s">
        <v>973</v>
      </c>
      <c r="E1988" s="3" t="s">
        <v>1529</v>
      </c>
      <c r="F1988" s="3" t="s">
        <v>39</v>
      </c>
      <c r="G1988" s="3" t="s">
        <v>52</v>
      </c>
      <c r="H1988" s="3" t="s">
        <v>1875</v>
      </c>
      <c r="I1988" s="6">
        <v>1687.8</v>
      </c>
      <c r="J1988" s="4">
        <v>4</v>
      </c>
      <c r="K1988" s="6">
        <v>742.63</v>
      </c>
    </row>
    <row r="1989" spans="1:11" x14ac:dyDescent="0.3">
      <c r="A1989" s="7">
        <v>42004</v>
      </c>
      <c r="B1989" s="4">
        <f>YEAR(SalesData[[#This Row],[Order Date]])</f>
        <v>2014</v>
      </c>
      <c r="C1989" s="4">
        <f>MONTH(SalesData[[#This Row],[Order Date]])</f>
        <v>12</v>
      </c>
      <c r="D1989" s="3" t="s">
        <v>973</v>
      </c>
      <c r="E1989" s="3" t="s">
        <v>1529</v>
      </c>
      <c r="F1989" s="3" t="s">
        <v>34</v>
      </c>
      <c r="G1989" s="3" t="s">
        <v>74</v>
      </c>
      <c r="H1989" s="3" t="s">
        <v>719</v>
      </c>
      <c r="I1989" s="6">
        <v>341.96</v>
      </c>
      <c r="J1989" s="4">
        <v>2</v>
      </c>
      <c r="K1989" s="6">
        <v>78.650000000000006</v>
      </c>
    </row>
    <row r="1990" spans="1:11" x14ac:dyDescent="0.3">
      <c r="A1990" s="7">
        <v>42004</v>
      </c>
      <c r="B1990" s="4">
        <f>YEAR(SalesData[[#This Row],[Order Date]])</f>
        <v>2014</v>
      </c>
      <c r="C1990" s="4">
        <f>MONTH(SalesData[[#This Row],[Order Date]])</f>
        <v>12</v>
      </c>
      <c r="D1990" s="3" t="s">
        <v>973</v>
      </c>
      <c r="E1990" s="3" t="s">
        <v>1529</v>
      </c>
      <c r="F1990" s="3" t="s">
        <v>34</v>
      </c>
      <c r="G1990" s="3" t="s">
        <v>35</v>
      </c>
      <c r="H1990" s="3" t="s">
        <v>1876</v>
      </c>
      <c r="I1990" s="6">
        <v>605.88</v>
      </c>
      <c r="J1990" s="4">
        <v>6</v>
      </c>
      <c r="K1990" s="6">
        <v>151.47</v>
      </c>
    </row>
    <row r="1991" spans="1:11" x14ac:dyDescent="0.3">
      <c r="A1991" s="7">
        <v>42004</v>
      </c>
      <c r="B1991" s="4">
        <f>YEAR(SalesData[[#This Row],[Order Date]])</f>
        <v>2014</v>
      </c>
      <c r="C1991" s="4">
        <f>MONTH(SalesData[[#This Row],[Order Date]])</f>
        <v>12</v>
      </c>
      <c r="D1991" s="3" t="s">
        <v>1877</v>
      </c>
      <c r="E1991" s="3" t="s">
        <v>126</v>
      </c>
      <c r="F1991" s="3" t="s">
        <v>39</v>
      </c>
      <c r="G1991" s="3" t="s">
        <v>40</v>
      </c>
      <c r="H1991" s="3" t="s">
        <v>1878</v>
      </c>
      <c r="I1991" s="6">
        <v>475.94</v>
      </c>
      <c r="J1991" s="4">
        <v>7</v>
      </c>
      <c r="K1991" s="6">
        <v>59.49</v>
      </c>
    </row>
    <row r="1992" spans="1:11" x14ac:dyDescent="0.3">
      <c r="A1992" s="7">
        <v>42004</v>
      </c>
      <c r="B1992" s="4">
        <f>YEAR(SalesData[[#This Row],[Order Date]])</f>
        <v>2014</v>
      </c>
      <c r="C1992" s="4">
        <f>MONTH(SalesData[[#This Row],[Order Date]])</f>
        <v>12</v>
      </c>
      <c r="D1992" s="3" t="s">
        <v>558</v>
      </c>
      <c r="E1992" s="3" t="s">
        <v>149</v>
      </c>
      <c r="F1992" s="3" t="s">
        <v>39</v>
      </c>
      <c r="G1992" s="3" t="s">
        <v>52</v>
      </c>
      <c r="H1992" s="3" t="s">
        <v>1879</v>
      </c>
      <c r="I1992" s="6">
        <v>34.770000000000003</v>
      </c>
      <c r="J1992" s="4">
        <v>3</v>
      </c>
      <c r="K1992" s="6">
        <v>11.47</v>
      </c>
    </row>
    <row r="1993" spans="1:11" x14ac:dyDescent="0.3">
      <c r="A1993" s="7">
        <v>42004</v>
      </c>
      <c r="B1993" s="4">
        <f>YEAR(SalesData[[#This Row],[Order Date]])</f>
        <v>2014</v>
      </c>
      <c r="C1993" s="4">
        <f>MONTH(SalesData[[#This Row],[Order Date]])</f>
        <v>12</v>
      </c>
      <c r="D1993" s="3" t="s">
        <v>558</v>
      </c>
      <c r="E1993" s="3" t="s">
        <v>149</v>
      </c>
      <c r="F1993" s="3" t="s">
        <v>11</v>
      </c>
      <c r="G1993" s="3" t="s">
        <v>16</v>
      </c>
      <c r="H1993" s="3" t="s">
        <v>1297</v>
      </c>
      <c r="I1993" s="6">
        <v>18.899999999999999</v>
      </c>
      <c r="J1993" s="4">
        <v>3</v>
      </c>
      <c r="K1993" s="6">
        <v>8.69</v>
      </c>
    </row>
    <row r="1994" spans="1:11" x14ac:dyDescent="0.3">
      <c r="A1994" s="7">
        <v>42006</v>
      </c>
      <c r="B1994" s="4">
        <f>YEAR(SalesData[[#This Row],[Order Date]])</f>
        <v>2015</v>
      </c>
      <c r="C1994" s="4">
        <f>MONTH(SalesData[[#This Row],[Order Date]])</f>
        <v>1</v>
      </c>
      <c r="D1994" s="3" t="s">
        <v>659</v>
      </c>
      <c r="E1994" s="3" t="s">
        <v>78</v>
      </c>
      <c r="F1994" s="3" t="s">
        <v>11</v>
      </c>
      <c r="G1994" s="3" t="s">
        <v>16</v>
      </c>
      <c r="H1994" s="3" t="s">
        <v>364</v>
      </c>
      <c r="I1994" s="6">
        <v>23.68</v>
      </c>
      <c r="J1994" s="4">
        <v>2</v>
      </c>
      <c r="K1994" s="6">
        <v>8.8800000000000008</v>
      </c>
    </row>
    <row r="1995" spans="1:11" x14ac:dyDescent="0.3">
      <c r="A1995" s="7">
        <v>42006</v>
      </c>
      <c r="B1995" s="4">
        <f>YEAR(SalesData[[#This Row],[Order Date]])</f>
        <v>2015</v>
      </c>
      <c r="C1995" s="4">
        <f>MONTH(SalesData[[#This Row],[Order Date]])</f>
        <v>1</v>
      </c>
      <c r="D1995" s="3" t="s">
        <v>659</v>
      </c>
      <c r="E1995" s="3" t="s">
        <v>78</v>
      </c>
      <c r="F1995" s="3" t="s">
        <v>34</v>
      </c>
      <c r="G1995" s="3" t="s">
        <v>74</v>
      </c>
      <c r="H1995" s="3" t="s">
        <v>1880</v>
      </c>
      <c r="I1995" s="6">
        <v>452.45</v>
      </c>
      <c r="J1995" s="4">
        <v>5</v>
      </c>
      <c r="K1995" s="6">
        <v>-244.32</v>
      </c>
    </row>
    <row r="1996" spans="1:11" x14ac:dyDescent="0.3">
      <c r="A1996" s="7">
        <v>42006</v>
      </c>
      <c r="B1996" s="4">
        <f>YEAR(SalesData[[#This Row],[Order Date]])</f>
        <v>2015</v>
      </c>
      <c r="C1996" s="4">
        <f>MONTH(SalesData[[#This Row],[Order Date]])</f>
        <v>1</v>
      </c>
      <c r="D1996" s="3" t="s">
        <v>659</v>
      </c>
      <c r="E1996" s="3" t="s">
        <v>78</v>
      </c>
      <c r="F1996" s="3" t="s">
        <v>39</v>
      </c>
      <c r="G1996" s="3" t="s">
        <v>40</v>
      </c>
      <c r="H1996" s="3" t="s">
        <v>1881</v>
      </c>
      <c r="I1996" s="6">
        <v>62.98</v>
      </c>
      <c r="J1996" s="4">
        <v>3</v>
      </c>
      <c r="K1996" s="6">
        <v>-14.7</v>
      </c>
    </row>
    <row r="1997" spans="1:11" x14ac:dyDescent="0.3">
      <c r="A1997" s="7">
        <v>42006</v>
      </c>
      <c r="B1997" s="4">
        <f>YEAR(SalesData[[#This Row],[Order Date]])</f>
        <v>2015</v>
      </c>
      <c r="C1997" s="4">
        <f>MONTH(SalesData[[#This Row],[Order Date]])</f>
        <v>1</v>
      </c>
      <c r="D1997" s="3" t="s">
        <v>659</v>
      </c>
      <c r="E1997" s="3" t="s">
        <v>78</v>
      </c>
      <c r="F1997" s="3" t="s">
        <v>39</v>
      </c>
      <c r="G1997" s="3" t="s">
        <v>302</v>
      </c>
      <c r="H1997" s="3" t="s">
        <v>1882</v>
      </c>
      <c r="I1997" s="6">
        <v>1188</v>
      </c>
      <c r="J1997" s="4">
        <v>9</v>
      </c>
      <c r="K1997" s="6">
        <v>-950.4</v>
      </c>
    </row>
    <row r="1998" spans="1:11" x14ac:dyDescent="0.3">
      <c r="A1998" s="7">
        <v>42006</v>
      </c>
      <c r="B1998" s="4">
        <f>YEAR(SalesData[[#This Row],[Order Date]])</f>
        <v>2015</v>
      </c>
      <c r="C1998" s="4">
        <f>MONTH(SalesData[[#This Row],[Order Date]])</f>
        <v>1</v>
      </c>
      <c r="D1998" s="3" t="s">
        <v>659</v>
      </c>
      <c r="E1998" s="3" t="s">
        <v>78</v>
      </c>
      <c r="F1998" s="3" t="s">
        <v>39</v>
      </c>
      <c r="G1998" s="3" t="s">
        <v>52</v>
      </c>
      <c r="H1998" s="3" t="s">
        <v>636</v>
      </c>
      <c r="I1998" s="6">
        <v>89.58</v>
      </c>
      <c r="J1998" s="4">
        <v>2</v>
      </c>
      <c r="K1998" s="6">
        <v>4.4800000000000004</v>
      </c>
    </row>
    <row r="1999" spans="1:11" x14ac:dyDescent="0.3">
      <c r="A1999" s="7">
        <v>42006</v>
      </c>
      <c r="B1999" s="4">
        <f>YEAR(SalesData[[#This Row],[Order Date]])</f>
        <v>2015</v>
      </c>
      <c r="C1999" s="4">
        <f>MONTH(SalesData[[#This Row],[Order Date]])</f>
        <v>1</v>
      </c>
      <c r="D1999" s="3" t="s">
        <v>1883</v>
      </c>
      <c r="E1999" s="3" t="s">
        <v>59</v>
      </c>
      <c r="F1999" s="3" t="s">
        <v>11</v>
      </c>
      <c r="G1999" s="3" t="s">
        <v>18</v>
      </c>
      <c r="H1999" s="3" t="s">
        <v>725</v>
      </c>
      <c r="I1999" s="6">
        <v>85.52</v>
      </c>
      <c r="J1999" s="4">
        <v>2</v>
      </c>
      <c r="K1999" s="6">
        <v>22.24</v>
      </c>
    </row>
    <row r="2000" spans="1:11" x14ac:dyDescent="0.3">
      <c r="A2000" s="7">
        <v>42006</v>
      </c>
      <c r="B2000" s="4">
        <f>YEAR(SalesData[[#This Row],[Order Date]])</f>
        <v>2015</v>
      </c>
      <c r="C2000" s="4">
        <f>MONTH(SalesData[[#This Row],[Order Date]])</f>
        <v>1</v>
      </c>
      <c r="D2000" s="3" t="s">
        <v>1883</v>
      </c>
      <c r="E2000" s="3" t="s">
        <v>59</v>
      </c>
      <c r="F2000" s="3" t="s">
        <v>11</v>
      </c>
      <c r="G2000" s="3" t="s">
        <v>24</v>
      </c>
      <c r="H2000" s="3" t="s">
        <v>1321</v>
      </c>
      <c r="I2000" s="6">
        <v>9.84</v>
      </c>
      <c r="J2000" s="4">
        <v>3</v>
      </c>
      <c r="K2000" s="6">
        <v>2.66</v>
      </c>
    </row>
    <row r="2001" spans="1:11" x14ac:dyDescent="0.3">
      <c r="A2001" s="7">
        <v>42006</v>
      </c>
      <c r="B2001" s="4">
        <f>YEAR(SalesData[[#This Row],[Order Date]])</f>
        <v>2015</v>
      </c>
      <c r="C2001" s="4">
        <f>MONTH(SalesData[[#This Row],[Order Date]])</f>
        <v>1</v>
      </c>
      <c r="D2001" s="3" t="s">
        <v>1883</v>
      </c>
      <c r="E2001" s="3" t="s">
        <v>59</v>
      </c>
      <c r="F2001" s="3" t="s">
        <v>11</v>
      </c>
      <c r="G2001" s="3" t="s">
        <v>12</v>
      </c>
      <c r="H2001" s="3" t="s">
        <v>1884</v>
      </c>
      <c r="I2001" s="6">
        <v>20.04</v>
      </c>
      <c r="J2001" s="4">
        <v>3</v>
      </c>
      <c r="K2001" s="6">
        <v>9.6199999999999992</v>
      </c>
    </row>
    <row r="2002" spans="1:11" x14ac:dyDescent="0.3">
      <c r="A2002" s="7">
        <v>42007</v>
      </c>
      <c r="B2002" s="4">
        <f>YEAR(SalesData[[#This Row],[Order Date]])</f>
        <v>2015</v>
      </c>
      <c r="C2002" s="4">
        <f>MONTH(SalesData[[#This Row],[Order Date]])</f>
        <v>1</v>
      </c>
      <c r="D2002" s="3" t="s">
        <v>1502</v>
      </c>
      <c r="E2002" s="3" t="s">
        <v>10</v>
      </c>
      <c r="F2002" s="3" t="s">
        <v>11</v>
      </c>
      <c r="G2002" s="3" t="s">
        <v>12</v>
      </c>
      <c r="H2002" s="3" t="s">
        <v>1096</v>
      </c>
      <c r="I2002" s="6">
        <v>10.37</v>
      </c>
      <c r="J2002" s="4">
        <v>2</v>
      </c>
      <c r="K2002" s="6">
        <v>3.63</v>
      </c>
    </row>
    <row r="2003" spans="1:11" x14ac:dyDescent="0.3">
      <c r="A2003" s="7">
        <v>42007</v>
      </c>
      <c r="B2003" s="4">
        <f>YEAR(SalesData[[#This Row],[Order Date]])</f>
        <v>2015</v>
      </c>
      <c r="C2003" s="4">
        <f>MONTH(SalesData[[#This Row],[Order Date]])</f>
        <v>1</v>
      </c>
      <c r="D2003" s="3" t="s">
        <v>1885</v>
      </c>
      <c r="E2003" s="3" t="s">
        <v>10</v>
      </c>
      <c r="F2003" s="3" t="s">
        <v>39</v>
      </c>
      <c r="G2003" s="3" t="s">
        <v>52</v>
      </c>
      <c r="H2003" s="3" t="s">
        <v>1849</v>
      </c>
      <c r="I2003" s="6">
        <v>398.4</v>
      </c>
      <c r="J2003" s="4">
        <v>5</v>
      </c>
      <c r="K2003" s="6">
        <v>84.66</v>
      </c>
    </row>
    <row r="2004" spans="1:11" x14ac:dyDescent="0.3">
      <c r="A2004" s="7">
        <v>42007</v>
      </c>
      <c r="B2004" s="4">
        <f>YEAR(SalesData[[#This Row],[Order Date]])</f>
        <v>2015</v>
      </c>
      <c r="C2004" s="4">
        <f>MONTH(SalesData[[#This Row],[Order Date]])</f>
        <v>1</v>
      </c>
      <c r="D2004" s="3" t="s">
        <v>1885</v>
      </c>
      <c r="E2004" s="3" t="s">
        <v>10</v>
      </c>
      <c r="F2004" s="3" t="s">
        <v>11</v>
      </c>
      <c r="G2004" s="3" t="s">
        <v>24</v>
      </c>
      <c r="H2004" s="3" t="s">
        <v>706</v>
      </c>
      <c r="I2004" s="6">
        <v>7.06</v>
      </c>
      <c r="J2004" s="4">
        <v>3</v>
      </c>
      <c r="K2004" s="6">
        <v>0.79</v>
      </c>
    </row>
    <row r="2005" spans="1:11" x14ac:dyDescent="0.3">
      <c r="A2005" s="7">
        <v>42007</v>
      </c>
      <c r="B2005" s="4">
        <f>YEAR(SalesData[[#This Row],[Order Date]])</f>
        <v>2015</v>
      </c>
      <c r="C2005" s="4">
        <f>MONTH(SalesData[[#This Row],[Order Date]])</f>
        <v>1</v>
      </c>
      <c r="D2005" s="3" t="s">
        <v>1885</v>
      </c>
      <c r="E2005" s="3" t="s">
        <v>10</v>
      </c>
      <c r="F2005" s="3" t="s">
        <v>34</v>
      </c>
      <c r="G2005" s="3" t="s">
        <v>74</v>
      </c>
      <c r="H2005" s="3" t="s">
        <v>777</v>
      </c>
      <c r="I2005" s="6">
        <v>1352.4</v>
      </c>
      <c r="J2005" s="4">
        <v>9</v>
      </c>
      <c r="K2005" s="6">
        <v>-437.54</v>
      </c>
    </row>
    <row r="2006" spans="1:11" x14ac:dyDescent="0.3">
      <c r="A2006" s="7">
        <v>42008</v>
      </c>
      <c r="B2006" s="4">
        <f>YEAR(SalesData[[#This Row],[Order Date]])</f>
        <v>2015</v>
      </c>
      <c r="C2006" s="4">
        <f>MONTH(SalesData[[#This Row],[Order Date]])</f>
        <v>1</v>
      </c>
      <c r="D2006" s="3" t="s">
        <v>61</v>
      </c>
      <c r="E2006" s="3" t="s">
        <v>315</v>
      </c>
      <c r="F2006" s="3" t="s">
        <v>11</v>
      </c>
      <c r="G2006" s="3" t="s">
        <v>20</v>
      </c>
      <c r="H2006" s="3" t="s">
        <v>96</v>
      </c>
      <c r="I2006" s="6">
        <v>32.340000000000003</v>
      </c>
      <c r="J2006" s="4">
        <v>3</v>
      </c>
      <c r="K2006" s="6">
        <v>15.52</v>
      </c>
    </row>
    <row r="2007" spans="1:11" x14ac:dyDescent="0.3">
      <c r="A2007" s="7">
        <v>42008</v>
      </c>
      <c r="B2007" s="4">
        <f>YEAR(SalesData[[#This Row],[Order Date]])</f>
        <v>2015</v>
      </c>
      <c r="C2007" s="4">
        <f>MONTH(SalesData[[#This Row],[Order Date]])</f>
        <v>1</v>
      </c>
      <c r="D2007" s="3" t="s">
        <v>61</v>
      </c>
      <c r="E2007" s="3" t="s">
        <v>315</v>
      </c>
      <c r="F2007" s="3" t="s">
        <v>11</v>
      </c>
      <c r="G2007" s="3" t="s">
        <v>12</v>
      </c>
      <c r="H2007" s="3" t="s">
        <v>754</v>
      </c>
      <c r="I2007" s="6">
        <v>39.9</v>
      </c>
      <c r="J2007" s="4">
        <v>5</v>
      </c>
      <c r="K2007" s="6">
        <v>19.95</v>
      </c>
    </row>
    <row r="2008" spans="1:11" x14ac:dyDescent="0.3">
      <c r="A2008" s="7">
        <v>42008</v>
      </c>
      <c r="B2008" s="4">
        <f>YEAR(SalesData[[#This Row],[Order Date]])</f>
        <v>2015</v>
      </c>
      <c r="C2008" s="4">
        <f>MONTH(SalesData[[#This Row],[Order Date]])</f>
        <v>1</v>
      </c>
      <c r="D2008" s="3" t="s">
        <v>1886</v>
      </c>
      <c r="E2008" s="3" t="s">
        <v>55</v>
      </c>
      <c r="F2008" s="3" t="s">
        <v>34</v>
      </c>
      <c r="G2008" s="3" t="s">
        <v>47</v>
      </c>
      <c r="H2008" s="3" t="s">
        <v>365</v>
      </c>
      <c r="I2008" s="6">
        <v>192.22</v>
      </c>
      <c r="J2008" s="4">
        <v>14</v>
      </c>
      <c r="K2008" s="6">
        <v>69.2</v>
      </c>
    </row>
    <row r="2009" spans="1:11" x14ac:dyDescent="0.3">
      <c r="A2009" s="7">
        <v>42009</v>
      </c>
      <c r="B2009" s="4">
        <f>YEAR(SalesData[[#This Row],[Order Date]])</f>
        <v>2015</v>
      </c>
      <c r="C2009" s="4">
        <f>MONTH(SalesData[[#This Row],[Order Date]])</f>
        <v>1</v>
      </c>
      <c r="D2009" s="3" t="s">
        <v>215</v>
      </c>
      <c r="E2009" s="3" t="s">
        <v>164</v>
      </c>
      <c r="F2009" s="3" t="s">
        <v>34</v>
      </c>
      <c r="G2009" s="3" t="s">
        <v>35</v>
      </c>
      <c r="H2009" s="3" t="s">
        <v>699</v>
      </c>
      <c r="I2009" s="6">
        <v>61.58</v>
      </c>
      <c r="J2009" s="4">
        <v>1</v>
      </c>
      <c r="K2009" s="6">
        <v>-6.93</v>
      </c>
    </row>
    <row r="2010" spans="1:11" x14ac:dyDescent="0.3">
      <c r="A2010" s="7">
        <v>42009</v>
      </c>
      <c r="B2010" s="4">
        <f>YEAR(SalesData[[#This Row],[Order Date]])</f>
        <v>2015</v>
      </c>
      <c r="C2010" s="4">
        <f>MONTH(SalesData[[#This Row],[Order Date]])</f>
        <v>1</v>
      </c>
      <c r="D2010" s="3" t="s">
        <v>657</v>
      </c>
      <c r="E2010" s="3" t="s">
        <v>149</v>
      </c>
      <c r="F2010" s="3" t="s">
        <v>11</v>
      </c>
      <c r="G2010" s="3" t="s">
        <v>24</v>
      </c>
      <c r="H2010" s="3" t="s">
        <v>1351</v>
      </c>
      <c r="I2010" s="6">
        <v>59.52</v>
      </c>
      <c r="J2010" s="4">
        <v>3</v>
      </c>
      <c r="K2010" s="6">
        <v>15.48</v>
      </c>
    </row>
    <row r="2011" spans="1:11" x14ac:dyDescent="0.3">
      <c r="A2011" s="7">
        <v>42009</v>
      </c>
      <c r="B2011" s="4">
        <f>YEAR(SalesData[[#This Row],[Order Date]])</f>
        <v>2015</v>
      </c>
      <c r="C2011" s="4">
        <f>MONTH(SalesData[[#This Row],[Order Date]])</f>
        <v>1</v>
      </c>
      <c r="D2011" s="3" t="s">
        <v>657</v>
      </c>
      <c r="E2011" s="3" t="s">
        <v>149</v>
      </c>
      <c r="F2011" s="3" t="s">
        <v>11</v>
      </c>
      <c r="G2011" s="3" t="s">
        <v>63</v>
      </c>
      <c r="H2011" s="3" t="s">
        <v>785</v>
      </c>
      <c r="I2011" s="6">
        <v>17.48</v>
      </c>
      <c r="J2011" s="4">
        <v>2</v>
      </c>
      <c r="K2011" s="6">
        <v>8.2200000000000006</v>
      </c>
    </row>
    <row r="2012" spans="1:11" x14ac:dyDescent="0.3">
      <c r="A2012" s="7">
        <v>42009</v>
      </c>
      <c r="B2012" s="4">
        <f>YEAR(SalesData[[#This Row],[Order Date]])</f>
        <v>2015</v>
      </c>
      <c r="C2012" s="4">
        <f>MONTH(SalesData[[#This Row],[Order Date]])</f>
        <v>1</v>
      </c>
      <c r="D2012" s="3" t="s">
        <v>657</v>
      </c>
      <c r="E2012" s="3" t="s">
        <v>149</v>
      </c>
      <c r="F2012" s="3" t="s">
        <v>11</v>
      </c>
      <c r="G2012" s="3" t="s">
        <v>20</v>
      </c>
      <c r="H2012" s="3" t="s">
        <v>1043</v>
      </c>
      <c r="I2012" s="6">
        <v>13.17</v>
      </c>
      <c r="J2012" s="4">
        <v>2</v>
      </c>
      <c r="K2012" s="6">
        <v>4.6100000000000003</v>
      </c>
    </row>
    <row r="2013" spans="1:11" x14ac:dyDescent="0.3">
      <c r="A2013" s="7">
        <v>42009</v>
      </c>
      <c r="B2013" s="4">
        <f>YEAR(SalesData[[#This Row],[Order Date]])</f>
        <v>2015</v>
      </c>
      <c r="C2013" s="4">
        <f>MONTH(SalesData[[#This Row],[Order Date]])</f>
        <v>1</v>
      </c>
      <c r="D2013" s="3" t="s">
        <v>1877</v>
      </c>
      <c r="E2013" s="3" t="s">
        <v>27</v>
      </c>
      <c r="F2013" s="3" t="s">
        <v>11</v>
      </c>
      <c r="G2013" s="3" t="s">
        <v>92</v>
      </c>
      <c r="H2013" s="3" t="s">
        <v>764</v>
      </c>
      <c r="I2013" s="6">
        <v>87.36</v>
      </c>
      <c r="J2013" s="4">
        <v>6</v>
      </c>
      <c r="K2013" s="6">
        <v>23.59</v>
      </c>
    </row>
    <row r="2014" spans="1:11" x14ac:dyDescent="0.3">
      <c r="A2014" s="7">
        <v>42009</v>
      </c>
      <c r="B2014" s="4">
        <f>YEAR(SalesData[[#This Row],[Order Date]])</f>
        <v>2015</v>
      </c>
      <c r="C2014" s="4">
        <f>MONTH(SalesData[[#This Row],[Order Date]])</f>
        <v>1</v>
      </c>
      <c r="D2014" s="3" t="s">
        <v>1877</v>
      </c>
      <c r="E2014" s="3" t="s">
        <v>27</v>
      </c>
      <c r="F2014" s="3" t="s">
        <v>11</v>
      </c>
      <c r="G2014" s="3" t="s">
        <v>20</v>
      </c>
      <c r="H2014" s="3" t="s">
        <v>611</v>
      </c>
      <c r="I2014" s="6">
        <v>56.16</v>
      </c>
      <c r="J2014" s="4">
        <v>6</v>
      </c>
      <c r="K2014" s="6">
        <v>17.55</v>
      </c>
    </row>
    <row r="2015" spans="1:11" x14ac:dyDescent="0.3">
      <c r="A2015" s="7">
        <v>42010</v>
      </c>
      <c r="B2015" s="4">
        <f>YEAR(SalesData[[#This Row],[Order Date]])</f>
        <v>2015</v>
      </c>
      <c r="C2015" s="4">
        <f>MONTH(SalesData[[#This Row],[Order Date]])</f>
        <v>1</v>
      </c>
      <c r="D2015" s="3" t="s">
        <v>1249</v>
      </c>
      <c r="E2015" s="3" t="s">
        <v>278</v>
      </c>
      <c r="F2015" s="3" t="s">
        <v>11</v>
      </c>
      <c r="G2015" s="3" t="s">
        <v>12</v>
      </c>
      <c r="H2015" s="3" t="s">
        <v>1887</v>
      </c>
      <c r="I2015" s="6">
        <v>29.6</v>
      </c>
      <c r="J2015" s="4">
        <v>5</v>
      </c>
      <c r="K2015" s="6">
        <v>9.25</v>
      </c>
    </row>
    <row r="2016" spans="1:11" x14ac:dyDescent="0.3">
      <c r="A2016" s="7">
        <v>42010</v>
      </c>
      <c r="B2016" s="4">
        <f>YEAR(SalesData[[#This Row],[Order Date]])</f>
        <v>2015</v>
      </c>
      <c r="C2016" s="4">
        <f>MONTH(SalesData[[#This Row],[Order Date]])</f>
        <v>1</v>
      </c>
      <c r="D2016" s="3" t="s">
        <v>1249</v>
      </c>
      <c r="E2016" s="3" t="s">
        <v>278</v>
      </c>
      <c r="F2016" s="3" t="s">
        <v>11</v>
      </c>
      <c r="G2016" s="3" t="s">
        <v>20</v>
      </c>
      <c r="H2016" s="3" t="s">
        <v>522</v>
      </c>
      <c r="I2016" s="6">
        <v>1.94</v>
      </c>
      <c r="J2016" s="4">
        <v>2</v>
      </c>
      <c r="K2016" s="6">
        <v>-1.36</v>
      </c>
    </row>
    <row r="2017" spans="1:11" x14ac:dyDescent="0.3">
      <c r="A2017" s="7">
        <v>42013</v>
      </c>
      <c r="B2017" s="4">
        <f>YEAR(SalesData[[#This Row],[Order Date]])</f>
        <v>2015</v>
      </c>
      <c r="C2017" s="4">
        <f>MONTH(SalesData[[#This Row],[Order Date]])</f>
        <v>1</v>
      </c>
      <c r="D2017" s="3" t="s">
        <v>366</v>
      </c>
      <c r="E2017" s="3" t="s">
        <v>33</v>
      </c>
      <c r="F2017" s="3" t="s">
        <v>11</v>
      </c>
      <c r="G2017" s="3" t="s">
        <v>12</v>
      </c>
      <c r="H2017" s="3" t="s">
        <v>625</v>
      </c>
      <c r="I2017" s="6">
        <v>106.32</v>
      </c>
      <c r="J2017" s="4">
        <v>3</v>
      </c>
      <c r="K2017" s="6">
        <v>49.97</v>
      </c>
    </row>
    <row r="2018" spans="1:11" x14ac:dyDescent="0.3">
      <c r="A2018" s="7">
        <v>42013</v>
      </c>
      <c r="B2018" s="4">
        <f>YEAR(SalesData[[#This Row],[Order Date]])</f>
        <v>2015</v>
      </c>
      <c r="C2018" s="4">
        <f>MONTH(SalesData[[#This Row],[Order Date]])</f>
        <v>1</v>
      </c>
      <c r="D2018" s="3" t="s">
        <v>366</v>
      </c>
      <c r="E2018" s="3" t="s">
        <v>33</v>
      </c>
      <c r="F2018" s="3" t="s">
        <v>11</v>
      </c>
      <c r="G2018" s="3" t="s">
        <v>92</v>
      </c>
      <c r="H2018" s="3" t="s">
        <v>1888</v>
      </c>
      <c r="I2018" s="6">
        <v>163.44</v>
      </c>
      <c r="J2018" s="4">
        <v>3</v>
      </c>
      <c r="K2018" s="6">
        <v>45.76</v>
      </c>
    </row>
    <row r="2019" spans="1:11" x14ac:dyDescent="0.3">
      <c r="A2019" s="7">
        <v>42013</v>
      </c>
      <c r="B2019" s="4">
        <f>YEAR(SalesData[[#This Row],[Order Date]])</f>
        <v>2015</v>
      </c>
      <c r="C2019" s="4">
        <f>MONTH(SalesData[[#This Row],[Order Date]])</f>
        <v>1</v>
      </c>
      <c r="D2019" s="3" t="s">
        <v>366</v>
      </c>
      <c r="E2019" s="3" t="s">
        <v>33</v>
      </c>
      <c r="F2019" s="3" t="s">
        <v>11</v>
      </c>
      <c r="G2019" s="3" t="s">
        <v>24</v>
      </c>
      <c r="H2019" s="3" t="s">
        <v>1889</v>
      </c>
      <c r="I2019" s="6">
        <v>42.76</v>
      </c>
      <c r="J2019" s="4">
        <v>2</v>
      </c>
      <c r="K2019" s="6">
        <v>11.12</v>
      </c>
    </row>
    <row r="2020" spans="1:11" x14ac:dyDescent="0.3">
      <c r="A2020" s="7">
        <v>42013</v>
      </c>
      <c r="B2020" s="4">
        <f>YEAR(SalesData[[#This Row],[Order Date]])</f>
        <v>2015</v>
      </c>
      <c r="C2020" s="4">
        <f>MONTH(SalesData[[#This Row],[Order Date]])</f>
        <v>1</v>
      </c>
      <c r="D2020" s="3" t="s">
        <v>366</v>
      </c>
      <c r="E2020" s="3" t="s">
        <v>33</v>
      </c>
      <c r="F2020" s="3" t="s">
        <v>11</v>
      </c>
      <c r="G2020" s="3" t="s">
        <v>12</v>
      </c>
      <c r="H2020" s="3" t="s">
        <v>1890</v>
      </c>
      <c r="I2020" s="6">
        <v>51.55</v>
      </c>
      <c r="J2020" s="4">
        <v>5</v>
      </c>
      <c r="K2020" s="6">
        <v>24.23</v>
      </c>
    </row>
    <row r="2021" spans="1:11" x14ac:dyDescent="0.3">
      <c r="A2021" s="7">
        <v>42014</v>
      </c>
      <c r="B2021" s="4">
        <f>YEAR(SalesData[[#This Row],[Order Date]])</f>
        <v>2015</v>
      </c>
      <c r="C2021" s="4">
        <f>MONTH(SalesData[[#This Row],[Order Date]])</f>
        <v>1</v>
      </c>
      <c r="D2021" s="3" t="s">
        <v>77</v>
      </c>
      <c r="E2021" s="3" t="s">
        <v>149</v>
      </c>
      <c r="F2021" s="3" t="s">
        <v>34</v>
      </c>
      <c r="G2021" s="3" t="s">
        <v>145</v>
      </c>
      <c r="H2021" s="3" t="s">
        <v>404</v>
      </c>
      <c r="I2021" s="6">
        <v>1018.1</v>
      </c>
      <c r="J2021" s="4">
        <v>4</v>
      </c>
      <c r="K2021" s="6">
        <v>-373.3</v>
      </c>
    </row>
    <row r="2022" spans="1:11" x14ac:dyDescent="0.3">
      <c r="A2022" s="7">
        <v>42016</v>
      </c>
      <c r="B2022" s="4">
        <f>YEAR(SalesData[[#This Row],[Order Date]])</f>
        <v>2015</v>
      </c>
      <c r="C2022" s="4">
        <f>MONTH(SalesData[[#This Row],[Order Date]])</f>
        <v>1</v>
      </c>
      <c r="D2022" s="3" t="s">
        <v>1891</v>
      </c>
      <c r="E2022" s="3" t="s">
        <v>59</v>
      </c>
      <c r="F2022" s="3" t="s">
        <v>11</v>
      </c>
      <c r="G2022" s="3" t="s">
        <v>18</v>
      </c>
      <c r="H2022" s="3" t="s">
        <v>1384</v>
      </c>
      <c r="I2022" s="6">
        <v>465.18</v>
      </c>
      <c r="J2022" s="4">
        <v>3</v>
      </c>
      <c r="K2022" s="6">
        <v>120.95</v>
      </c>
    </row>
    <row r="2023" spans="1:11" x14ac:dyDescent="0.3">
      <c r="A2023" s="7">
        <v>42016</v>
      </c>
      <c r="B2023" s="4">
        <f>YEAR(SalesData[[#This Row],[Order Date]])</f>
        <v>2015</v>
      </c>
      <c r="C2023" s="4">
        <f>MONTH(SalesData[[#This Row],[Order Date]])</f>
        <v>1</v>
      </c>
      <c r="D2023" s="3" t="s">
        <v>1892</v>
      </c>
      <c r="E2023" s="3" t="s">
        <v>78</v>
      </c>
      <c r="F2023" s="3" t="s">
        <v>11</v>
      </c>
      <c r="G2023" s="3" t="s">
        <v>24</v>
      </c>
      <c r="H2023" s="3" t="s">
        <v>258</v>
      </c>
      <c r="I2023" s="6">
        <v>10.37</v>
      </c>
      <c r="J2023" s="4">
        <v>2</v>
      </c>
      <c r="K2023" s="6">
        <v>1.56</v>
      </c>
    </row>
    <row r="2024" spans="1:11" x14ac:dyDescent="0.3">
      <c r="A2024" s="7">
        <v>42016</v>
      </c>
      <c r="B2024" s="4">
        <f>YEAR(SalesData[[#This Row],[Order Date]])</f>
        <v>2015</v>
      </c>
      <c r="C2024" s="4">
        <f>MONTH(SalesData[[#This Row],[Order Date]])</f>
        <v>1</v>
      </c>
      <c r="D2024" s="3" t="s">
        <v>1892</v>
      </c>
      <c r="E2024" s="3" t="s">
        <v>78</v>
      </c>
      <c r="F2024" s="3" t="s">
        <v>39</v>
      </c>
      <c r="G2024" s="3" t="s">
        <v>40</v>
      </c>
      <c r="H2024" s="3" t="s">
        <v>41</v>
      </c>
      <c r="I2024" s="6">
        <v>235.19</v>
      </c>
      <c r="J2024" s="4">
        <v>2</v>
      </c>
      <c r="K2024" s="6">
        <v>-43.12</v>
      </c>
    </row>
    <row r="2025" spans="1:11" x14ac:dyDescent="0.3">
      <c r="A2025" s="7">
        <v>42016</v>
      </c>
      <c r="B2025" s="4">
        <f>YEAR(SalesData[[#This Row],[Order Date]])</f>
        <v>2015</v>
      </c>
      <c r="C2025" s="4">
        <f>MONTH(SalesData[[#This Row],[Order Date]])</f>
        <v>1</v>
      </c>
      <c r="D2025" s="3" t="s">
        <v>1892</v>
      </c>
      <c r="E2025" s="3" t="s">
        <v>78</v>
      </c>
      <c r="F2025" s="3" t="s">
        <v>39</v>
      </c>
      <c r="G2025" s="3" t="s">
        <v>40</v>
      </c>
      <c r="H2025" s="3" t="s">
        <v>1893</v>
      </c>
      <c r="I2025" s="6">
        <v>26.38</v>
      </c>
      <c r="J2025" s="4">
        <v>4</v>
      </c>
      <c r="K2025" s="6">
        <v>2.64</v>
      </c>
    </row>
    <row r="2026" spans="1:11" x14ac:dyDescent="0.3">
      <c r="A2026" s="7">
        <v>42016</v>
      </c>
      <c r="B2026" s="4">
        <f>YEAR(SalesData[[#This Row],[Order Date]])</f>
        <v>2015</v>
      </c>
      <c r="C2026" s="4">
        <f>MONTH(SalesData[[#This Row],[Order Date]])</f>
        <v>1</v>
      </c>
      <c r="D2026" s="3" t="s">
        <v>1892</v>
      </c>
      <c r="E2026" s="3" t="s">
        <v>78</v>
      </c>
      <c r="F2026" s="3" t="s">
        <v>39</v>
      </c>
      <c r="G2026" s="3" t="s">
        <v>52</v>
      </c>
      <c r="H2026" s="3" t="s">
        <v>1894</v>
      </c>
      <c r="I2026" s="6">
        <v>10.38</v>
      </c>
      <c r="J2026" s="4">
        <v>2</v>
      </c>
      <c r="K2026" s="6">
        <v>2.21</v>
      </c>
    </row>
    <row r="2027" spans="1:11" x14ac:dyDescent="0.3">
      <c r="A2027" s="7">
        <v>42016</v>
      </c>
      <c r="B2027" s="4">
        <f>YEAR(SalesData[[#This Row],[Order Date]])</f>
        <v>2015</v>
      </c>
      <c r="C2027" s="4">
        <f>MONTH(SalesData[[#This Row],[Order Date]])</f>
        <v>1</v>
      </c>
      <c r="D2027" s="3" t="s">
        <v>1892</v>
      </c>
      <c r="E2027" s="3" t="s">
        <v>78</v>
      </c>
      <c r="F2027" s="3" t="s">
        <v>39</v>
      </c>
      <c r="G2027" s="3" t="s">
        <v>40</v>
      </c>
      <c r="H2027" s="3" t="s">
        <v>1895</v>
      </c>
      <c r="I2027" s="6">
        <v>107.12</v>
      </c>
      <c r="J2027" s="4">
        <v>3</v>
      </c>
      <c r="K2027" s="6">
        <v>-21.42</v>
      </c>
    </row>
    <row r="2028" spans="1:11" x14ac:dyDescent="0.3">
      <c r="A2028" s="7">
        <v>42017</v>
      </c>
      <c r="B2028" s="4">
        <f>YEAR(SalesData[[#This Row],[Order Date]])</f>
        <v>2015</v>
      </c>
      <c r="C2028" s="4">
        <f>MONTH(SalesData[[#This Row],[Order Date]])</f>
        <v>1</v>
      </c>
      <c r="D2028" s="3" t="s">
        <v>953</v>
      </c>
      <c r="E2028" s="3" t="s">
        <v>27</v>
      </c>
      <c r="F2028" s="3" t="s">
        <v>11</v>
      </c>
      <c r="G2028" s="3" t="s">
        <v>20</v>
      </c>
      <c r="H2028" s="3" t="s">
        <v>1896</v>
      </c>
      <c r="I2028" s="6">
        <v>70.010000000000005</v>
      </c>
      <c r="J2028" s="4">
        <v>3</v>
      </c>
      <c r="K2028" s="6">
        <v>24.5</v>
      </c>
    </row>
    <row r="2029" spans="1:11" x14ac:dyDescent="0.3">
      <c r="A2029" s="7">
        <v>42017</v>
      </c>
      <c r="B2029" s="4">
        <f>YEAR(SalesData[[#This Row],[Order Date]])</f>
        <v>2015</v>
      </c>
      <c r="C2029" s="4">
        <f>MONTH(SalesData[[#This Row],[Order Date]])</f>
        <v>1</v>
      </c>
      <c r="D2029" s="3" t="s">
        <v>953</v>
      </c>
      <c r="E2029" s="3" t="s">
        <v>27</v>
      </c>
      <c r="F2029" s="3" t="s">
        <v>34</v>
      </c>
      <c r="G2029" s="3" t="s">
        <v>47</v>
      </c>
      <c r="H2029" s="3" t="s">
        <v>1728</v>
      </c>
      <c r="I2029" s="6">
        <v>77.599999999999994</v>
      </c>
      <c r="J2029" s="4">
        <v>4</v>
      </c>
      <c r="K2029" s="6">
        <v>38.020000000000003</v>
      </c>
    </row>
    <row r="2030" spans="1:11" x14ac:dyDescent="0.3">
      <c r="A2030" s="7">
        <v>42017</v>
      </c>
      <c r="B2030" s="4">
        <f>YEAR(SalesData[[#This Row],[Order Date]])</f>
        <v>2015</v>
      </c>
      <c r="C2030" s="4">
        <f>MONTH(SalesData[[#This Row],[Order Date]])</f>
        <v>1</v>
      </c>
      <c r="D2030" s="3" t="s">
        <v>953</v>
      </c>
      <c r="E2030" s="3" t="s">
        <v>27</v>
      </c>
      <c r="F2030" s="3" t="s">
        <v>34</v>
      </c>
      <c r="G2030" s="3" t="s">
        <v>47</v>
      </c>
      <c r="H2030" s="3" t="s">
        <v>1897</v>
      </c>
      <c r="I2030" s="6">
        <v>464.85</v>
      </c>
      <c r="J2030" s="4">
        <v>9</v>
      </c>
      <c r="K2030" s="6">
        <v>92.97</v>
      </c>
    </row>
    <row r="2031" spans="1:11" x14ac:dyDescent="0.3">
      <c r="A2031" s="7">
        <v>42017</v>
      </c>
      <c r="B2031" s="4">
        <f>YEAR(SalesData[[#This Row],[Order Date]])</f>
        <v>2015</v>
      </c>
      <c r="C2031" s="4">
        <f>MONTH(SalesData[[#This Row],[Order Date]])</f>
        <v>1</v>
      </c>
      <c r="D2031" s="3" t="s">
        <v>1898</v>
      </c>
      <c r="E2031" s="3" t="s">
        <v>30</v>
      </c>
      <c r="F2031" s="3" t="s">
        <v>11</v>
      </c>
      <c r="G2031" s="3" t="s">
        <v>16</v>
      </c>
      <c r="H2031" s="3" t="s">
        <v>17</v>
      </c>
      <c r="I2031" s="6">
        <v>9.82</v>
      </c>
      <c r="J2031" s="4">
        <v>2</v>
      </c>
      <c r="K2031" s="6">
        <v>4.8099999999999996</v>
      </c>
    </row>
    <row r="2032" spans="1:11" x14ac:dyDescent="0.3">
      <c r="A2032" s="7">
        <v>42021</v>
      </c>
      <c r="B2032" s="4">
        <f>YEAR(SalesData[[#This Row],[Order Date]])</f>
        <v>2015</v>
      </c>
      <c r="C2032" s="4">
        <f>MONTH(SalesData[[#This Row],[Order Date]])</f>
        <v>1</v>
      </c>
      <c r="D2032" s="3" t="s">
        <v>605</v>
      </c>
      <c r="E2032" s="3" t="s">
        <v>15</v>
      </c>
      <c r="F2032" s="3" t="s">
        <v>34</v>
      </c>
      <c r="G2032" s="3" t="s">
        <v>47</v>
      </c>
      <c r="H2032" s="3" t="s">
        <v>112</v>
      </c>
      <c r="I2032" s="6">
        <v>254.74</v>
      </c>
      <c r="J2032" s="4">
        <v>7</v>
      </c>
      <c r="K2032" s="6">
        <v>-312.06</v>
      </c>
    </row>
    <row r="2033" spans="1:11" x14ac:dyDescent="0.3">
      <c r="A2033" s="7">
        <v>42021</v>
      </c>
      <c r="B2033" s="4">
        <f>YEAR(SalesData[[#This Row],[Order Date]])</f>
        <v>2015</v>
      </c>
      <c r="C2033" s="4">
        <f>MONTH(SalesData[[#This Row],[Order Date]])</f>
        <v>1</v>
      </c>
      <c r="D2033" s="3" t="s">
        <v>475</v>
      </c>
      <c r="E2033" s="3" t="s">
        <v>434</v>
      </c>
      <c r="F2033" s="3" t="s">
        <v>11</v>
      </c>
      <c r="G2033" s="3" t="s">
        <v>24</v>
      </c>
      <c r="H2033" s="3" t="s">
        <v>338</v>
      </c>
      <c r="I2033" s="6">
        <v>6.68</v>
      </c>
      <c r="J2033" s="4">
        <v>2</v>
      </c>
      <c r="K2033" s="6">
        <v>2</v>
      </c>
    </row>
    <row r="2034" spans="1:11" x14ac:dyDescent="0.3">
      <c r="A2034" s="7">
        <v>42021</v>
      </c>
      <c r="B2034" s="4">
        <f>YEAR(SalesData[[#This Row],[Order Date]])</f>
        <v>2015</v>
      </c>
      <c r="C2034" s="4">
        <f>MONTH(SalesData[[#This Row],[Order Date]])</f>
        <v>1</v>
      </c>
      <c r="D2034" s="3" t="s">
        <v>1885</v>
      </c>
      <c r="E2034" s="3" t="s">
        <v>120</v>
      </c>
      <c r="F2034" s="3" t="s">
        <v>11</v>
      </c>
      <c r="G2034" s="3" t="s">
        <v>200</v>
      </c>
      <c r="H2034" s="3" t="s">
        <v>1458</v>
      </c>
      <c r="I2034" s="6">
        <v>88.96</v>
      </c>
      <c r="J2034" s="4">
        <v>8</v>
      </c>
      <c r="K2034" s="6">
        <v>10.01</v>
      </c>
    </row>
    <row r="2035" spans="1:11" x14ac:dyDescent="0.3">
      <c r="A2035" s="7">
        <v>42023</v>
      </c>
      <c r="B2035" s="4">
        <f>YEAR(SalesData[[#This Row],[Order Date]])</f>
        <v>2015</v>
      </c>
      <c r="C2035" s="4">
        <f>MONTH(SalesData[[#This Row],[Order Date]])</f>
        <v>1</v>
      </c>
      <c r="D2035" s="3" t="s">
        <v>610</v>
      </c>
      <c r="E2035" s="3" t="s">
        <v>10</v>
      </c>
      <c r="F2035" s="3" t="s">
        <v>34</v>
      </c>
      <c r="G2035" s="3" t="s">
        <v>145</v>
      </c>
      <c r="H2035" s="3" t="s">
        <v>950</v>
      </c>
      <c r="I2035" s="6">
        <v>102.44</v>
      </c>
      <c r="J2035" s="4">
        <v>1</v>
      </c>
      <c r="K2035" s="6">
        <v>-13.17</v>
      </c>
    </row>
    <row r="2036" spans="1:11" x14ac:dyDescent="0.3">
      <c r="A2036" s="7">
        <v>42023</v>
      </c>
      <c r="B2036" s="4">
        <f>YEAR(SalesData[[#This Row],[Order Date]])</f>
        <v>2015</v>
      </c>
      <c r="C2036" s="4">
        <f>MONTH(SalesData[[#This Row],[Order Date]])</f>
        <v>1</v>
      </c>
      <c r="D2036" s="3" t="s">
        <v>610</v>
      </c>
      <c r="E2036" s="3" t="s">
        <v>10</v>
      </c>
      <c r="F2036" s="3" t="s">
        <v>34</v>
      </c>
      <c r="G2036" s="3" t="s">
        <v>35</v>
      </c>
      <c r="H2036" s="3" t="s">
        <v>1821</v>
      </c>
      <c r="I2036" s="6">
        <v>199.3</v>
      </c>
      <c r="J2036" s="4">
        <v>4</v>
      </c>
      <c r="K2036" s="6">
        <v>-8.5399999999999991</v>
      </c>
    </row>
    <row r="2037" spans="1:11" x14ac:dyDescent="0.3">
      <c r="A2037" s="7">
        <v>42027</v>
      </c>
      <c r="B2037" s="4">
        <f>YEAR(SalesData[[#This Row],[Order Date]])</f>
        <v>2015</v>
      </c>
      <c r="C2037" s="4">
        <f>MONTH(SalesData[[#This Row],[Order Date]])</f>
        <v>1</v>
      </c>
      <c r="D2037" s="3" t="s">
        <v>803</v>
      </c>
      <c r="E2037" s="3" t="s">
        <v>515</v>
      </c>
      <c r="F2037" s="3" t="s">
        <v>11</v>
      </c>
      <c r="G2037" s="3" t="s">
        <v>12</v>
      </c>
      <c r="H2037" s="3" t="s">
        <v>108</v>
      </c>
      <c r="I2037" s="6">
        <v>29.04</v>
      </c>
      <c r="J2037" s="4">
        <v>3</v>
      </c>
      <c r="K2037" s="6">
        <v>13.94</v>
      </c>
    </row>
    <row r="2038" spans="1:11" x14ac:dyDescent="0.3">
      <c r="A2038" s="7">
        <v>42027</v>
      </c>
      <c r="B2038" s="4">
        <f>YEAR(SalesData[[#This Row],[Order Date]])</f>
        <v>2015</v>
      </c>
      <c r="C2038" s="4">
        <f>MONTH(SalesData[[#This Row],[Order Date]])</f>
        <v>1</v>
      </c>
      <c r="D2038" s="3" t="s">
        <v>803</v>
      </c>
      <c r="E2038" s="3" t="s">
        <v>515</v>
      </c>
      <c r="F2038" s="3" t="s">
        <v>11</v>
      </c>
      <c r="G2038" s="3" t="s">
        <v>16</v>
      </c>
      <c r="H2038" s="3" t="s">
        <v>1899</v>
      </c>
      <c r="I2038" s="6">
        <v>14.62</v>
      </c>
      <c r="J2038" s="4">
        <v>2</v>
      </c>
      <c r="K2038" s="6">
        <v>6.87</v>
      </c>
    </row>
    <row r="2039" spans="1:11" x14ac:dyDescent="0.3">
      <c r="A2039" s="7">
        <v>42028</v>
      </c>
      <c r="B2039" s="4">
        <f>YEAR(SalesData[[#This Row],[Order Date]])</f>
        <v>2015</v>
      </c>
      <c r="C2039" s="4">
        <f>MONTH(SalesData[[#This Row],[Order Date]])</f>
        <v>1</v>
      </c>
      <c r="D2039" s="3" t="s">
        <v>1900</v>
      </c>
      <c r="E2039" s="3" t="s">
        <v>123</v>
      </c>
      <c r="F2039" s="3" t="s">
        <v>11</v>
      </c>
      <c r="G2039" s="3" t="s">
        <v>24</v>
      </c>
      <c r="H2039" s="3" t="s">
        <v>459</v>
      </c>
      <c r="I2039" s="6">
        <v>13.12</v>
      </c>
      <c r="J2039" s="4">
        <v>5</v>
      </c>
      <c r="K2039" s="6">
        <v>2.13</v>
      </c>
    </row>
    <row r="2040" spans="1:11" x14ac:dyDescent="0.3">
      <c r="A2040" s="7">
        <v>42030</v>
      </c>
      <c r="B2040" s="4">
        <f>YEAR(SalesData[[#This Row],[Order Date]])</f>
        <v>2015</v>
      </c>
      <c r="C2040" s="4">
        <f>MONTH(SalesData[[#This Row],[Order Date]])</f>
        <v>1</v>
      </c>
      <c r="D2040" s="3" t="s">
        <v>1741</v>
      </c>
      <c r="E2040" s="3" t="s">
        <v>27</v>
      </c>
      <c r="F2040" s="3" t="s">
        <v>11</v>
      </c>
      <c r="G2040" s="3" t="s">
        <v>12</v>
      </c>
      <c r="H2040" s="3" t="s">
        <v>1901</v>
      </c>
      <c r="I2040" s="6">
        <v>182.72</v>
      </c>
      <c r="J2040" s="4">
        <v>8</v>
      </c>
      <c r="K2040" s="6">
        <v>84.05</v>
      </c>
    </row>
    <row r="2041" spans="1:11" x14ac:dyDescent="0.3">
      <c r="A2041" s="7">
        <v>42031</v>
      </c>
      <c r="B2041" s="4">
        <f>YEAR(SalesData[[#This Row],[Order Date]])</f>
        <v>2015</v>
      </c>
      <c r="C2041" s="4">
        <f>MONTH(SalesData[[#This Row],[Order Date]])</f>
        <v>1</v>
      </c>
      <c r="D2041" s="3" t="s">
        <v>58</v>
      </c>
      <c r="E2041" s="3" t="s">
        <v>78</v>
      </c>
      <c r="F2041" s="3" t="s">
        <v>34</v>
      </c>
      <c r="G2041" s="3" t="s">
        <v>35</v>
      </c>
      <c r="H2041" s="3" t="s">
        <v>1805</v>
      </c>
      <c r="I2041" s="6">
        <v>181.99</v>
      </c>
      <c r="J2041" s="4">
        <v>2</v>
      </c>
      <c r="K2041" s="6">
        <v>-54.6</v>
      </c>
    </row>
    <row r="2042" spans="1:11" x14ac:dyDescent="0.3">
      <c r="A2042" s="7">
        <v>42031</v>
      </c>
      <c r="B2042" s="4">
        <f>YEAR(SalesData[[#This Row],[Order Date]])</f>
        <v>2015</v>
      </c>
      <c r="C2042" s="4">
        <f>MONTH(SalesData[[#This Row],[Order Date]])</f>
        <v>1</v>
      </c>
      <c r="D2042" s="3" t="s">
        <v>58</v>
      </c>
      <c r="E2042" s="3" t="s">
        <v>78</v>
      </c>
      <c r="F2042" s="3" t="s">
        <v>39</v>
      </c>
      <c r="G2042" s="3" t="s">
        <v>40</v>
      </c>
      <c r="H2042" s="3" t="s">
        <v>933</v>
      </c>
      <c r="I2042" s="6">
        <v>431.98</v>
      </c>
      <c r="J2042" s="4">
        <v>4</v>
      </c>
      <c r="K2042" s="6">
        <v>-100.79</v>
      </c>
    </row>
    <row r="2043" spans="1:11" x14ac:dyDescent="0.3">
      <c r="A2043" s="7">
        <v>42031</v>
      </c>
      <c r="B2043" s="4">
        <f>YEAR(SalesData[[#This Row],[Order Date]])</f>
        <v>2015</v>
      </c>
      <c r="C2043" s="4">
        <f>MONTH(SalesData[[#This Row],[Order Date]])</f>
        <v>1</v>
      </c>
      <c r="D2043" s="3" t="s">
        <v>58</v>
      </c>
      <c r="E2043" s="3" t="s">
        <v>78</v>
      </c>
      <c r="F2043" s="3" t="s">
        <v>39</v>
      </c>
      <c r="G2043" s="3" t="s">
        <v>40</v>
      </c>
      <c r="H2043" s="3" t="s">
        <v>1902</v>
      </c>
      <c r="I2043" s="6">
        <v>155.37</v>
      </c>
      <c r="J2043" s="4">
        <v>1</v>
      </c>
      <c r="K2043" s="6">
        <v>-36.25</v>
      </c>
    </row>
    <row r="2044" spans="1:11" x14ac:dyDescent="0.3">
      <c r="A2044" s="7">
        <v>42031</v>
      </c>
      <c r="B2044" s="4">
        <f>YEAR(SalesData[[#This Row],[Order Date]])</f>
        <v>2015</v>
      </c>
      <c r="C2044" s="4">
        <f>MONTH(SalesData[[#This Row],[Order Date]])</f>
        <v>1</v>
      </c>
      <c r="D2044" s="3" t="s">
        <v>1799</v>
      </c>
      <c r="E2044" s="3" t="s">
        <v>27</v>
      </c>
      <c r="F2044" s="3" t="s">
        <v>34</v>
      </c>
      <c r="G2044" s="3" t="s">
        <v>35</v>
      </c>
      <c r="H2044" s="3" t="s">
        <v>976</v>
      </c>
      <c r="I2044" s="6">
        <v>2803.92</v>
      </c>
      <c r="J2044" s="4">
        <v>5</v>
      </c>
      <c r="K2044" s="6">
        <v>0</v>
      </c>
    </row>
    <row r="2045" spans="1:11" x14ac:dyDescent="0.3">
      <c r="A2045" s="7">
        <v>42032</v>
      </c>
      <c r="B2045" s="4">
        <f>YEAR(SalesData[[#This Row],[Order Date]])</f>
        <v>2015</v>
      </c>
      <c r="C2045" s="4">
        <f>MONTH(SalesData[[#This Row],[Order Date]])</f>
        <v>1</v>
      </c>
      <c r="D2045" s="3" t="s">
        <v>1102</v>
      </c>
      <c r="E2045" s="3" t="s">
        <v>245</v>
      </c>
      <c r="F2045" s="3" t="s">
        <v>34</v>
      </c>
      <c r="G2045" s="3" t="s">
        <v>145</v>
      </c>
      <c r="H2045" s="3" t="s">
        <v>402</v>
      </c>
      <c r="I2045" s="6">
        <v>4297.6400000000003</v>
      </c>
      <c r="J2045" s="4">
        <v>13</v>
      </c>
      <c r="K2045" s="6">
        <v>-1862.31</v>
      </c>
    </row>
    <row r="2046" spans="1:11" x14ac:dyDescent="0.3">
      <c r="A2046" s="7">
        <v>42034</v>
      </c>
      <c r="B2046" s="4">
        <f>YEAR(SalesData[[#This Row],[Order Date]])</f>
        <v>2015</v>
      </c>
      <c r="C2046" s="4">
        <f>MONTH(SalesData[[#This Row],[Order Date]])</f>
        <v>1</v>
      </c>
      <c r="D2046" s="3" t="s">
        <v>1145</v>
      </c>
      <c r="E2046" s="3" t="s">
        <v>10</v>
      </c>
      <c r="F2046" s="3" t="s">
        <v>11</v>
      </c>
      <c r="G2046" s="3" t="s">
        <v>12</v>
      </c>
      <c r="H2046" s="3" t="s">
        <v>1903</v>
      </c>
      <c r="I2046" s="6">
        <v>14.3</v>
      </c>
      <c r="J2046" s="4">
        <v>6</v>
      </c>
      <c r="K2046" s="6">
        <v>5.01</v>
      </c>
    </row>
    <row r="2047" spans="1:11" x14ac:dyDescent="0.3">
      <c r="A2047" s="7">
        <v>42034</v>
      </c>
      <c r="B2047" s="4">
        <f>YEAR(SalesData[[#This Row],[Order Date]])</f>
        <v>2015</v>
      </c>
      <c r="C2047" s="4">
        <f>MONTH(SalesData[[#This Row],[Order Date]])</f>
        <v>1</v>
      </c>
      <c r="D2047" s="3" t="s">
        <v>978</v>
      </c>
      <c r="E2047" s="3" t="s">
        <v>27</v>
      </c>
      <c r="F2047" s="3" t="s">
        <v>34</v>
      </c>
      <c r="G2047" s="3" t="s">
        <v>47</v>
      </c>
      <c r="H2047" s="3" t="s">
        <v>1362</v>
      </c>
      <c r="I2047" s="6">
        <v>227.36</v>
      </c>
      <c r="J2047" s="4">
        <v>7</v>
      </c>
      <c r="K2047" s="6">
        <v>81.849999999999994</v>
      </c>
    </row>
    <row r="2048" spans="1:11" x14ac:dyDescent="0.3">
      <c r="A2048" s="7">
        <v>42034</v>
      </c>
      <c r="B2048" s="4">
        <f>YEAR(SalesData[[#This Row],[Order Date]])</f>
        <v>2015</v>
      </c>
      <c r="C2048" s="4">
        <f>MONTH(SalesData[[#This Row],[Order Date]])</f>
        <v>1</v>
      </c>
      <c r="D2048" s="3" t="s">
        <v>978</v>
      </c>
      <c r="E2048" s="3" t="s">
        <v>27</v>
      </c>
      <c r="F2048" s="3" t="s">
        <v>39</v>
      </c>
      <c r="G2048" s="3" t="s">
        <v>302</v>
      </c>
      <c r="H2048" s="3" t="s">
        <v>1904</v>
      </c>
      <c r="I2048" s="6">
        <v>1919.98</v>
      </c>
      <c r="J2048" s="4">
        <v>3</v>
      </c>
      <c r="K2048" s="6">
        <v>216</v>
      </c>
    </row>
    <row r="2049" spans="1:11" x14ac:dyDescent="0.3">
      <c r="A2049" s="7">
        <v>42035</v>
      </c>
      <c r="B2049" s="4">
        <f>YEAR(SalesData[[#This Row],[Order Date]])</f>
        <v>2015</v>
      </c>
      <c r="C2049" s="4">
        <f>MONTH(SalesData[[#This Row],[Order Date]])</f>
        <v>1</v>
      </c>
      <c r="D2049" s="3" t="s">
        <v>1178</v>
      </c>
      <c r="E2049" s="3" t="s">
        <v>315</v>
      </c>
      <c r="F2049" s="3" t="s">
        <v>11</v>
      </c>
      <c r="G2049" s="3" t="s">
        <v>12</v>
      </c>
      <c r="H2049" s="3" t="s">
        <v>708</v>
      </c>
      <c r="I2049" s="6">
        <v>12.96</v>
      </c>
      <c r="J2049" s="4">
        <v>2</v>
      </c>
      <c r="K2049" s="6">
        <v>6.22</v>
      </c>
    </row>
    <row r="2050" spans="1:11" x14ac:dyDescent="0.3">
      <c r="A2050" s="7">
        <v>42035</v>
      </c>
      <c r="B2050" s="4">
        <f>YEAR(SalesData[[#This Row],[Order Date]])</f>
        <v>2015</v>
      </c>
      <c r="C2050" s="4">
        <f>MONTH(SalesData[[#This Row],[Order Date]])</f>
        <v>1</v>
      </c>
      <c r="D2050" s="3" t="s">
        <v>1178</v>
      </c>
      <c r="E2050" s="3" t="s">
        <v>315</v>
      </c>
      <c r="F2050" s="3" t="s">
        <v>34</v>
      </c>
      <c r="G2050" s="3" t="s">
        <v>47</v>
      </c>
      <c r="H2050" s="3" t="s">
        <v>1905</v>
      </c>
      <c r="I2050" s="6">
        <v>53.34</v>
      </c>
      <c r="J2050" s="4">
        <v>3</v>
      </c>
      <c r="K2050" s="6">
        <v>16.54</v>
      </c>
    </row>
    <row r="2051" spans="1:11" x14ac:dyDescent="0.3">
      <c r="A2051" s="7">
        <v>42035</v>
      </c>
      <c r="B2051" s="4">
        <f>YEAR(SalesData[[#This Row],[Order Date]])</f>
        <v>2015</v>
      </c>
      <c r="C2051" s="4">
        <f>MONTH(SalesData[[#This Row],[Order Date]])</f>
        <v>1</v>
      </c>
      <c r="D2051" s="3" t="s">
        <v>1178</v>
      </c>
      <c r="E2051" s="3" t="s">
        <v>315</v>
      </c>
      <c r="F2051" s="3" t="s">
        <v>11</v>
      </c>
      <c r="G2051" s="3" t="s">
        <v>20</v>
      </c>
      <c r="H2051" s="3" t="s">
        <v>469</v>
      </c>
      <c r="I2051" s="6">
        <v>32.96</v>
      </c>
      <c r="J2051" s="4">
        <v>2</v>
      </c>
      <c r="K2051" s="6">
        <v>16.149999999999999</v>
      </c>
    </row>
    <row r="2052" spans="1:11" x14ac:dyDescent="0.3">
      <c r="A2052" s="7">
        <v>42038</v>
      </c>
      <c r="B2052" s="4">
        <f>YEAR(SalesData[[#This Row],[Order Date]])</f>
        <v>2015</v>
      </c>
      <c r="C2052" s="4">
        <f>MONTH(SalesData[[#This Row],[Order Date]])</f>
        <v>2</v>
      </c>
      <c r="D2052" s="3" t="s">
        <v>554</v>
      </c>
      <c r="E2052" s="3" t="s">
        <v>996</v>
      </c>
      <c r="F2052" s="3" t="s">
        <v>34</v>
      </c>
      <c r="G2052" s="3" t="s">
        <v>47</v>
      </c>
      <c r="H2052" s="3" t="s">
        <v>1906</v>
      </c>
      <c r="I2052" s="6">
        <v>28.4</v>
      </c>
      <c r="J2052" s="4">
        <v>2</v>
      </c>
      <c r="K2052" s="6">
        <v>11.08</v>
      </c>
    </row>
    <row r="2053" spans="1:11" x14ac:dyDescent="0.3">
      <c r="A2053" s="7">
        <v>42038</v>
      </c>
      <c r="B2053" s="4">
        <f>YEAR(SalesData[[#This Row],[Order Date]])</f>
        <v>2015</v>
      </c>
      <c r="C2053" s="4">
        <f>MONTH(SalesData[[#This Row],[Order Date]])</f>
        <v>2</v>
      </c>
      <c r="D2053" s="3" t="s">
        <v>554</v>
      </c>
      <c r="E2053" s="3" t="s">
        <v>996</v>
      </c>
      <c r="F2053" s="3" t="s">
        <v>39</v>
      </c>
      <c r="G2053" s="3" t="s">
        <v>52</v>
      </c>
      <c r="H2053" s="3" t="s">
        <v>426</v>
      </c>
      <c r="I2053" s="6">
        <v>149.97</v>
      </c>
      <c r="J2053" s="4">
        <v>3</v>
      </c>
      <c r="K2053" s="6">
        <v>50.99</v>
      </c>
    </row>
    <row r="2054" spans="1:11" x14ac:dyDescent="0.3">
      <c r="A2054" s="7">
        <v>42038</v>
      </c>
      <c r="B2054" s="4">
        <f>YEAR(SalesData[[#This Row],[Order Date]])</f>
        <v>2015</v>
      </c>
      <c r="C2054" s="4">
        <f>MONTH(SalesData[[#This Row],[Order Date]])</f>
        <v>2</v>
      </c>
      <c r="D2054" s="3" t="s">
        <v>1907</v>
      </c>
      <c r="E2054" s="3" t="s">
        <v>27</v>
      </c>
      <c r="F2054" s="3" t="s">
        <v>34</v>
      </c>
      <c r="G2054" s="3" t="s">
        <v>47</v>
      </c>
      <c r="H2054" s="3" t="s">
        <v>1908</v>
      </c>
      <c r="I2054" s="6">
        <v>136.91999999999999</v>
      </c>
      <c r="J2054" s="4">
        <v>4</v>
      </c>
      <c r="K2054" s="6">
        <v>41.08</v>
      </c>
    </row>
    <row r="2055" spans="1:11" x14ac:dyDescent="0.3">
      <c r="A2055" s="7">
        <v>42038</v>
      </c>
      <c r="B2055" s="4">
        <f>YEAR(SalesData[[#This Row],[Order Date]])</f>
        <v>2015</v>
      </c>
      <c r="C2055" s="4">
        <f>MONTH(SalesData[[#This Row],[Order Date]])</f>
        <v>2</v>
      </c>
      <c r="D2055" s="3" t="s">
        <v>1538</v>
      </c>
      <c r="E2055" s="3" t="s">
        <v>296</v>
      </c>
      <c r="F2055" s="3" t="s">
        <v>11</v>
      </c>
      <c r="G2055" s="3" t="s">
        <v>20</v>
      </c>
      <c r="H2055" s="3" t="s">
        <v>1197</v>
      </c>
      <c r="I2055" s="6">
        <v>12.14</v>
      </c>
      <c r="J2055" s="4">
        <v>3</v>
      </c>
      <c r="K2055" s="6">
        <v>4.0999999999999996</v>
      </c>
    </row>
    <row r="2056" spans="1:11" x14ac:dyDescent="0.3">
      <c r="A2056" s="7">
        <v>42038</v>
      </c>
      <c r="B2056" s="4">
        <f>YEAR(SalesData[[#This Row],[Order Date]])</f>
        <v>2015</v>
      </c>
      <c r="C2056" s="4">
        <f>MONTH(SalesData[[#This Row],[Order Date]])</f>
        <v>2</v>
      </c>
      <c r="D2056" s="3" t="s">
        <v>809</v>
      </c>
      <c r="E2056" s="3" t="s">
        <v>30</v>
      </c>
      <c r="F2056" s="3" t="s">
        <v>11</v>
      </c>
      <c r="G2056" s="3" t="s">
        <v>63</v>
      </c>
      <c r="H2056" s="3" t="s">
        <v>64</v>
      </c>
      <c r="I2056" s="6">
        <v>74.52</v>
      </c>
      <c r="J2056" s="4">
        <v>9</v>
      </c>
      <c r="K2056" s="6">
        <v>35.020000000000003</v>
      </c>
    </row>
    <row r="2057" spans="1:11" x14ac:dyDescent="0.3">
      <c r="A2057" s="7">
        <v>42038</v>
      </c>
      <c r="B2057" s="4">
        <f>YEAR(SalesData[[#This Row],[Order Date]])</f>
        <v>2015</v>
      </c>
      <c r="C2057" s="4">
        <f>MONTH(SalesData[[#This Row],[Order Date]])</f>
        <v>2</v>
      </c>
      <c r="D2057" s="3" t="s">
        <v>671</v>
      </c>
      <c r="E2057" s="3" t="s">
        <v>149</v>
      </c>
      <c r="F2057" s="3" t="s">
        <v>34</v>
      </c>
      <c r="G2057" s="3" t="s">
        <v>35</v>
      </c>
      <c r="H2057" s="3" t="s">
        <v>1876</v>
      </c>
      <c r="I2057" s="6">
        <v>90.88</v>
      </c>
      <c r="J2057" s="4">
        <v>1</v>
      </c>
      <c r="K2057" s="6">
        <v>15.15</v>
      </c>
    </row>
    <row r="2058" spans="1:11" x14ac:dyDescent="0.3">
      <c r="A2058" s="7">
        <v>42041</v>
      </c>
      <c r="B2058" s="4">
        <f>YEAR(SalesData[[#This Row],[Order Date]])</f>
        <v>2015</v>
      </c>
      <c r="C2058" s="4">
        <f>MONTH(SalesData[[#This Row],[Order Date]])</f>
        <v>2</v>
      </c>
      <c r="D2058" s="3" t="s">
        <v>659</v>
      </c>
      <c r="E2058" s="3" t="s">
        <v>164</v>
      </c>
      <c r="F2058" s="3" t="s">
        <v>11</v>
      </c>
      <c r="G2058" s="3" t="s">
        <v>24</v>
      </c>
      <c r="H2058" s="3" t="s">
        <v>1624</v>
      </c>
      <c r="I2058" s="6">
        <v>5.28</v>
      </c>
      <c r="J2058" s="4">
        <v>3</v>
      </c>
      <c r="K2058" s="6">
        <v>1.53</v>
      </c>
    </row>
    <row r="2059" spans="1:11" x14ac:dyDescent="0.3">
      <c r="A2059" s="7">
        <v>42041</v>
      </c>
      <c r="B2059" s="4">
        <f>YEAR(SalesData[[#This Row],[Order Date]])</f>
        <v>2015</v>
      </c>
      <c r="C2059" s="4">
        <f>MONTH(SalesData[[#This Row],[Order Date]])</f>
        <v>2</v>
      </c>
      <c r="D2059" s="3" t="s">
        <v>1042</v>
      </c>
      <c r="E2059" s="3" t="s">
        <v>59</v>
      </c>
      <c r="F2059" s="3" t="s">
        <v>34</v>
      </c>
      <c r="G2059" s="3" t="s">
        <v>35</v>
      </c>
      <c r="H2059" s="3" t="s">
        <v>1772</v>
      </c>
      <c r="I2059" s="6">
        <v>1268.82</v>
      </c>
      <c r="J2059" s="4">
        <v>9</v>
      </c>
      <c r="K2059" s="6">
        <v>266.45</v>
      </c>
    </row>
    <row r="2060" spans="1:11" x14ac:dyDescent="0.3">
      <c r="A2060" s="7">
        <v>42041</v>
      </c>
      <c r="B2060" s="4">
        <f>YEAR(SalesData[[#This Row],[Order Date]])</f>
        <v>2015</v>
      </c>
      <c r="C2060" s="4">
        <f>MONTH(SalesData[[#This Row],[Order Date]])</f>
        <v>2</v>
      </c>
      <c r="D2060" s="3" t="s">
        <v>1042</v>
      </c>
      <c r="E2060" s="3" t="s">
        <v>59</v>
      </c>
      <c r="F2060" s="3" t="s">
        <v>34</v>
      </c>
      <c r="G2060" s="3" t="s">
        <v>74</v>
      </c>
      <c r="H2060" s="3" t="s">
        <v>1909</v>
      </c>
      <c r="I2060" s="6">
        <v>283.92</v>
      </c>
      <c r="J2060" s="4">
        <v>4</v>
      </c>
      <c r="K2060" s="6">
        <v>82.34</v>
      </c>
    </row>
    <row r="2061" spans="1:11" x14ac:dyDescent="0.3">
      <c r="A2061" s="7">
        <v>42041</v>
      </c>
      <c r="B2061" s="4">
        <f>YEAR(SalesData[[#This Row],[Order Date]])</f>
        <v>2015</v>
      </c>
      <c r="C2061" s="4">
        <f>MONTH(SalesData[[#This Row],[Order Date]])</f>
        <v>2</v>
      </c>
      <c r="D2061" s="3" t="s">
        <v>1042</v>
      </c>
      <c r="E2061" s="3" t="s">
        <v>59</v>
      </c>
      <c r="F2061" s="3" t="s">
        <v>11</v>
      </c>
      <c r="G2061" s="3" t="s">
        <v>24</v>
      </c>
      <c r="H2061" s="3" t="s">
        <v>1504</v>
      </c>
      <c r="I2061" s="6">
        <v>5.68</v>
      </c>
      <c r="J2061" s="4">
        <v>2</v>
      </c>
      <c r="K2061" s="6">
        <v>1.76</v>
      </c>
    </row>
    <row r="2062" spans="1:11" x14ac:dyDescent="0.3">
      <c r="A2062" s="7">
        <v>42041</v>
      </c>
      <c r="B2062" s="4">
        <f>YEAR(SalesData[[#This Row],[Order Date]])</f>
        <v>2015</v>
      </c>
      <c r="C2062" s="4">
        <f>MONTH(SalesData[[#This Row],[Order Date]])</f>
        <v>2</v>
      </c>
      <c r="D2062" s="3" t="s">
        <v>1910</v>
      </c>
      <c r="E2062" s="3" t="s">
        <v>10</v>
      </c>
      <c r="F2062" s="3" t="s">
        <v>11</v>
      </c>
      <c r="G2062" s="3" t="s">
        <v>20</v>
      </c>
      <c r="H2062" s="3" t="s">
        <v>1686</v>
      </c>
      <c r="I2062" s="6">
        <v>2.93</v>
      </c>
      <c r="J2062" s="4">
        <v>3</v>
      </c>
      <c r="K2062" s="6">
        <v>-4.99</v>
      </c>
    </row>
    <row r="2063" spans="1:11" x14ac:dyDescent="0.3">
      <c r="A2063" s="7">
        <v>42041</v>
      </c>
      <c r="B2063" s="4">
        <f>YEAR(SalesData[[#This Row],[Order Date]])</f>
        <v>2015</v>
      </c>
      <c r="C2063" s="4">
        <f>MONTH(SalesData[[#This Row],[Order Date]])</f>
        <v>2</v>
      </c>
      <c r="D2063" s="3" t="s">
        <v>1910</v>
      </c>
      <c r="E2063" s="3" t="s">
        <v>10</v>
      </c>
      <c r="F2063" s="3" t="s">
        <v>39</v>
      </c>
      <c r="G2063" s="3" t="s">
        <v>52</v>
      </c>
      <c r="H2063" s="3" t="s">
        <v>1911</v>
      </c>
      <c r="I2063" s="6">
        <v>18.53</v>
      </c>
      <c r="J2063" s="4">
        <v>2</v>
      </c>
      <c r="K2063" s="6">
        <v>4.4000000000000004</v>
      </c>
    </row>
    <row r="2064" spans="1:11" x14ac:dyDescent="0.3">
      <c r="A2064" s="7">
        <v>42041</v>
      </c>
      <c r="B2064" s="4">
        <f>YEAR(SalesData[[#This Row],[Order Date]])</f>
        <v>2015</v>
      </c>
      <c r="C2064" s="4">
        <f>MONTH(SalesData[[#This Row],[Order Date]])</f>
        <v>2</v>
      </c>
      <c r="D2064" s="3" t="s">
        <v>1910</v>
      </c>
      <c r="E2064" s="3" t="s">
        <v>10</v>
      </c>
      <c r="F2064" s="3" t="s">
        <v>11</v>
      </c>
      <c r="G2064" s="3" t="s">
        <v>18</v>
      </c>
      <c r="H2064" s="3" t="s">
        <v>795</v>
      </c>
      <c r="I2064" s="6">
        <v>670.75</v>
      </c>
      <c r="J2064" s="4">
        <v>3</v>
      </c>
      <c r="K2064" s="6">
        <v>-125.77</v>
      </c>
    </row>
    <row r="2065" spans="1:11" x14ac:dyDescent="0.3">
      <c r="A2065" s="7">
        <v>42041</v>
      </c>
      <c r="B2065" s="4">
        <f>YEAR(SalesData[[#This Row],[Order Date]])</f>
        <v>2015</v>
      </c>
      <c r="C2065" s="4">
        <f>MONTH(SalesData[[#This Row],[Order Date]])</f>
        <v>2</v>
      </c>
      <c r="D2065" s="3" t="s">
        <v>1912</v>
      </c>
      <c r="E2065" s="3" t="s">
        <v>55</v>
      </c>
      <c r="F2065" s="3" t="s">
        <v>11</v>
      </c>
      <c r="G2065" s="3" t="s">
        <v>18</v>
      </c>
      <c r="H2065" s="3" t="s">
        <v>1870</v>
      </c>
      <c r="I2065" s="6">
        <v>146.72999999999999</v>
      </c>
      <c r="J2065" s="4">
        <v>3</v>
      </c>
      <c r="K2065" s="6">
        <v>2.93</v>
      </c>
    </row>
    <row r="2066" spans="1:11" x14ac:dyDescent="0.3">
      <c r="A2066" s="7">
        <v>42041</v>
      </c>
      <c r="B2066" s="4">
        <f>YEAR(SalesData[[#This Row],[Order Date]])</f>
        <v>2015</v>
      </c>
      <c r="C2066" s="4">
        <f>MONTH(SalesData[[#This Row],[Order Date]])</f>
        <v>2</v>
      </c>
      <c r="D2066" s="3" t="s">
        <v>1912</v>
      </c>
      <c r="E2066" s="3" t="s">
        <v>55</v>
      </c>
      <c r="F2066" s="3" t="s">
        <v>11</v>
      </c>
      <c r="G2066" s="3" t="s">
        <v>12</v>
      </c>
      <c r="H2066" s="3" t="s">
        <v>1913</v>
      </c>
      <c r="I2066" s="6">
        <v>29.9</v>
      </c>
      <c r="J2066" s="4">
        <v>5</v>
      </c>
      <c r="K2066" s="6">
        <v>13.46</v>
      </c>
    </row>
    <row r="2067" spans="1:11" x14ac:dyDescent="0.3">
      <c r="A2067" s="7">
        <v>42042</v>
      </c>
      <c r="B2067" s="4">
        <f>YEAR(SalesData[[#This Row],[Order Date]])</f>
        <v>2015</v>
      </c>
      <c r="C2067" s="4">
        <f>MONTH(SalesData[[#This Row],[Order Date]])</f>
        <v>2</v>
      </c>
      <c r="D2067" s="3" t="s">
        <v>389</v>
      </c>
      <c r="E2067" s="3" t="s">
        <v>55</v>
      </c>
      <c r="F2067" s="3" t="s">
        <v>11</v>
      </c>
      <c r="G2067" s="3" t="s">
        <v>63</v>
      </c>
      <c r="H2067" s="3" t="s">
        <v>543</v>
      </c>
      <c r="I2067" s="6">
        <v>311.14999999999998</v>
      </c>
      <c r="J2067" s="4">
        <v>5</v>
      </c>
      <c r="K2067" s="6">
        <v>146.24</v>
      </c>
    </row>
    <row r="2068" spans="1:11" x14ac:dyDescent="0.3">
      <c r="A2068" s="7">
        <v>42042</v>
      </c>
      <c r="B2068" s="4">
        <f>YEAR(SalesData[[#This Row],[Order Date]])</f>
        <v>2015</v>
      </c>
      <c r="C2068" s="4">
        <f>MONTH(SalesData[[#This Row],[Order Date]])</f>
        <v>2</v>
      </c>
      <c r="D2068" s="3" t="s">
        <v>389</v>
      </c>
      <c r="E2068" s="3" t="s">
        <v>55</v>
      </c>
      <c r="F2068" s="3" t="s">
        <v>11</v>
      </c>
      <c r="G2068" s="3" t="s">
        <v>12</v>
      </c>
      <c r="H2068" s="3" t="s">
        <v>331</v>
      </c>
      <c r="I2068" s="6">
        <v>12.96</v>
      </c>
      <c r="J2068" s="4">
        <v>2</v>
      </c>
      <c r="K2068" s="6">
        <v>6.35</v>
      </c>
    </row>
    <row r="2069" spans="1:11" x14ac:dyDescent="0.3">
      <c r="A2069" s="7">
        <v>42043</v>
      </c>
      <c r="B2069" s="4">
        <f>YEAR(SalesData[[#This Row],[Order Date]])</f>
        <v>2015</v>
      </c>
      <c r="C2069" s="4">
        <f>MONTH(SalesData[[#This Row],[Order Date]])</f>
        <v>2</v>
      </c>
      <c r="D2069" s="3" t="s">
        <v>1241</v>
      </c>
      <c r="E2069" s="3" t="s">
        <v>78</v>
      </c>
      <c r="F2069" s="3" t="s">
        <v>39</v>
      </c>
      <c r="G2069" s="3" t="s">
        <v>40</v>
      </c>
      <c r="H2069" s="3" t="s">
        <v>1239</v>
      </c>
      <c r="I2069" s="6">
        <v>107.98</v>
      </c>
      <c r="J2069" s="4">
        <v>3</v>
      </c>
      <c r="K2069" s="6">
        <v>-27</v>
      </c>
    </row>
    <row r="2070" spans="1:11" x14ac:dyDescent="0.3">
      <c r="A2070" s="7">
        <v>42043</v>
      </c>
      <c r="B2070" s="4">
        <f>YEAR(SalesData[[#This Row],[Order Date]])</f>
        <v>2015</v>
      </c>
      <c r="C2070" s="4">
        <f>MONTH(SalesData[[#This Row],[Order Date]])</f>
        <v>2</v>
      </c>
      <c r="D2070" s="3" t="s">
        <v>796</v>
      </c>
      <c r="E2070" s="3" t="s">
        <v>1283</v>
      </c>
      <c r="F2070" s="3" t="s">
        <v>11</v>
      </c>
      <c r="G2070" s="3" t="s">
        <v>12</v>
      </c>
      <c r="H2070" s="3" t="s">
        <v>1914</v>
      </c>
      <c r="I2070" s="6">
        <v>9.5399999999999991</v>
      </c>
      <c r="J2070" s="4">
        <v>2</v>
      </c>
      <c r="K2070" s="6">
        <v>4.29</v>
      </c>
    </row>
    <row r="2071" spans="1:11" x14ac:dyDescent="0.3">
      <c r="A2071" s="7">
        <v>42043</v>
      </c>
      <c r="B2071" s="4">
        <f>YEAR(SalesData[[#This Row],[Order Date]])</f>
        <v>2015</v>
      </c>
      <c r="C2071" s="4">
        <f>MONTH(SalesData[[#This Row],[Order Date]])</f>
        <v>2</v>
      </c>
      <c r="D2071" s="3" t="s">
        <v>796</v>
      </c>
      <c r="E2071" s="3" t="s">
        <v>1283</v>
      </c>
      <c r="F2071" s="3" t="s">
        <v>11</v>
      </c>
      <c r="G2071" s="3" t="s">
        <v>43</v>
      </c>
      <c r="H2071" s="3" t="s">
        <v>540</v>
      </c>
      <c r="I2071" s="6">
        <v>5.81</v>
      </c>
      <c r="J2071" s="4">
        <v>1</v>
      </c>
      <c r="K2071" s="6">
        <v>1.8</v>
      </c>
    </row>
    <row r="2072" spans="1:11" x14ac:dyDescent="0.3">
      <c r="A2072" s="7">
        <v>42043</v>
      </c>
      <c r="B2072" s="4">
        <f>YEAR(SalesData[[#This Row],[Order Date]])</f>
        <v>2015</v>
      </c>
      <c r="C2072" s="4">
        <f>MONTH(SalesData[[#This Row],[Order Date]])</f>
        <v>2</v>
      </c>
      <c r="D2072" s="3" t="s">
        <v>796</v>
      </c>
      <c r="E2072" s="3" t="s">
        <v>1283</v>
      </c>
      <c r="F2072" s="3" t="s">
        <v>11</v>
      </c>
      <c r="G2072" s="3" t="s">
        <v>24</v>
      </c>
      <c r="H2072" s="3" t="s">
        <v>1915</v>
      </c>
      <c r="I2072" s="6">
        <v>5.76</v>
      </c>
      <c r="J2072" s="4">
        <v>2</v>
      </c>
      <c r="K2072" s="6">
        <v>1.73</v>
      </c>
    </row>
    <row r="2073" spans="1:11" x14ac:dyDescent="0.3">
      <c r="A2073" s="7">
        <v>42044</v>
      </c>
      <c r="B2073" s="4">
        <f>YEAR(SalesData[[#This Row],[Order Date]])</f>
        <v>2015</v>
      </c>
      <c r="C2073" s="4">
        <f>MONTH(SalesData[[#This Row],[Order Date]])</f>
        <v>2</v>
      </c>
      <c r="D2073" s="3" t="s">
        <v>892</v>
      </c>
      <c r="E2073" s="3" t="s">
        <v>10</v>
      </c>
      <c r="F2073" s="3" t="s">
        <v>39</v>
      </c>
      <c r="G2073" s="3" t="s">
        <v>52</v>
      </c>
      <c r="H2073" s="3" t="s">
        <v>53</v>
      </c>
      <c r="I2073" s="6">
        <v>20.8</v>
      </c>
      <c r="J2073" s="4">
        <v>2</v>
      </c>
      <c r="K2073" s="6">
        <v>6.5</v>
      </c>
    </row>
    <row r="2074" spans="1:11" x14ac:dyDescent="0.3">
      <c r="A2074" s="7">
        <v>42044</v>
      </c>
      <c r="B2074" s="4">
        <f>YEAR(SalesData[[#This Row],[Order Date]])</f>
        <v>2015</v>
      </c>
      <c r="C2074" s="4">
        <f>MONTH(SalesData[[#This Row],[Order Date]])</f>
        <v>2</v>
      </c>
      <c r="D2074" s="3" t="s">
        <v>1327</v>
      </c>
      <c r="E2074" s="3" t="s">
        <v>10</v>
      </c>
      <c r="F2074" s="3" t="s">
        <v>11</v>
      </c>
      <c r="G2074" s="3" t="s">
        <v>16</v>
      </c>
      <c r="H2074" s="3" t="s">
        <v>89</v>
      </c>
      <c r="I2074" s="6">
        <v>40.1</v>
      </c>
      <c r="J2074" s="4">
        <v>4</v>
      </c>
      <c r="K2074" s="6">
        <v>13.53</v>
      </c>
    </row>
    <row r="2075" spans="1:11" x14ac:dyDescent="0.3">
      <c r="A2075" s="7">
        <v>42044</v>
      </c>
      <c r="B2075" s="4">
        <f>YEAR(SalesData[[#This Row],[Order Date]])</f>
        <v>2015</v>
      </c>
      <c r="C2075" s="4">
        <f>MONTH(SalesData[[#This Row],[Order Date]])</f>
        <v>2</v>
      </c>
      <c r="D2075" s="3" t="s">
        <v>1327</v>
      </c>
      <c r="E2075" s="3" t="s">
        <v>10</v>
      </c>
      <c r="F2075" s="3" t="s">
        <v>34</v>
      </c>
      <c r="G2075" s="3" t="s">
        <v>47</v>
      </c>
      <c r="H2075" s="3" t="s">
        <v>340</v>
      </c>
      <c r="I2075" s="6">
        <v>40.78</v>
      </c>
      <c r="J2075" s="4">
        <v>2</v>
      </c>
      <c r="K2075" s="6">
        <v>-30.59</v>
      </c>
    </row>
    <row r="2076" spans="1:11" x14ac:dyDescent="0.3">
      <c r="A2076" s="7">
        <v>42044</v>
      </c>
      <c r="B2076" s="4">
        <f>YEAR(SalesData[[#This Row],[Order Date]])</f>
        <v>2015</v>
      </c>
      <c r="C2076" s="4">
        <f>MONTH(SalesData[[#This Row],[Order Date]])</f>
        <v>2</v>
      </c>
      <c r="D2076" s="3" t="s">
        <v>1916</v>
      </c>
      <c r="E2076" s="3" t="s">
        <v>27</v>
      </c>
      <c r="F2076" s="3" t="s">
        <v>34</v>
      </c>
      <c r="G2076" s="3" t="s">
        <v>35</v>
      </c>
      <c r="H2076" s="3" t="s">
        <v>1425</v>
      </c>
      <c r="I2076" s="6">
        <v>203.92</v>
      </c>
      <c r="J2076" s="4">
        <v>5</v>
      </c>
      <c r="K2076" s="6">
        <v>22.94</v>
      </c>
    </row>
    <row r="2077" spans="1:11" x14ac:dyDescent="0.3">
      <c r="A2077" s="7">
        <v>42044</v>
      </c>
      <c r="B2077" s="4">
        <f>YEAR(SalesData[[#This Row],[Order Date]])</f>
        <v>2015</v>
      </c>
      <c r="C2077" s="4">
        <f>MONTH(SalesData[[#This Row],[Order Date]])</f>
        <v>2</v>
      </c>
      <c r="D2077" s="3" t="s">
        <v>1448</v>
      </c>
      <c r="E2077" s="3" t="s">
        <v>15</v>
      </c>
      <c r="F2077" s="3" t="s">
        <v>39</v>
      </c>
      <c r="G2077" s="3" t="s">
        <v>52</v>
      </c>
      <c r="H2077" s="3" t="s">
        <v>502</v>
      </c>
      <c r="I2077" s="6">
        <v>479.95</v>
      </c>
      <c r="J2077" s="4">
        <v>6</v>
      </c>
      <c r="K2077" s="6">
        <v>89.99</v>
      </c>
    </row>
    <row r="2078" spans="1:11" x14ac:dyDescent="0.3">
      <c r="A2078" s="7">
        <v>42045</v>
      </c>
      <c r="B2078" s="4">
        <f>YEAR(SalesData[[#This Row],[Order Date]])</f>
        <v>2015</v>
      </c>
      <c r="C2078" s="4">
        <f>MONTH(SalesData[[#This Row],[Order Date]])</f>
        <v>2</v>
      </c>
      <c r="D2078" s="3" t="s">
        <v>1748</v>
      </c>
      <c r="E2078" s="3" t="s">
        <v>23</v>
      </c>
      <c r="F2078" s="3" t="s">
        <v>11</v>
      </c>
      <c r="G2078" s="3" t="s">
        <v>18</v>
      </c>
      <c r="H2078" s="3" t="s">
        <v>1317</v>
      </c>
      <c r="I2078" s="6">
        <v>77.239999999999995</v>
      </c>
      <c r="J2078" s="4">
        <v>5</v>
      </c>
      <c r="K2078" s="6">
        <v>7.72</v>
      </c>
    </row>
    <row r="2079" spans="1:11" x14ac:dyDescent="0.3">
      <c r="A2079" s="7">
        <v>42049</v>
      </c>
      <c r="B2079" s="4">
        <f>YEAR(SalesData[[#This Row],[Order Date]])</f>
        <v>2015</v>
      </c>
      <c r="C2079" s="4">
        <f>MONTH(SalesData[[#This Row],[Order Date]])</f>
        <v>2</v>
      </c>
      <c r="D2079" s="3" t="s">
        <v>1178</v>
      </c>
      <c r="E2079" s="3" t="s">
        <v>78</v>
      </c>
      <c r="F2079" s="3" t="s">
        <v>11</v>
      </c>
      <c r="G2079" s="3" t="s">
        <v>20</v>
      </c>
      <c r="H2079" s="3" t="s">
        <v>765</v>
      </c>
      <c r="I2079" s="6">
        <v>14.95</v>
      </c>
      <c r="J2079" s="4">
        <v>2</v>
      </c>
      <c r="K2079" s="6">
        <v>-11.96</v>
      </c>
    </row>
    <row r="2080" spans="1:11" x14ac:dyDescent="0.3">
      <c r="A2080" s="7">
        <v>42049</v>
      </c>
      <c r="B2080" s="4">
        <f>YEAR(SalesData[[#This Row],[Order Date]])</f>
        <v>2015</v>
      </c>
      <c r="C2080" s="4">
        <f>MONTH(SalesData[[#This Row],[Order Date]])</f>
        <v>2</v>
      </c>
      <c r="D2080" s="3" t="s">
        <v>1178</v>
      </c>
      <c r="E2080" s="3" t="s">
        <v>78</v>
      </c>
      <c r="F2080" s="3" t="s">
        <v>39</v>
      </c>
      <c r="G2080" s="3" t="s">
        <v>40</v>
      </c>
      <c r="H2080" s="3" t="s">
        <v>1917</v>
      </c>
      <c r="I2080" s="6">
        <v>323.98</v>
      </c>
      <c r="J2080" s="4">
        <v>3</v>
      </c>
      <c r="K2080" s="6">
        <v>-81</v>
      </c>
    </row>
    <row r="2081" spans="1:11" x14ac:dyDescent="0.3">
      <c r="A2081" s="7">
        <v>42049</v>
      </c>
      <c r="B2081" s="4">
        <f>YEAR(SalesData[[#This Row],[Order Date]])</f>
        <v>2015</v>
      </c>
      <c r="C2081" s="4">
        <f>MONTH(SalesData[[#This Row],[Order Date]])</f>
        <v>2</v>
      </c>
      <c r="D2081" s="3" t="s">
        <v>1178</v>
      </c>
      <c r="E2081" s="3" t="s">
        <v>78</v>
      </c>
      <c r="F2081" s="3" t="s">
        <v>11</v>
      </c>
      <c r="G2081" s="3" t="s">
        <v>20</v>
      </c>
      <c r="H2081" s="3" t="s">
        <v>970</v>
      </c>
      <c r="I2081" s="6">
        <v>2.29</v>
      </c>
      <c r="J2081" s="4">
        <v>2</v>
      </c>
      <c r="K2081" s="6">
        <v>-1.68</v>
      </c>
    </row>
    <row r="2082" spans="1:11" x14ac:dyDescent="0.3">
      <c r="A2082" s="7">
        <v>42049</v>
      </c>
      <c r="B2082" s="4">
        <f>YEAR(SalesData[[#This Row],[Order Date]])</f>
        <v>2015</v>
      </c>
      <c r="C2082" s="4">
        <f>MONTH(SalesData[[#This Row],[Order Date]])</f>
        <v>2</v>
      </c>
      <c r="D2082" s="3" t="s">
        <v>1178</v>
      </c>
      <c r="E2082" s="3" t="s">
        <v>78</v>
      </c>
      <c r="F2082" s="3" t="s">
        <v>11</v>
      </c>
      <c r="G2082" s="3" t="s">
        <v>24</v>
      </c>
      <c r="H2082" s="3" t="s">
        <v>960</v>
      </c>
      <c r="I2082" s="6">
        <v>14.35</v>
      </c>
      <c r="J2082" s="4">
        <v>3</v>
      </c>
      <c r="K2082" s="6">
        <v>0.9</v>
      </c>
    </row>
    <row r="2083" spans="1:11" x14ac:dyDescent="0.3">
      <c r="A2083" s="7">
        <v>42049</v>
      </c>
      <c r="B2083" s="4">
        <f>YEAR(SalesData[[#This Row],[Order Date]])</f>
        <v>2015</v>
      </c>
      <c r="C2083" s="4">
        <f>MONTH(SalesData[[#This Row],[Order Date]])</f>
        <v>2</v>
      </c>
      <c r="D2083" s="3" t="s">
        <v>1178</v>
      </c>
      <c r="E2083" s="3" t="s">
        <v>78</v>
      </c>
      <c r="F2083" s="3" t="s">
        <v>39</v>
      </c>
      <c r="G2083" s="3" t="s">
        <v>52</v>
      </c>
      <c r="H2083" s="3" t="s">
        <v>1556</v>
      </c>
      <c r="I2083" s="6">
        <v>71.98</v>
      </c>
      <c r="J2083" s="4">
        <v>3</v>
      </c>
      <c r="K2083" s="6">
        <v>0.9</v>
      </c>
    </row>
    <row r="2084" spans="1:11" x14ac:dyDescent="0.3">
      <c r="A2084" s="7">
        <v>42049</v>
      </c>
      <c r="B2084" s="4">
        <f>YEAR(SalesData[[#This Row],[Order Date]])</f>
        <v>2015</v>
      </c>
      <c r="C2084" s="4">
        <f>MONTH(SalesData[[#This Row],[Order Date]])</f>
        <v>2</v>
      </c>
      <c r="D2084" s="3" t="s">
        <v>677</v>
      </c>
      <c r="E2084" s="3" t="s">
        <v>149</v>
      </c>
      <c r="F2084" s="3" t="s">
        <v>11</v>
      </c>
      <c r="G2084" s="3" t="s">
        <v>20</v>
      </c>
      <c r="H2084" s="3" t="s">
        <v>1918</v>
      </c>
      <c r="I2084" s="6">
        <v>26.42</v>
      </c>
      <c r="J2084" s="4">
        <v>9</v>
      </c>
      <c r="K2084" s="6">
        <v>9.58</v>
      </c>
    </row>
    <row r="2085" spans="1:11" x14ac:dyDescent="0.3">
      <c r="A2085" s="7">
        <v>42049</v>
      </c>
      <c r="B2085" s="4">
        <f>YEAR(SalesData[[#This Row],[Order Date]])</f>
        <v>2015</v>
      </c>
      <c r="C2085" s="4">
        <f>MONTH(SalesData[[#This Row],[Order Date]])</f>
        <v>2</v>
      </c>
      <c r="D2085" s="3" t="s">
        <v>677</v>
      </c>
      <c r="E2085" s="3" t="s">
        <v>149</v>
      </c>
      <c r="F2085" s="3" t="s">
        <v>39</v>
      </c>
      <c r="G2085" s="3" t="s">
        <v>40</v>
      </c>
      <c r="H2085" s="3" t="s">
        <v>1695</v>
      </c>
      <c r="I2085" s="6">
        <v>625.99</v>
      </c>
      <c r="J2085" s="4">
        <v>1</v>
      </c>
      <c r="K2085" s="6">
        <v>187.8</v>
      </c>
    </row>
    <row r="2086" spans="1:11" x14ac:dyDescent="0.3">
      <c r="A2086" s="7">
        <v>42050</v>
      </c>
      <c r="B2086" s="4">
        <f>YEAR(SalesData[[#This Row],[Order Date]])</f>
        <v>2015</v>
      </c>
      <c r="C2086" s="4">
        <f>MONTH(SalesData[[#This Row],[Order Date]])</f>
        <v>2</v>
      </c>
      <c r="D2086" s="3" t="s">
        <v>468</v>
      </c>
      <c r="E2086" s="3" t="s">
        <v>157</v>
      </c>
      <c r="F2086" s="3" t="s">
        <v>39</v>
      </c>
      <c r="G2086" s="3" t="s">
        <v>40</v>
      </c>
      <c r="H2086" s="3" t="s">
        <v>415</v>
      </c>
      <c r="I2086" s="6">
        <v>134.97</v>
      </c>
      <c r="J2086" s="4">
        <v>3</v>
      </c>
      <c r="K2086" s="6">
        <v>64.790000000000006</v>
      </c>
    </row>
    <row r="2087" spans="1:11" x14ac:dyDescent="0.3">
      <c r="A2087" s="7">
        <v>42050</v>
      </c>
      <c r="B2087" s="4">
        <f>YEAR(SalesData[[#This Row],[Order Date]])</f>
        <v>2015</v>
      </c>
      <c r="C2087" s="4">
        <f>MONTH(SalesData[[#This Row],[Order Date]])</f>
        <v>2</v>
      </c>
      <c r="D2087" s="3" t="s">
        <v>468</v>
      </c>
      <c r="E2087" s="3" t="s">
        <v>157</v>
      </c>
      <c r="F2087" s="3" t="s">
        <v>39</v>
      </c>
      <c r="G2087" s="3" t="s">
        <v>40</v>
      </c>
      <c r="H2087" s="3" t="s">
        <v>1596</v>
      </c>
      <c r="I2087" s="6">
        <v>699.98</v>
      </c>
      <c r="J2087" s="4">
        <v>2</v>
      </c>
      <c r="K2087" s="6">
        <v>195.99</v>
      </c>
    </row>
    <row r="2088" spans="1:11" x14ac:dyDescent="0.3">
      <c r="A2088" s="7">
        <v>42050</v>
      </c>
      <c r="B2088" s="4">
        <f>YEAR(SalesData[[#This Row],[Order Date]])</f>
        <v>2015</v>
      </c>
      <c r="C2088" s="4">
        <f>MONTH(SalesData[[#This Row],[Order Date]])</f>
        <v>2</v>
      </c>
      <c r="D2088" s="3" t="s">
        <v>468</v>
      </c>
      <c r="E2088" s="3" t="s">
        <v>157</v>
      </c>
      <c r="F2088" s="3" t="s">
        <v>39</v>
      </c>
      <c r="G2088" s="3" t="s">
        <v>52</v>
      </c>
      <c r="H2088" s="3" t="s">
        <v>1526</v>
      </c>
      <c r="I2088" s="6">
        <v>139.94999999999999</v>
      </c>
      <c r="J2088" s="4">
        <v>5</v>
      </c>
      <c r="K2088" s="6">
        <v>26.59</v>
      </c>
    </row>
    <row r="2089" spans="1:11" x14ac:dyDescent="0.3">
      <c r="A2089" s="7">
        <v>42050</v>
      </c>
      <c r="B2089" s="4">
        <f>YEAR(SalesData[[#This Row],[Order Date]])</f>
        <v>2015</v>
      </c>
      <c r="C2089" s="4">
        <f>MONTH(SalesData[[#This Row],[Order Date]])</f>
        <v>2</v>
      </c>
      <c r="D2089" s="3" t="s">
        <v>599</v>
      </c>
      <c r="E2089" s="3" t="s">
        <v>27</v>
      </c>
      <c r="F2089" s="3" t="s">
        <v>11</v>
      </c>
      <c r="G2089" s="3" t="s">
        <v>12</v>
      </c>
      <c r="H2089" s="3" t="s">
        <v>1884</v>
      </c>
      <c r="I2089" s="6">
        <v>13.36</v>
      </c>
      <c r="J2089" s="4">
        <v>2</v>
      </c>
      <c r="K2089" s="6">
        <v>6.41</v>
      </c>
    </row>
    <row r="2090" spans="1:11" x14ac:dyDescent="0.3">
      <c r="A2090" s="7">
        <v>42050</v>
      </c>
      <c r="B2090" s="4">
        <f>YEAR(SalesData[[#This Row],[Order Date]])</f>
        <v>2015</v>
      </c>
      <c r="C2090" s="4">
        <f>MONTH(SalesData[[#This Row],[Order Date]])</f>
        <v>2</v>
      </c>
      <c r="D2090" s="3" t="s">
        <v>599</v>
      </c>
      <c r="E2090" s="3" t="s">
        <v>27</v>
      </c>
      <c r="F2090" s="3" t="s">
        <v>11</v>
      </c>
      <c r="G2090" s="3" t="s">
        <v>20</v>
      </c>
      <c r="H2090" s="3" t="s">
        <v>579</v>
      </c>
      <c r="I2090" s="6">
        <v>41.72</v>
      </c>
      <c r="J2090" s="4">
        <v>5</v>
      </c>
      <c r="K2090" s="6">
        <v>13.04</v>
      </c>
    </row>
    <row r="2091" spans="1:11" x14ac:dyDescent="0.3">
      <c r="A2091" s="7">
        <v>42050</v>
      </c>
      <c r="B2091" s="4">
        <f>YEAR(SalesData[[#This Row],[Order Date]])</f>
        <v>2015</v>
      </c>
      <c r="C2091" s="4">
        <f>MONTH(SalesData[[#This Row],[Order Date]])</f>
        <v>2</v>
      </c>
      <c r="D2091" s="3" t="s">
        <v>599</v>
      </c>
      <c r="E2091" s="3" t="s">
        <v>27</v>
      </c>
      <c r="F2091" s="3" t="s">
        <v>11</v>
      </c>
      <c r="G2091" s="3" t="s">
        <v>20</v>
      </c>
      <c r="H2091" s="3" t="s">
        <v>899</v>
      </c>
      <c r="I2091" s="6">
        <v>11.52</v>
      </c>
      <c r="J2091" s="4">
        <v>5</v>
      </c>
      <c r="K2091" s="6">
        <v>4.18</v>
      </c>
    </row>
    <row r="2092" spans="1:11" x14ac:dyDescent="0.3">
      <c r="A2092" s="7">
        <v>42050</v>
      </c>
      <c r="B2092" s="4">
        <f>YEAR(SalesData[[#This Row],[Order Date]])</f>
        <v>2015</v>
      </c>
      <c r="C2092" s="4">
        <f>MONTH(SalesData[[#This Row],[Order Date]])</f>
        <v>2</v>
      </c>
      <c r="D2092" s="3" t="s">
        <v>599</v>
      </c>
      <c r="E2092" s="3" t="s">
        <v>27</v>
      </c>
      <c r="F2092" s="3" t="s">
        <v>11</v>
      </c>
      <c r="G2092" s="3" t="s">
        <v>92</v>
      </c>
      <c r="H2092" s="3" t="s">
        <v>571</v>
      </c>
      <c r="I2092" s="6">
        <v>541.44000000000005</v>
      </c>
      <c r="J2092" s="4">
        <v>6</v>
      </c>
      <c r="K2092" s="6">
        <v>157.02000000000001</v>
      </c>
    </row>
    <row r="2093" spans="1:11" x14ac:dyDescent="0.3">
      <c r="A2093" s="7">
        <v>42050</v>
      </c>
      <c r="B2093" s="4">
        <f>YEAR(SalesData[[#This Row],[Order Date]])</f>
        <v>2015</v>
      </c>
      <c r="C2093" s="4">
        <f>MONTH(SalesData[[#This Row],[Order Date]])</f>
        <v>2</v>
      </c>
      <c r="D2093" s="3" t="s">
        <v>599</v>
      </c>
      <c r="E2093" s="3" t="s">
        <v>27</v>
      </c>
      <c r="F2093" s="3" t="s">
        <v>11</v>
      </c>
      <c r="G2093" s="3" t="s">
        <v>12</v>
      </c>
      <c r="H2093" s="3" t="s">
        <v>1919</v>
      </c>
      <c r="I2093" s="6">
        <v>19.440000000000001</v>
      </c>
      <c r="J2093" s="4">
        <v>3</v>
      </c>
      <c r="K2093" s="6">
        <v>9.33</v>
      </c>
    </row>
    <row r="2094" spans="1:11" x14ac:dyDescent="0.3">
      <c r="A2094" s="7">
        <v>42051</v>
      </c>
      <c r="B2094" s="4">
        <f>YEAR(SalesData[[#This Row],[Order Date]])</f>
        <v>2015</v>
      </c>
      <c r="C2094" s="4">
        <f>MONTH(SalesData[[#This Row],[Order Date]])</f>
        <v>2</v>
      </c>
      <c r="D2094" s="3" t="s">
        <v>1791</v>
      </c>
      <c r="E2094" s="3" t="s">
        <v>685</v>
      </c>
      <c r="F2094" s="3" t="s">
        <v>11</v>
      </c>
      <c r="G2094" s="3" t="s">
        <v>12</v>
      </c>
      <c r="H2094" s="3" t="s">
        <v>1913</v>
      </c>
      <c r="I2094" s="6">
        <v>35.880000000000003</v>
      </c>
      <c r="J2094" s="4">
        <v>6</v>
      </c>
      <c r="K2094" s="6">
        <v>16.149999999999999</v>
      </c>
    </row>
    <row r="2095" spans="1:11" x14ac:dyDescent="0.3">
      <c r="A2095" s="7">
        <v>42051</v>
      </c>
      <c r="B2095" s="4">
        <f>YEAR(SalesData[[#This Row],[Order Date]])</f>
        <v>2015</v>
      </c>
      <c r="C2095" s="4">
        <f>MONTH(SalesData[[#This Row],[Order Date]])</f>
        <v>2</v>
      </c>
      <c r="D2095" s="3" t="s">
        <v>437</v>
      </c>
      <c r="E2095" s="3" t="s">
        <v>27</v>
      </c>
      <c r="F2095" s="3" t="s">
        <v>11</v>
      </c>
      <c r="G2095" s="3" t="s">
        <v>12</v>
      </c>
      <c r="H2095" s="3" t="s">
        <v>936</v>
      </c>
      <c r="I2095" s="6">
        <v>36.840000000000003</v>
      </c>
      <c r="J2095" s="4">
        <v>3</v>
      </c>
      <c r="K2095" s="6">
        <v>17.309999999999999</v>
      </c>
    </row>
    <row r="2096" spans="1:11" x14ac:dyDescent="0.3">
      <c r="A2096" s="7">
        <v>42051</v>
      </c>
      <c r="B2096" s="4">
        <f>YEAR(SalesData[[#This Row],[Order Date]])</f>
        <v>2015</v>
      </c>
      <c r="C2096" s="4">
        <f>MONTH(SalesData[[#This Row],[Order Date]])</f>
        <v>2</v>
      </c>
      <c r="D2096" s="3" t="s">
        <v>437</v>
      </c>
      <c r="E2096" s="3" t="s">
        <v>27</v>
      </c>
      <c r="F2096" s="3" t="s">
        <v>11</v>
      </c>
      <c r="G2096" s="3" t="s">
        <v>16</v>
      </c>
      <c r="H2096" s="3" t="s">
        <v>1025</v>
      </c>
      <c r="I2096" s="6">
        <v>87.71</v>
      </c>
      <c r="J2096" s="4">
        <v>7</v>
      </c>
      <c r="K2096" s="6">
        <v>41.22</v>
      </c>
    </row>
    <row r="2097" spans="1:11" x14ac:dyDescent="0.3">
      <c r="A2097" s="7">
        <v>42053</v>
      </c>
      <c r="B2097" s="4">
        <f>YEAR(SalesData[[#This Row],[Order Date]])</f>
        <v>2015</v>
      </c>
      <c r="C2097" s="4">
        <f>MONTH(SalesData[[#This Row],[Order Date]])</f>
        <v>2</v>
      </c>
      <c r="D2097" s="3" t="s">
        <v>1648</v>
      </c>
      <c r="E2097" s="3" t="s">
        <v>27</v>
      </c>
      <c r="F2097" s="3" t="s">
        <v>11</v>
      </c>
      <c r="G2097" s="3" t="s">
        <v>16</v>
      </c>
      <c r="H2097" s="3" t="s">
        <v>1430</v>
      </c>
      <c r="I2097" s="6">
        <v>9.24</v>
      </c>
      <c r="J2097" s="4">
        <v>3</v>
      </c>
      <c r="K2097" s="6">
        <v>4.4400000000000004</v>
      </c>
    </row>
    <row r="2098" spans="1:11" x14ac:dyDescent="0.3">
      <c r="A2098" s="7">
        <v>42053</v>
      </c>
      <c r="B2098" s="4">
        <f>YEAR(SalesData[[#This Row],[Order Date]])</f>
        <v>2015</v>
      </c>
      <c r="C2098" s="4">
        <f>MONTH(SalesData[[#This Row],[Order Date]])</f>
        <v>2</v>
      </c>
      <c r="D2098" s="3" t="s">
        <v>1920</v>
      </c>
      <c r="E2098" s="3" t="s">
        <v>27</v>
      </c>
      <c r="F2098" s="3" t="s">
        <v>11</v>
      </c>
      <c r="G2098" s="3" t="s">
        <v>16</v>
      </c>
      <c r="H2098" s="3" t="s">
        <v>1500</v>
      </c>
      <c r="I2098" s="6">
        <v>61.06</v>
      </c>
      <c r="J2098" s="4">
        <v>2</v>
      </c>
      <c r="K2098" s="6">
        <v>28.09</v>
      </c>
    </row>
    <row r="2099" spans="1:11" x14ac:dyDescent="0.3">
      <c r="A2099" s="7">
        <v>42053</v>
      </c>
      <c r="B2099" s="4">
        <f>YEAR(SalesData[[#This Row],[Order Date]])</f>
        <v>2015</v>
      </c>
      <c r="C2099" s="4">
        <f>MONTH(SalesData[[#This Row],[Order Date]])</f>
        <v>2</v>
      </c>
      <c r="D2099" s="3" t="s">
        <v>1920</v>
      </c>
      <c r="E2099" s="3" t="s">
        <v>27</v>
      </c>
      <c r="F2099" s="3" t="s">
        <v>34</v>
      </c>
      <c r="G2099" s="3" t="s">
        <v>145</v>
      </c>
      <c r="H2099" s="3" t="s">
        <v>1830</v>
      </c>
      <c r="I2099" s="6">
        <v>35.54</v>
      </c>
      <c r="J2099" s="4">
        <v>1</v>
      </c>
      <c r="K2099" s="6">
        <v>-0.89</v>
      </c>
    </row>
    <row r="2100" spans="1:11" x14ac:dyDescent="0.3">
      <c r="A2100" s="7">
        <v>42055</v>
      </c>
      <c r="B2100" s="4">
        <f>YEAR(SalesData[[#This Row],[Order Date]])</f>
        <v>2015</v>
      </c>
      <c r="C2100" s="4">
        <f>MONTH(SalesData[[#This Row],[Order Date]])</f>
        <v>2</v>
      </c>
      <c r="D2100" s="3" t="s">
        <v>878</v>
      </c>
      <c r="E2100" s="3" t="s">
        <v>101</v>
      </c>
      <c r="F2100" s="3" t="s">
        <v>39</v>
      </c>
      <c r="G2100" s="3" t="s">
        <v>52</v>
      </c>
      <c r="H2100" s="3" t="s">
        <v>1921</v>
      </c>
      <c r="I2100" s="6">
        <v>29.99</v>
      </c>
      <c r="J2100" s="4">
        <v>1</v>
      </c>
      <c r="K2100" s="6">
        <v>3</v>
      </c>
    </row>
    <row r="2101" spans="1:11" x14ac:dyDescent="0.3">
      <c r="A2101" s="7">
        <v>42055</v>
      </c>
      <c r="B2101" s="4">
        <f>YEAR(SalesData[[#This Row],[Order Date]])</f>
        <v>2015</v>
      </c>
      <c r="C2101" s="4">
        <f>MONTH(SalesData[[#This Row],[Order Date]])</f>
        <v>2</v>
      </c>
      <c r="D2101" s="3" t="s">
        <v>283</v>
      </c>
      <c r="E2101" s="3" t="s">
        <v>177</v>
      </c>
      <c r="F2101" s="3" t="s">
        <v>11</v>
      </c>
      <c r="G2101" s="3" t="s">
        <v>24</v>
      </c>
      <c r="H2101" s="3" t="s">
        <v>1108</v>
      </c>
      <c r="I2101" s="6">
        <v>286.79000000000002</v>
      </c>
      <c r="J2101" s="4">
        <v>7</v>
      </c>
      <c r="K2101" s="6">
        <v>74.569999999999993</v>
      </c>
    </row>
    <row r="2102" spans="1:11" x14ac:dyDescent="0.3">
      <c r="A2102" s="7">
        <v>42056</v>
      </c>
      <c r="B2102" s="4">
        <f>YEAR(SalesData[[#This Row],[Order Date]])</f>
        <v>2015</v>
      </c>
      <c r="C2102" s="4">
        <f>MONTH(SalesData[[#This Row],[Order Date]])</f>
        <v>2</v>
      </c>
      <c r="D2102" s="3" t="s">
        <v>1173</v>
      </c>
      <c r="E2102" s="3" t="s">
        <v>399</v>
      </c>
      <c r="F2102" s="3" t="s">
        <v>11</v>
      </c>
      <c r="G2102" s="3" t="s">
        <v>12</v>
      </c>
      <c r="H2102" s="3" t="s">
        <v>625</v>
      </c>
      <c r="I2102" s="6">
        <v>49.12</v>
      </c>
      <c r="J2102" s="4">
        <v>4</v>
      </c>
      <c r="K2102" s="6">
        <v>23.09</v>
      </c>
    </row>
    <row r="2103" spans="1:11" x14ac:dyDescent="0.3">
      <c r="A2103" s="7">
        <v>42056</v>
      </c>
      <c r="B2103" s="4">
        <f>YEAR(SalesData[[#This Row],[Order Date]])</f>
        <v>2015</v>
      </c>
      <c r="C2103" s="4">
        <f>MONTH(SalesData[[#This Row],[Order Date]])</f>
        <v>2</v>
      </c>
      <c r="D2103" s="3" t="s">
        <v>1643</v>
      </c>
      <c r="E2103" s="3" t="s">
        <v>531</v>
      </c>
      <c r="F2103" s="3" t="s">
        <v>11</v>
      </c>
      <c r="G2103" s="3" t="s">
        <v>20</v>
      </c>
      <c r="H2103" s="3" t="s">
        <v>1606</v>
      </c>
      <c r="I2103" s="6">
        <v>2541.98</v>
      </c>
      <c r="J2103" s="4">
        <v>2</v>
      </c>
      <c r="K2103" s="6">
        <v>1270.99</v>
      </c>
    </row>
    <row r="2104" spans="1:11" x14ac:dyDescent="0.3">
      <c r="A2104" s="7">
        <v>42057</v>
      </c>
      <c r="B2104" s="4">
        <f>YEAR(SalesData[[#This Row],[Order Date]])</f>
        <v>2015</v>
      </c>
      <c r="C2104" s="4">
        <f>MONTH(SalesData[[#This Row],[Order Date]])</f>
        <v>2</v>
      </c>
      <c r="D2104" s="3" t="s">
        <v>1811</v>
      </c>
      <c r="E2104" s="3" t="s">
        <v>110</v>
      </c>
      <c r="F2104" s="3" t="s">
        <v>11</v>
      </c>
      <c r="G2104" s="3" t="s">
        <v>24</v>
      </c>
      <c r="H2104" s="3" t="s">
        <v>1351</v>
      </c>
      <c r="I2104" s="6">
        <v>79.36</v>
      </c>
      <c r="J2104" s="4">
        <v>4</v>
      </c>
      <c r="K2104" s="6">
        <v>20.63</v>
      </c>
    </row>
    <row r="2105" spans="1:11" x14ac:dyDescent="0.3">
      <c r="A2105" s="7">
        <v>42058</v>
      </c>
      <c r="B2105" s="4">
        <f>YEAR(SalesData[[#This Row],[Order Date]])</f>
        <v>2015</v>
      </c>
      <c r="C2105" s="4">
        <f>MONTH(SalesData[[#This Row],[Order Date]])</f>
        <v>2</v>
      </c>
      <c r="D2105" s="3" t="s">
        <v>1922</v>
      </c>
      <c r="E2105" s="3" t="s">
        <v>149</v>
      </c>
      <c r="F2105" s="3" t="s">
        <v>11</v>
      </c>
      <c r="G2105" s="3" t="s">
        <v>92</v>
      </c>
      <c r="H2105" s="3" t="s">
        <v>1923</v>
      </c>
      <c r="I2105" s="6">
        <v>26.88</v>
      </c>
      <c r="J2105" s="4">
        <v>6</v>
      </c>
      <c r="K2105" s="6">
        <v>6.72</v>
      </c>
    </row>
    <row r="2106" spans="1:11" x14ac:dyDescent="0.3">
      <c r="A2106" s="7">
        <v>42058</v>
      </c>
      <c r="B2106" s="4">
        <f>YEAR(SalesData[[#This Row],[Order Date]])</f>
        <v>2015</v>
      </c>
      <c r="C2106" s="4">
        <f>MONTH(SalesData[[#This Row],[Order Date]])</f>
        <v>2</v>
      </c>
      <c r="D2106" s="3" t="s">
        <v>1922</v>
      </c>
      <c r="E2106" s="3" t="s">
        <v>149</v>
      </c>
      <c r="F2106" s="3" t="s">
        <v>11</v>
      </c>
      <c r="G2106" s="3" t="s">
        <v>20</v>
      </c>
      <c r="H2106" s="3" t="s">
        <v>1377</v>
      </c>
      <c r="I2106" s="6">
        <v>10.9</v>
      </c>
      <c r="J2106" s="4">
        <v>2</v>
      </c>
      <c r="K2106" s="6">
        <v>3.81</v>
      </c>
    </row>
    <row r="2107" spans="1:11" x14ac:dyDescent="0.3">
      <c r="A2107" s="7">
        <v>42060</v>
      </c>
      <c r="B2107" s="4">
        <f>YEAR(SalesData[[#This Row],[Order Date]])</f>
        <v>2015</v>
      </c>
      <c r="C2107" s="4">
        <f>MONTH(SalesData[[#This Row],[Order Date]])</f>
        <v>2</v>
      </c>
      <c r="D2107" s="3" t="s">
        <v>1785</v>
      </c>
      <c r="E2107" s="3" t="s">
        <v>434</v>
      </c>
      <c r="F2107" s="3" t="s">
        <v>11</v>
      </c>
      <c r="G2107" s="3" t="s">
        <v>16</v>
      </c>
      <c r="H2107" s="3" t="s">
        <v>447</v>
      </c>
      <c r="I2107" s="6">
        <v>3.15</v>
      </c>
      <c r="J2107" s="4">
        <v>1</v>
      </c>
      <c r="K2107" s="6">
        <v>1.51</v>
      </c>
    </row>
    <row r="2108" spans="1:11" x14ac:dyDescent="0.3">
      <c r="A2108" s="7">
        <v>42060</v>
      </c>
      <c r="B2108" s="4">
        <f>YEAR(SalesData[[#This Row],[Order Date]])</f>
        <v>2015</v>
      </c>
      <c r="C2108" s="4">
        <f>MONTH(SalesData[[#This Row],[Order Date]])</f>
        <v>2</v>
      </c>
      <c r="D2108" s="3" t="s">
        <v>1785</v>
      </c>
      <c r="E2108" s="3" t="s">
        <v>434</v>
      </c>
      <c r="F2108" s="3" t="s">
        <v>11</v>
      </c>
      <c r="G2108" s="3" t="s">
        <v>12</v>
      </c>
      <c r="H2108" s="3" t="s">
        <v>1924</v>
      </c>
      <c r="I2108" s="6">
        <v>22.72</v>
      </c>
      <c r="J2108" s="4">
        <v>4</v>
      </c>
      <c r="K2108" s="6">
        <v>10.220000000000001</v>
      </c>
    </row>
    <row r="2109" spans="1:11" x14ac:dyDescent="0.3">
      <c r="A2109" s="7">
        <v>42062</v>
      </c>
      <c r="B2109" s="4">
        <f>YEAR(SalesData[[#This Row],[Order Date]])</f>
        <v>2015</v>
      </c>
      <c r="C2109" s="4">
        <f>MONTH(SalesData[[#This Row],[Order Date]])</f>
        <v>2</v>
      </c>
      <c r="D2109" s="3" t="s">
        <v>1517</v>
      </c>
      <c r="E2109" s="3" t="s">
        <v>23</v>
      </c>
      <c r="F2109" s="3" t="s">
        <v>11</v>
      </c>
      <c r="G2109" s="3" t="s">
        <v>20</v>
      </c>
      <c r="H2109" s="3" t="s">
        <v>150</v>
      </c>
      <c r="I2109" s="6">
        <v>4.42</v>
      </c>
      <c r="J2109" s="4">
        <v>3</v>
      </c>
      <c r="K2109" s="6">
        <v>-3.39</v>
      </c>
    </row>
    <row r="2110" spans="1:11" x14ac:dyDescent="0.3">
      <c r="A2110" s="7">
        <v>42062</v>
      </c>
      <c r="B2110" s="4">
        <f>YEAR(SalesData[[#This Row],[Order Date]])</f>
        <v>2015</v>
      </c>
      <c r="C2110" s="4">
        <f>MONTH(SalesData[[#This Row],[Order Date]])</f>
        <v>2</v>
      </c>
      <c r="D2110" s="3" t="s">
        <v>1517</v>
      </c>
      <c r="E2110" s="3" t="s">
        <v>23</v>
      </c>
      <c r="F2110" s="3" t="s">
        <v>11</v>
      </c>
      <c r="G2110" s="3" t="s">
        <v>24</v>
      </c>
      <c r="H2110" s="3" t="s">
        <v>1844</v>
      </c>
      <c r="I2110" s="6">
        <v>16.03</v>
      </c>
      <c r="J2110" s="4">
        <v>6</v>
      </c>
      <c r="K2110" s="6">
        <v>2.2000000000000002</v>
      </c>
    </row>
    <row r="2111" spans="1:11" x14ac:dyDescent="0.3">
      <c r="A2111" s="7">
        <v>42062</v>
      </c>
      <c r="B2111" s="4">
        <f>YEAR(SalesData[[#This Row],[Order Date]])</f>
        <v>2015</v>
      </c>
      <c r="C2111" s="4">
        <f>MONTH(SalesData[[#This Row],[Order Date]])</f>
        <v>2</v>
      </c>
      <c r="D2111" s="3" t="s">
        <v>1417</v>
      </c>
      <c r="E2111" s="3" t="s">
        <v>1529</v>
      </c>
      <c r="F2111" s="3" t="s">
        <v>39</v>
      </c>
      <c r="G2111" s="3" t="s">
        <v>40</v>
      </c>
      <c r="H2111" s="3" t="s">
        <v>1925</v>
      </c>
      <c r="I2111" s="6">
        <v>105.98</v>
      </c>
      <c r="J2111" s="4">
        <v>2</v>
      </c>
      <c r="K2111" s="6">
        <v>1.06</v>
      </c>
    </row>
    <row r="2112" spans="1:11" x14ac:dyDescent="0.3">
      <c r="A2112" s="7">
        <v>42062</v>
      </c>
      <c r="B2112" s="4">
        <f>YEAR(SalesData[[#This Row],[Order Date]])</f>
        <v>2015</v>
      </c>
      <c r="C2112" s="4">
        <f>MONTH(SalesData[[#This Row],[Order Date]])</f>
        <v>2</v>
      </c>
      <c r="D2112" s="3" t="s">
        <v>1417</v>
      </c>
      <c r="E2112" s="3" t="s">
        <v>1529</v>
      </c>
      <c r="F2112" s="3" t="s">
        <v>34</v>
      </c>
      <c r="G2112" s="3" t="s">
        <v>145</v>
      </c>
      <c r="H2112" s="3" t="s">
        <v>968</v>
      </c>
      <c r="I2112" s="6">
        <v>493.92</v>
      </c>
      <c r="J2112" s="4">
        <v>7</v>
      </c>
      <c r="K2112" s="6">
        <v>-28.22</v>
      </c>
    </row>
    <row r="2113" spans="1:11" x14ac:dyDescent="0.3">
      <c r="A2113" s="7">
        <v>42062</v>
      </c>
      <c r="B2113" s="4">
        <f>YEAR(SalesData[[#This Row],[Order Date]])</f>
        <v>2015</v>
      </c>
      <c r="C2113" s="4">
        <f>MONTH(SalesData[[#This Row],[Order Date]])</f>
        <v>2</v>
      </c>
      <c r="D2113" s="3" t="s">
        <v>1926</v>
      </c>
      <c r="E2113" s="3" t="s">
        <v>164</v>
      </c>
      <c r="F2113" s="3" t="s">
        <v>39</v>
      </c>
      <c r="G2113" s="3" t="s">
        <v>52</v>
      </c>
      <c r="H2113" s="3" t="s">
        <v>1007</v>
      </c>
      <c r="I2113" s="6">
        <v>538.91999999999996</v>
      </c>
      <c r="J2113" s="4">
        <v>9</v>
      </c>
      <c r="K2113" s="6">
        <v>80.84</v>
      </c>
    </row>
    <row r="2114" spans="1:11" x14ac:dyDescent="0.3">
      <c r="A2114" s="7">
        <v>42063</v>
      </c>
      <c r="B2114" s="4">
        <f>YEAR(SalesData[[#This Row],[Order Date]])</f>
        <v>2015</v>
      </c>
      <c r="C2114" s="4">
        <f>MONTH(SalesData[[#This Row],[Order Date]])</f>
        <v>2</v>
      </c>
      <c r="D2114" s="3" t="s">
        <v>1055</v>
      </c>
      <c r="E2114" s="3" t="s">
        <v>120</v>
      </c>
      <c r="F2114" s="3" t="s">
        <v>34</v>
      </c>
      <c r="G2114" s="3" t="s">
        <v>35</v>
      </c>
      <c r="H2114" s="3" t="s">
        <v>1819</v>
      </c>
      <c r="I2114" s="6">
        <v>161.57</v>
      </c>
      <c r="J2114" s="4">
        <v>2</v>
      </c>
      <c r="K2114" s="6">
        <v>-28.27</v>
      </c>
    </row>
    <row r="2115" spans="1:11" x14ac:dyDescent="0.3">
      <c r="A2115" s="7">
        <v>42063</v>
      </c>
      <c r="B2115" s="4">
        <f>YEAR(SalesData[[#This Row],[Order Date]])</f>
        <v>2015</v>
      </c>
      <c r="C2115" s="4">
        <f>MONTH(SalesData[[#This Row],[Order Date]])</f>
        <v>2</v>
      </c>
      <c r="D2115" s="3" t="s">
        <v>1055</v>
      </c>
      <c r="E2115" s="3" t="s">
        <v>120</v>
      </c>
      <c r="F2115" s="3" t="s">
        <v>34</v>
      </c>
      <c r="G2115" s="3" t="s">
        <v>35</v>
      </c>
      <c r="H2115" s="3" t="s">
        <v>265</v>
      </c>
      <c r="I2115" s="6">
        <v>389.7</v>
      </c>
      <c r="J2115" s="4">
        <v>8</v>
      </c>
      <c r="K2115" s="6">
        <v>43.84</v>
      </c>
    </row>
    <row r="2116" spans="1:11" x14ac:dyDescent="0.3">
      <c r="A2116" s="7">
        <v>42064</v>
      </c>
      <c r="B2116" s="4">
        <f>YEAR(SalesData[[#This Row],[Order Date]])</f>
        <v>2015</v>
      </c>
      <c r="C2116" s="4">
        <f>MONTH(SalesData[[#This Row],[Order Date]])</f>
        <v>3</v>
      </c>
      <c r="D2116" s="3" t="s">
        <v>195</v>
      </c>
      <c r="E2116" s="3" t="s">
        <v>30</v>
      </c>
      <c r="F2116" s="3" t="s">
        <v>11</v>
      </c>
      <c r="G2116" s="3" t="s">
        <v>20</v>
      </c>
      <c r="H2116" s="3" t="s">
        <v>1927</v>
      </c>
      <c r="I2116" s="6">
        <v>58.72</v>
      </c>
      <c r="J2116" s="4">
        <v>4</v>
      </c>
      <c r="K2116" s="6">
        <v>27.01</v>
      </c>
    </row>
    <row r="2117" spans="1:11" x14ac:dyDescent="0.3">
      <c r="A2117" s="7">
        <v>42064</v>
      </c>
      <c r="B2117" s="4">
        <f>YEAR(SalesData[[#This Row],[Order Date]])</f>
        <v>2015</v>
      </c>
      <c r="C2117" s="4">
        <f>MONTH(SalesData[[#This Row],[Order Date]])</f>
        <v>3</v>
      </c>
      <c r="D2117" s="3" t="s">
        <v>1669</v>
      </c>
      <c r="E2117" s="3" t="s">
        <v>27</v>
      </c>
      <c r="F2117" s="3" t="s">
        <v>39</v>
      </c>
      <c r="G2117" s="3" t="s">
        <v>40</v>
      </c>
      <c r="H2117" s="3" t="s">
        <v>597</v>
      </c>
      <c r="I2117" s="6">
        <v>15.98</v>
      </c>
      <c r="J2117" s="4">
        <v>2</v>
      </c>
      <c r="K2117" s="6">
        <v>1.2</v>
      </c>
    </row>
    <row r="2118" spans="1:11" x14ac:dyDescent="0.3">
      <c r="A2118" s="7">
        <v>42064</v>
      </c>
      <c r="B2118" s="4">
        <f>YEAR(SalesData[[#This Row],[Order Date]])</f>
        <v>2015</v>
      </c>
      <c r="C2118" s="4">
        <f>MONTH(SalesData[[#This Row],[Order Date]])</f>
        <v>3</v>
      </c>
      <c r="D2118" s="3" t="s">
        <v>1669</v>
      </c>
      <c r="E2118" s="3" t="s">
        <v>27</v>
      </c>
      <c r="F2118" s="3" t="s">
        <v>34</v>
      </c>
      <c r="G2118" s="3" t="s">
        <v>35</v>
      </c>
      <c r="H2118" s="3" t="s">
        <v>699</v>
      </c>
      <c r="I2118" s="6">
        <v>184.75</v>
      </c>
      <c r="J2118" s="4">
        <v>3</v>
      </c>
      <c r="K2118" s="6">
        <v>-20.78</v>
      </c>
    </row>
    <row r="2119" spans="1:11" x14ac:dyDescent="0.3">
      <c r="A2119" s="7">
        <v>42064</v>
      </c>
      <c r="B2119" s="4">
        <f>YEAR(SalesData[[#This Row],[Order Date]])</f>
        <v>2015</v>
      </c>
      <c r="C2119" s="4">
        <f>MONTH(SalesData[[#This Row],[Order Date]])</f>
        <v>3</v>
      </c>
      <c r="D2119" s="3" t="s">
        <v>712</v>
      </c>
      <c r="E2119" s="3" t="s">
        <v>23</v>
      </c>
      <c r="F2119" s="3" t="s">
        <v>11</v>
      </c>
      <c r="G2119" s="3" t="s">
        <v>92</v>
      </c>
      <c r="H2119" s="3" t="s">
        <v>1928</v>
      </c>
      <c r="I2119" s="6">
        <v>3.55</v>
      </c>
      <c r="J2119" s="4">
        <v>2</v>
      </c>
      <c r="K2119" s="6">
        <v>0.44</v>
      </c>
    </row>
    <row r="2120" spans="1:11" x14ac:dyDescent="0.3">
      <c r="A2120" s="7">
        <v>42064</v>
      </c>
      <c r="B2120" s="4">
        <f>YEAR(SalesData[[#This Row],[Order Date]])</f>
        <v>2015</v>
      </c>
      <c r="C2120" s="4">
        <f>MONTH(SalesData[[#This Row],[Order Date]])</f>
        <v>3</v>
      </c>
      <c r="D2120" s="3" t="s">
        <v>270</v>
      </c>
      <c r="E2120" s="3" t="s">
        <v>10</v>
      </c>
      <c r="F2120" s="3" t="s">
        <v>11</v>
      </c>
      <c r="G2120" s="3" t="s">
        <v>24</v>
      </c>
      <c r="H2120" s="3" t="s">
        <v>1929</v>
      </c>
      <c r="I2120" s="6">
        <v>55.33</v>
      </c>
      <c r="J2120" s="4">
        <v>2</v>
      </c>
      <c r="K2120" s="6">
        <v>6.22</v>
      </c>
    </row>
    <row r="2121" spans="1:11" x14ac:dyDescent="0.3">
      <c r="A2121" s="7">
        <v>42064</v>
      </c>
      <c r="B2121" s="4">
        <f>YEAR(SalesData[[#This Row],[Order Date]])</f>
        <v>2015</v>
      </c>
      <c r="C2121" s="4">
        <f>MONTH(SalesData[[#This Row],[Order Date]])</f>
        <v>3</v>
      </c>
      <c r="D2121" s="3" t="s">
        <v>270</v>
      </c>
      <c r="E2121" s="3" t="s">
        <v>10</v>
      </c>
      <c r="F2121" s="3" t="s">
        <v>34</v>
      </c>
      <c r="G2121" s="3" t="s">
        <v>74</v>
      </c>
      <c r="H2121" s="3" t="s">
        <v>1930</v>
      </c>
      <c r="I2121" s="6">
        <v>1228</v>
      </c>
      <c r="J2121" s="4">
        <v>6</v>
      </c>
      <c r="K2121" s="6">
        <v>-36.119999999999997</v>
      </c>
    </row>
    <row r="2122" spans="1:11" x14ac:dyDescent="0.3">
      <c r="A2122" s="7">
        <v>42064</v>
      </c>
      <c r="B2122" s="4">
        <f>YEAR(SalesData[[#This Row],[Order Date]])</f>
        <v>2015</v>
      </c>
      <c r="C2122" s="4">
        <f>MONTH(SalesData[[#This Row],[Order Date]])</f>
        <v>3</v>
      </c>
      <c r="D2122" s="3" t="s">
        <v>1931</v>
      </c>
      <c r="E2122" s="3" t="s">
        <v>10</v>
      </c>
      <c r="F2122" s="3" t="s">
        <v>39</v>
      </c>
      <c r="G2122" s="3" t="s">
        <v>40</v>
      </c>
      <c r="H2122" s="3" t="s">
        <v>1932</v>
      </c>
      <c r="I2122" s="6">
        <v>95.84</v>
      </c>
      <c r="J2122" s="4">
        <v>4</v>
      </c>
      <c r="K2122" s="6">
        <v>34.74</v>
      </c>
    </row>
    <row r="2123" spans="1:11" x14ac:dyDescent="0.3">
      <c r="A2123" s="7">
        <v>42065</v>
      </c>
      <c r="B2123" s="4">
        <f>YEAR(SalesData[[#This Row],[Order Date]])</f>
        <v>2015</v>
      </c>
      <c r="C2123" s="4">
        <f>MONTH(SalesData[[#This Row],[Order Date]])</f>
        <v>3</v>
      </c>
      <c r="D2123" s="3" t="s">
        <v>1933</v>
      </c>
      <c r="E2123" s="3" t="s">
        <v>164</v>
      </c>
      <c r="F2123" s="3" t="s">
        <v>34</v>
      </c>
      <c r="G2123" s="3" t="s">
        <v>145</v>
      </c>
      <c r="H2123" s="3" t="s">
        <v>1553</v>
      </c>
      <c r="I2123" s="6">
        <v>787.53</v>
      </c>
      <c r="J2123" s="4">
        <v>3</v>
      </c>
      <c r="K2123" s="6">
        <v>165.38</v>
      </c>
    </row>
    <row r="2124" spans="1:11" x14ac:dyDescent="0.3">
      <c r="A2124" s="7">
        <v>42065</v>
      </c>
      <c r="B2124" s="4">
        <f>YEAR(SalesData[[#This Row],[Order Date]])</f>
        <v>2015</v>
      </c>
      <c r="C2124" s="4">
        <f>MONTH(SalesData[[#This Row],[Order Date]])</f>
        <v>3</v>
      </c>
      <c r="D2124" s="3" t="s">
        <v>674</v>
      </c>
      <c r="E2124" s="3" t="s">
        <v>129</v>
      </c>
      <c r="F2124" s="3" t="s">
        <v>11</v>
      </c>
      <c r="G2124" s="3" t="s">
        <v>24</v>
      </c>
      <c r="H2124" s="3" t="s">
        <v>1603</v>
      </c>
      <c r="I2124" s="6">
        <v>10.16</v>
      </c>
      <c r="J2124" s="4">
        <v>1</v>
      </c>
      <c r="K2124" s="6">
        <v>2.64</v>
      </c>
    </row>
    <row r="2125" spans="1:11" x14ac:dyDescent="0.3">
      <c r="A2125" s="7">
        <v>42065</v>
      </c>
      <c r="B2125" s="4">
        <f>YEAR(SalesData[[#This Row],[Order Date]])</f>
        <v>2015</v>
      </c>
      <c r="C2125" s="4">
        <f>MONTH(SalesData[[#This Row],[Order Date]])</f>
        <v>3</v>
      </c>
      <c r="D2125" s="3" t="s">
        <v>674</v>
      </c>
      <c r="E2125" s="3" t="s">
        <v>129</v>
      </c>
      <c r="F2125" s="3" t="s">
        <v>11</v>
      </c>
      <c r="G2125" s="3" t="s">
        <v>63</v>
      </c>
      <c r="H2125" s="3" t="s">
        <v>65</v>
      </c>
      <c r="I2125" s="6">
        <v>101.88</v>
      </c>
      <c r="J2125" s="4">
        <v>6</v>
      </c>
      <c r="K2125" s="6">
        <v>50.94</v>
      </c>
    </row>
    <row r="2126" spans="1:11" x14ac:dyDescent="0.3">
      <c r="A2126" s="7">
        <v>42068</v>
      </c>
      <c r="B2126" s="4">
        <f>YEAR(SalesData[[#This Row],[Order Date]])</f>
        <v>2015</v>
      </c>
      <c r="C2126" s="4">
        <f>MONTH(SalesData[[#This Row],[Order Date]])</f>
        <v>3</v>
      </c>
      <c r="D2126" s="3" t="s">
        <v>1027</v>
      </c>
      <c r="E2126" s="3" t="s">
        <v>149</v>
      </c>
      <c r="F2126" s="3" t="s">
        <v>11</v>
      </c>
      <c r="G2126" s="3" t="s">
        <v>63</v>
      </c>
      <c r="H2126" s="3" t="s">
        <v>64</v>
      </c>
      <c r="I2126" s="6">
        <v>29.34</v>
      </c>
      <c r="J2126" s="4">
        <v>3</v>
      </c>
      <c r="K2126" s="6">
        <v>14.67</v>
      </c>
    </row>
    <row r="2127" spans="1:11" x14ac:dyDescent="0.3">
      <c r="A2127" s="7">
        <v>42068</v>
      </c>
      <c r="B2127" s="4">
        <f>YEAR(SalesData[[#This Row],[Order Date]])</f>
        <v>2015</v>
      </c>
      <c r="C2127" s="4">
        <f>MONTH(SalesData[[#This Row],[Order Date]])</f>
        <v>3</v>
      </c>
      <c r="D2127" s="3" t="s">
        <v>1027</v>
      </c>
      <c r="E2127" s="3" t="s">
        <v>149</v>
      </c>
      <c r="F2127" s="3" t="s">
        <v>34</v>
      </c>
      <c r="G2127" s="3" t="s">
        <v>35</v>
      </c>
      <c r="H2127" s="3" t="s">
        <v>187</v>
      </c>
      <c r="I2127" s="6">
        <v>383.61</v>
      </c>
      <c r="J2127" s="4">
        <v>7</v>
      </c>
      <c r="K2127" s="6">
        <v>63.93</v>
      </c>
    </row>
    <row r="2128" spans="1:11" x14ac:dyDescent="0.3">
      <c r="A2128" s="7">
        <v>42068</v>
      </c>
      <c r="B2128" s="4">
        <f>YEAR(SalesData[[#This Row],[Order Date]])</f>
        <v>2015</v>
      </c>
      <c r="C2128" s="4">
        <f>MONTH(SalesData[[#This Row],[Order Date]])</f>
        <v>3</v>
      </c>
      <c r="D2128" s="3" t="s">
        <v>1027</v>
      </c>
      <c r="E2128" s="3" t="s">
        <v>149</v>
      </c>
      <c r="F2128" s="3" t="s">
        <v>11</v>
      </c>
      <c r="G2128" s="3" t="s">
        <v>18</v>
      </c>
      <c r="H2128" s="3" t="s">
        <v>1854</v>
      </c>
      <c r="I2128" s="6">
        <v>563.4</v>
      </c>
      <c r="J2128" s="4">
        <v>4</v>
      </c>
      <c r="K2128" s="6">
        <v>67.61</v>
      </c>
    </row>
    <row r="2129" spans="1:11" x14ac:dyDescent="0.3">
      <c r="A2129" s="7">
        <v>42068</v>
      </c>
      <c r="B2129" s="4">
        <f>YEAR(SalesData[[#This Row],[Order Date]])</f>
        <v>2015</v>
      </c>
      <c r="C2129" s="4">
        <f>MONTH(SalesData[[#This Row],[Order Date]])</f>
        <v>3</v>
      </c>
      <c r="D2129" s="3" t="s">
        <v>1828</v>
      </c>
      <c r="E2129" s="3" t="s">
        <v>129</v>
      </c>
      <c r="F2129" s="3" t="s">
        <v>39</v>
      </c>
      <c r="G2129" s="3" t="s">
        <v>40</v>
      </c>
      <c r="H2129" s="3" t="s">
        <v>735</v>
      </c>
      <c r="I2129" s="6">
        <v>23.92</v>
      </c>
      <c r="J2129" s="4">
        <v>2</v>
      </c>
      <c r="K2129" s="6">
        <v>6.7</v>
      </c>
    </row>
    <row r="2130" spans="1:11" x14ac:dyDescent="0.3">
      <c r="A2130" s="7">
        <v>42068</v>
      </c>
      <c r="B2130" s="4">
        <f>YEAR(SalesData[[#This Row],[Order Date]])</f>
        <v>2015</v>
      </c>
      <c r="C2130" s="4">
        <f>MONTH(SalesData[[#This Row],[Order Date]])</f>
        <v>3</v>
      </c>
      <c r="D2130" s="3" t="s">
        <v>1828</v>
      </c>
      <c r="E2130" s="3" t="s">
        <v>129</v>
      </c>
      <c r="F2130" s="3" t="s">
        <v>11</v>
      </c>
      <c r="G2130" s="3" t="s">
        <v>92</v>
      </c>
      <c r="H2130" s="3" t="s">
        <v>658</v>
      </c>
      <c r="I2130" s="6">
        <v>60.69</v>
      </c>
      <c r="J2130" s="4">
        <v>7</v>
      </c>
      <c r="K2130" s="6">
        <v>16.39</v>
      </c>
    </row>
    <row r="2131" spans="1:11" x14ac:dyDescent="0.3">
      <c r="A2131" s="7">
        <v>42068</v>
      </c>
      <c r="B2131" s="4">
        <f>YEAR(SalesData[[#This Row],[Order Date]])</f>
        <v>2015</v>
      </c>
      <c r="C2131" s="4">
        <f>MONTH(SalesData[[#This Row],[Order Date]])</f>
        <v>3</v>
      </c>
      <c r="D2131" s="3" t="s">
        <v>1736</v>
      </c>
      <c r="E2131" s="3" t="s">
        <v>23</v>
      </c>
      <c r="F2131" s="3" t="s">
        <v>39</v>
      </c>
      <c r="G2131" s="3" t="s">
        <v>40</v>
      </c>
      <c r="H2131" s="3" t="s">
        <v>1934</v>
      </c>
      <c r="I2131" s="6">
        <v>466.16</v>
      </c>
      <c r="J2131" s="4">
        <v>7</v>
      </c>
      <c r="K2131" s="6">
        <v>-93.23</v>
      </c>
    </row>
    <row r="2132" spans="1:11" x14ac:dyDescent="0.3">
      <c r="A2132" s="7">
        <v>42068</v>
      </c>
      <c r="B2132" s="4">
        <f>YEAR(SalesData[[#This Row],[Order Date]])</f>
        <v>2015</v>
      </c>
      <c r="C2132" s="4">
        <f>MONTH(SalesData[[#This Row],[Order Date]])</f>
        <v>3</v>
      </c>
      <c r="D2132" s="3" t="s">
        <v>1736</v>
      </c>
      <c r="E2132" s="3" t="s">
        <v>23</v>
      </c>
      <c r="F2132" s="3" t="s">
        <v>39</v>
      </c>
      <c r="G2132" s="3" t="s">
        <v>52</v>
      </c>
      <c r="H2132" s="3" t="s">
        <v>1461</v>
      </c>
      <c r="I2132" s="6">
        <v>10.31</v>
      </c>
      <c r="J2132" s="4">
        <v>1</v>
      </c>
      <c r="K2132" s="6">
        <v>-1.29</v>
      </c>
    </row>
    <row r="2133" spans="1:11" x14ac:dyDescent="0.3">
      <c r="A2133" s="7">
        <v>42068</v>
      </c>
      <c r="B2133" s="4">
        <f>YEAR(SalesData[[#This Row],[Order Date]])</f>
        <v>2015</v>
      </c>
      <c r="C2133" s="4">
        <f>MONTH(SalesData[[#This Row],[Order Date]])</f>
        <v>3</v>
      </c>
      <c r="D2133" s="3" t="s">
        <v>1736</v>
      </c>
      <c r="E2133" s="3" t="s">
        <v>23</v>
      </c>
      <c r="F2133" s="3" t="s">
        <v>11</v>
      </c>
      <c r="G2133" s="3" t="s">
        <v>20</v>
      </c>
      <c r="H2133" s="3" t="s">
        <v>423</v>
      </c>
      <c r="I2133" s="6">
        <v>2.56</v>
      </c>
      <c r="J2133" s="4">
        <v>3</v>
      </c>
      <c r="K2133" s="6">
        <v>-1.79</v>
      </c>
    </row>
    <row r="2134" spans="1:11" x14ac:dyDescent="0.3">
      <c r="A2134" s="7">
        <v>42068</v>
      </c>
      <c r="B2134" s="4">
        <f>YEAR(SalesData[[#This Row],[Order Date]])</f>
        <v>2015</v>
      </c>
      <c r="C2134" s="4">
        <f>MONTH(SalesData[[#This Row],[Order Date]])</f>
        <v>3</v>
      </c>
      <c r="D2134" s="3" t="s">
        <v>1935</v>
      </c>
      <c r="E2134" s="3" t="s">
        <v>23</v>
      </c>
      <c r="F2134" s="3" t="s">
        <v>34</v>
      </c>
      <c r="G2134" s="3" t="s">
        <v>35</v>
      </c>
      <c r="H2134" s="3" t="s">
        <v>793</v>
      </c>
      <c r="I2134" s="6">
        <v>99.37</v>
      </c>
      <c r="J2134" s="4">
        <v>2</v>
      </c>
      <c r="K2134" s="6">
        <v>-7.1</v>
      </c>
    </row>
    <row r="2135" spans="1:11" x14ac:dyDescent="0.3">
      <c r="A2135" s="7">
        <v>42068</v>
      </c>
      <c r="B2135" s="4">
        <f>YEAR(SalesData[[#This Row],[Order Date]])</f>
        <v>2015</v>
      </c>
      <c r="C2135" s="4">
        <f>MONTH(SalesData[[#This Row],[Order Date]])</f>
        <v>3</v>
      </c>
      <c r="D2135" s="3" t="s">
        <v>1935</v>
      </c>
      <c r="E2135" s="3" t="s">
        <v>23</v>
      </c>
      <c r="F2135" s="3" t="s">
        <v>34</v>
      </c>
      <c r="G2135" s="3" t="s">
        <v>47</v>
      </c>
      <c r="H2135" s="3" t="s">
        <v>1936</v>
      </c>
      <c r="I2135" s="6">
        <v>33.57</v>
      </c>
      <c r="J2135" s="4">
        <v>2</v>
      </c>
      <c r="K2135" s="6">
        <v>-5.45</v>
      </c>
    </row>
    <row r="2136" spans="1:11" x14ac:dyDescent="0.3">
      <c r="A2136" s="7">
        <v>42068</v>
      </c>
      <c r="B2136" s="4">
        <f>YEAR(SalesData[[#This Row],[Order Date]])</f>
        <v>2015</v>
      </c>
      <c r="C2136" s="4">
        <f>MONTH(SalesData[[#This Row],[Order Date]])</f>
        <v>3</v>
      </c>
      <c r="D2136" s="3" t="s">
        <v>151</v>
      </c>
      <c r="E2136" s="3" t="s">
        <v>10</v>
      </c>
      <c r="F2136" s="3" t="s">
        <v>39</v>
      </c>
      <c r="G2136" s="3" t="s">
        <v>40</v>
      </c>
      <c r="H2136" s="3" t="s">
        <v>1156</v>
      </c>
      <c r="I2136" s="6">
        <v>31.92</v>
      </c>
      <c r="J2136" s="4">
        <v>2</v>
      </c>
      <c r="K2136" s="6">
        <v>2.39</v>
      </c>
    </row>
    <row r="2137" spans="1:11" x14ac:dyDescent="0.3">
      <c r="A2137" s="7">
        <v>42068</v>
      </c>
      <c r="B2137" s="4">
        <f>YEAR(SalesData[[#This Row],[Order Date]])</f>
        <v>2015</v>
      </c>
      <c r="C2137" s="4">
        <f>MONTH(SalesData[[#This Row],[Order Date]])</f>
        <v>3</v>
      </c>
      <c r="D2137" s="3" t="s">
        <v>1937</v>
      </c>
      <c r="E2137" s="3" t="s">
        <v>15</v>
      </c>
      <c r="F2137" s="3" t="s">
        <v>11</v>
      </c>
      <c r="G2137" s="3" t="s">
        <v>43</v>
      </c>
      <c r="H2137" s="3" t="s">
        <v>496</v>
      </c>
      <c r="I2137" s="6">
        <v>7.1</v>
      </c>
      <c r="J2137" s="4">
        <v>6</v>
      </c>
      <c r="K2137" s="6">
        <v>2.4900000000000002</v>
      </c>
    </row>
    <row r="2138" spans="1:11" x14ac:dyDescent="0.3">
      <c r="A2138" s="7">
        <v>42068</v>
      </c>
      <c r="B2138" s="4">
        <f>YEAR(SalesData[[#This Row],[Order Date]])</f>
        <v>2015</v>
      </c>
      <c r="C2138" s="4">
        <f>MONTH(SalesData[[#This Row],[Order Date]])</f>
        <v>3</v>
      </c>
      <c r="D2138" s="3" t="s">
        <v>1258</v>
      </c>
      <c r="E2138" s="3" t="s">
        <v>15</v>
      </c>
      <c r="F2138" s="3" t="s">
        <v>11</v>
      </c>
      <c r="G2138" s="3" t="s">
        <v>20</v>
      </c>
      <c r="H2138" s="3" t="s">
        <v>1112</v>
      </c>
      <c r="I2138" s="6">
        <v>11.21</v>
      </c>
      <c r="J2138" s="4">
        <v>2</v>
      </c>
      <c r="K2138" s="6">
        <v>-16.82</v>
      </c>
    </row>
    <row r="2139" spans="1:11" x14ac:dyDescent="0.3">
      <c r="A2139" s="7">
        <v>42068</v>
      </c>
      <c r="B2139" s="4">
        <f>YEAR(SalesData[[#This Row],[Order Date]])</f>
        <v>2015</v>
      </c>
      <c r="C2139" s="4">
        <f>MONTH(SalesData[[#This Row],[Order Date]])</f>
        <v>3</v>
      </c>
      <c r="D2139" s="3" t="s">
        <v>1258</v>
      </c>
      <c r="E2139" s="3" t="s">
        <v>15</v>
      </c>
      <c r="F2139" s="3" t="s">
        <v>34</v>
      </c>
      <c r="G2139" s="3" t="s">
        <v>47</v>
      </c>
      <c r="H2139" s="3" t="s">
        <v>281</v>
      </c>
      <c r="I2139" s="6">
        <v>4.71</v>
      </c>
      <c r="J2139" s="4">
        <v>2</v>
      </c>
      <c r="K2139" s="6">
        <v>-1.88</v>
      </c>
    </row>
    <row r="2140" spans="1:11" x14ac:dyDescent="0.3">
      <c r="A2140" s="7">
        <v>42068</v>
      </c>
      <c r="B2140" s="4">
        <f>YEAR(SalesData[[#This Row],[Order Date]])</f>
        <v>2015</v>
      </c>
      <c r="C2140" s="4">
        <f>MONTH(SalesData[[#This Row],[Order Date]])</f>
        <v>3</v>
      </c>
      <c r="D2140" s="3" t="s">
        <v>1258</v>
      </c>
      <c r="E2140" s="3" t="s">
        <v>15</v>
      </c>
      <c r="F2140" s="3" t="s">
        <v>11</v>
      </c>
      <c r="G2140" s="3" t="s">
        <v>92</v>
      </c>
      <c r="H2140" s="3" t="s">
        <v>1835</v>
      </c>
      <c r="I2140" s="6">
        <v>180.98</v>
      </c>
      <c r="J2140" s="4">
        <v>5</v>
      </c>
      <c r="K2140" s="6">
        <v>-470.55</v>
      </c>
    </row>
    <row r="2141" spans="1:11" x14ac:dyDescent="0.3">
      <c r="A2141" s="7">
        <v>42068</v>
      </c>
      <c r="B2141" s="4">
        <f>YEAR(SalesData[[#This Row],[Order Date]])</f>
        <v>2015</v>
      </c>
      <c r="C2141" s="4">
        <f>MONTH(SalesData[[#This Row],[Order Date]])</f>
        <v>3</v>
      </c>
      <c r="D2141" s="3" t="s">
        <v>1258</v>
      </c>
      <c r="E2141" s="3" t="s">
        <v>15</v>
      </c>
      <c r="F2141" s="3" t="s">
        <v>11</v>
      </c>
      <c r="G2141" s="3" t="s">
        <v>18</v>
      </c>
      <c r="H2141" s="3" t="s">
        <v>1761</v>
      </c>
      <c r="I2141" s="6">
        <v>60.42</v>
      </c>
      <c r="J2141" s="4">
        <v>2</v>
      </c>
      <c r="K2141" s="6">
        <v>6.04</v>
      </c>
    </row>
    <row r="2142" spans="1:11" x14ac:dyDescent="0.3">
      <c r="A2142" s="7">
        <v>42069</v>
      </c>
      <c r="B2142" s="4">
        <f>YEAR(SalesData[[#This Row],[Order Date]])</f>
        <v>2015</v>
      </c>
      <c r="C2142" s="4">
        <f>MONTH(SalesData[[#This Row],[Order Date]])</f>
        <v>3</v>
      </c>
      <c r="D2142" s="3" t="s">
        <v>1004</v>
      </c>
      <c r="E2142" s="3" t="s">
        <v>27</v>
      </c>
      <c r="F2142" s="3" t="s">
        <v>34</v>
      </c>
      <c r="G2142" s="3" t="s">
        <v>47</v>
      </c>
      <c r="H2142" s="3" t="s">
        <v>678</v>
      </c>
      <c r="I2142" s="6">
        <v>435.26</v>
      </c>
      <c r="J2142" s="4">
        <v>7</v>
      </c>
      <c r="K2142" s="6">
        <v>95.76</v>
      </c>
    </row>
    <row r="2143" spans="1:11" x14ac:dyDescent="0.3">
      <c r="A2143" s="7">
        <v>42069</v>
      </c>
      <c r="B2143" s="4">
        <f>YEAR(SalesData[[#This Row],[Order Date]])</f>
        <v>2015</v>
      </c>
      <c r="C2143" s="4">
        <f>MONTH(SalesData[[#This Row],[Order Date]])</f>
        <v>3</v>
      </c>
      <c r="D2143" s="3" t="s">
        <v>1004</v>
      </c>
      <c r="E2143" s="3" t="s">
        <v>27</v>
      </c>
      <c r="F2143" s="3" t="s">
        <v>39</v>
      </c>
      <c r="G2143" s="3" t="s">
        <v>603</v>
      </c>
      <c r="H2143" s="3" t="s">
        <v>1938</v>
      </c>
      <c r="I2143" s="6">
        <v>1119.98</v>
      </c>
      <c r="J2143" s="4">
        <v>2</v>
      </c>
      <c r="K2143" s="6">
        <v>377.99</v>
      </c>
    </row>
    <row r="2144" spans="1:11" x14ac:dyDescent="0.3">
      <c r="A2144" s="7">
        <v>42070</v>
      </c>
      <c r="B2144" s="4">
        <f>YEAR(SalesData[[#This Row],[Order Date]])</f>
        <v>2015</v>
      </c>
      <c r="C2144" s="4">
        <f>MONTH(SalesData[[#This Row],[Order Date]])</f>
        <v>3</v>
      </c>
      <c r="D2144" s="3" t="s">
        <v>971</v>
      </c>
      <c r="E2144" s="3" t="s">
        <v>59</v>
      </c>
      <c r="F2144" s="3" t="s">
        <v>39</v>
      </c>
      <c r="G2144" s="3" t="s">
        <v>52</v>
      </c>
      <c r="H2144" s="3" t="s">
        <v>1939</v>
      </c>
      <c r="I2144" s="6">
        <v>119.85</v>
      </c>
      <c r="J2144" s="4">
        <v>3</v>
      </c>
      <c r="K2144" s="6">
        <v>52.73</v>
      </c>
    </row>
    <row r="2145" spans="1:11" x14ac:dyDescent="0.3">
      <c r="A2145" s="7">
        <v>42070</v>
      </c>
      <c r="B2145" s="4">
        <f>YEAR(SalesData[[#This Row],[Order Date]])</f>
        <v>2015</v>
      </c>
      <c r="C2145" s="4">
        <f>MONTH(SalesData[[#This Row],[Order Date]])</f>
        <v>3</v>
      </c>
      <c r="D2145" s="3" t="s">
        <v>971</v>
      </c>
      <c r="E2145" s="3" t="s">
        <v>59</v>
      </c>
      <c r="F2145" s="3" t="s">
        <v>11</v>
      </c>
      <c r="G2145" s="3" t="s">
        <v>20</v>
      </c>
      <c r="H2145" s="3" t="s">
        <v>330</v>
      </c>
      <c r="I2145" s="6">
        <v>30.44</v>
      </c>
      <c r="J2145" s="4">
        <v>2</v>
      </c>
      <c r="K2145" s="6">
        <v>14.92</v>
      </c>
    </row>
    <row r="2146" spans="1:11" x14ac:dyDescent="0.3">
      <c r="A2146" s="7">
        <v>42070</v>
      </c>
      <c r="B2146" s="4">
        <f>YEAR(SalesData[[#This Row],[Order Date]])</f>
        <v>2015</v>
      </c>
      <c r="C2146" s="4">
        <f>MONTH(SalesData[[#This Row],[Order Date]])</f>
        <v>3</v>
      </c>
      <c r="D2146" s="3" t="s">
        <v>971</v>
      </c>
      <c r="E2146" s="3" t="s">
        <v>59</v>
      </c>
      <c r="F2146" s="3" t="s">
        <v>11</v>
      </c>
      <c r="G2146" s="3" t="s">
        <v>20</v>
      </c>
      <c r="H2146" s="3" t="s">
        <v>763</v>
      </c>
      <c r="I2146" s="6">
        <v>69.28</v>
      </c>
      <c r="J2146" s="4">
        <v>2</v>
      </c>
      <c r="K2146" s="6">
        <v>33.25</v>
      </c>
    </row>
    <row r="2147" spans="1:11" x14ac:dyDescent="0.3">
      <c r="A2147" s="7">
        <v>42070</v>
      </c>
      <c r="B2147" s="4">
        <f>YEAR(SalesData[[#This Row],[Order Date]])</f>
        <v>2015</v>
      </c>
      <c r="C2147" s="4">
        <f>MONTH(SalesData[[#This Row],[Order Date]])</f>
        <v>3</v>
      </c>
      <c r="D2147" s="3" t="s">
        <v>971</v>
      </c>
      <c r="E2147" s="3" t="s">
        <v>59</v>
      </c>
      <c r="F2147" s="3" t="s">
        <v>39</v>
      </c>
      <c r="G2147" s="3" t="s">
        <v>40</v>
      </c>
      <c r="H2147" s="3" t="s">
        <v>1940</v>
      </c>
      <c r="I2147" s="6">
        <v>587.97</v>
      </c>
      <c r="J2147" s="4">
        <v>3</v>
      </c>
      <c r="K2147" s="6">
        <v>170.51</v>
      </c>
    </row>
    <row r="2148" spans="1:11" x14ac:dyDescent="0.3">
      <c r="A2148" s="7">
        <v>42071</v>
      </c>
      <c r="B2148" s="4">
        <f>YEAR(SalesData[[#This Row],[Order Date]])</f>
        <v>2015</v>
      </c>
      <c r="C2148" s="4">
        <f>MONTH(SalesData[[#This Row],[Order Date]])</f>
        <v>3</v>
      </c>
      <c r="D2148" s="3" t="s">
        <v>1941</v>
      </c>
      <c r="E2148" s="3" t="s">
        <v>157</v>
      </c>
      <c r="F2148" s="3" t="s">
        <v>34</v>
      </c>
      <c r="G2148" s="3" t="s">
        <v>74</v>
      </c>
      <c r="H2148" s="3" t="s">
        <v>1039</v>
      </c>
      <c r="I2148" s="6">
        <v>512.94000000000005</v>
      </c>
      <c r="J2148" s="4">
        <v>3</v>
      </c>
      <c r="K2148" s="6">
        <v>97.46</v>
      </c>
    </row>
    <row r="2149" spans="1:11" x14ac:dyDescent="0.3">
      <c r="A2149" s="7">
        <v>42071</v>
      </c>
      <c r="B2149" s="4">
        <f>YEAR(SalesData[[#This Row],[Order Date]])</f>
        <v>2015</v>
      </c>
      <c r="C2149" s="4">
        <f>MONTH(SalesData[[#This Row],[Order Date]])</f>
        <v>3</v>
      </c>
      <c r="D2149" s="3" t="s">
        <v>1941</v>
      </c>
      <c r="E2149" s="3" t="s">
        <v>157</v>
      </c>
      <c r="F2149" s="3" t="s">
        <v>34</v>
      </c>
      <c r="G2149" s="3" t="s">
        <v>35</v>
      </c>
      <c r="H2149" s="3" t="s">
        <v>1942</v>
      </c>
      <c r="I2149" s="6">
        <v>860.93</v>
      </c>
      <c r="J2149" s="4">
        <v>7</v>
      </c>
      <c r="K2149" s="6">
        <v>189.4</v>
      </c>
    </row>
    <row r="2150" spans="1:11" x14ac:dyDescent="0.3">
      <c r="A2150" s="7">
        <v>42071</v>
      </c>
      <c r="B2150" s="4">
        <f>YEAR(SalesData[[#This Row],[Order Date]])</f>
        <v>2015</v>
      </c>
      <c r="C2150" s="4">
        <f>MONTH(SalesData[[#This Row],[Order Date]])</f>
        <v>3</v>
      </c>
      <c r="D2150" s="3" t="s">
        <v>1941</v>
      </c>
      <c r="E2150" s="3" t="s">
        <v>157</v>
      </c>
      <c r="F2150" s="3" t="s">
        <v>39</v>
      </c>
      <c r="G2150" s="3" t="s">
        <v>40</v>
      </c>
      <c r="H2150" s="3" t="s">
        <v>1347</v>
      </c>
      <c r="I2150" s="6">
        <v>769.95</v>
      </c>
      <c r="J2150" s="4">
        <v>5</v>
      </c>
      <c r="K2150" s="6">
        <v>223.29</v>
      </c>
    </row>
    <row r="2151" spans="1:11" x14ac:dyDescent="0.3">
      <c r="A2151" s="7">
        <v>42071</v>
      </c>
      <c r="B2151" s="4">
        <f>YEAR(SalesData[[#This Row],[Order Date]])</f>
        <v>2015</v>
      </c>
      <c r="C2151" s="4">
        <f>MONTH(SalesData[[#This Row],[Order Date]])</f>
        <v>3</v>
      </c>
      <c r="D2151" s="3" t="s">
        <v>1941</v>
      </c>
      <c r="E2151" s="3" t="s">
        <v>157</v>
      </c>
      <c r="F2151" s="3" t="s">
        <v>11</v>
      </c>
      <c r="G2151" s="3" t="s">
        <v>24</v>
      </c>
      <c r="H2151" s="3" t="s">
        <v>1943</v>
      </c>
      <c r="I2151" s="6">
        <v>14.98</v>
      </c>
      <c r="J2151" s="4">
        <v>1</v>
      </c>
      <c r="K2151" s="6">
        <v>4.49</v>
      </c>
    </row>
    <row r="2152" spans="1:11" x14ac:dyDescent="0.3">
      <c r="A2152" s="7">
        <v>42071</v>
      </c>
      <c r="B2152" s="4">
        <f>YEAR(SalesData[[#This Row],[Order Date]])</f>
        <v>2015</v>
      </c>
      <c r="C2152" s="4">
        <f>MONTH(SalesData[[#This Row],[Order Date]])</f>
        <v>3</v>
      </c>
      <c r="D2152" s="3" t="s">
        <v>1941</v>
      </c>
      <c r="E2152" s="3" t="s">
        <v>157</v>
      </c>
      <c r="F2152" s="3" t="s">
        <v>34</v>
      </c>
      <c r="G2152" s="3" t="s">
        <v>47</v>
      </c>
      <c r="H2152" s="3" t="s">
        <v>678</v>
      </c>
      <c r="I2152" s="6">
        <v>373.08</v>
      </c>
      <c r="J2152" s="4">
        <v>6</v>
      </c>
      <c r="K2152" s="6">
        <v>82.08</v>
      </c>
    </row>
    <row r="2153" spans="1:11" x14ac:dyDescent="0.3">
      <c r="A2153" s="7">
        <v>42071</v>
      </c>
      <c r="B2153" s="4">
        <f>YEAR(SalesData[[#This Row],[Order Date]])</f>
        <v>2015</v>
      </c>
      <c r="C2153" s="4">
        <f>MONTH(SalesData[[#This Row],[Order Date]])</f>
        <v>3</v>
      </c>
      <c r="D2153" s="3" t="s">
        <v>891</v>
      </c>
      <c r="E2153" s="3" t="s">
        <v>149</v>
      </c>
      <c r="F2153" s="3" t="s">
        <v>11</v>
      </c>
      <c r="G2153" s="3" t="s">
        <v>12</v>
      </c>
      <c r="H2153" s="3" t="s">
        <v>1944</v>
      </c>
      <c r="I2153" s="6">
        <v>19.440000000000001</v>
      </c>
      <c r="J2153" s="4">
        <v>3</v>
      </c>
      <c r="K2153" s="6">
        <v>9.33</v>
      </c>
    </row>
    <row r="2154" spans="1:11" x14ac:dyDescent="0.3">
      <c r="A2154" s="7">
        <v>42071</v>
      </c>
      <c r="B2154" s="4">
        <f>YEAR(SalesData[[#This Row],[Order Date]])</f>
        <v>2015</v>
      </c>
      <c r="C2154" s="4">
        <f>MONTH(SalesData[[#This Row],[Order Date]])</f>
        <v>3</v>
      </c>
      <c r="D2154" s="3" t="s">
        <v>1446</v>
      </c>
      <c r="E2154" s="3" t="s">
        <v>278</v>
      </c>
      <c r="F2154" s="3" t="s">
        <v>11</v>
      </c>
      <c r="G2154" s="3" t="s">
        <v>24</v>
      </c>
      <c r="H2154" s="3" t="s">
        <v>31</v>
      </c>
      <c r="I2154" s="6">
        <v>3.41</v>
      </c>
      <c r="J2154" s="4">
        <v>1</v>
      </c>
      <c r="K2154" s="6">
        <v>0.89</v>
      </c>
    </row>
    <row r="2155" spans="1:11" x14ac:dyDescent="0.3">
      <c r="A2155" s="7">
        <v>42071</v>
      </c>
      <c r="B2155" s="4">
        <f>YEAR(SalesData[[#This Row],[Order Date]])</f>
        <v>2015</v>
      </c>
      <c r="C2155" s="4">
        <f>MONTH(SalesData[[#This Row],[Order Date]])</f>
        <v>3</v>
      </c>
      <c r="D2155" s="3" t="s">
        <v>809</v>
      </c>
      <c r="E2155" s="3" t="s">
        <v>15</v>
      </c>
      <c r="F2155" s="3" t="s">
        <v>11</v>
      </c>
      <c r="G2155" s="3" t="s">
        <v>20</v>
      </c>
      <c r="H2155" s="3" t="s">
        <v>819</v>
      </c>
      <c r="I2155" s="6">
        <v>8.57</v>
      </c>
      <c r="J2155" s="4">
        <v>3</v>
      </c>
      <c r="K2155" s="6">
        <v>-14.57</v>
      </c>
    </row>
    <row r="2156" spans="1:11" x14ac:dyDescent="0.3">
      <c r="A2156" s="7">
        <v>42072</v>
      </c>
      <c r="B2156" s="4">
        <f>YEAR(SalesData[[#This Row],[Order Date]])</f>
        <v>2015</v>
      </c>
      <c r="C2156" s="4">
        <f>MONTH(SalesData[[#This Row],[Order Date]])</f>
        <v>3</v>
      </c>
      <c r="D2156" s="3" t="s">
        <v>873</v>
      </c>
      <c r="E2156" s="3" t="s">
        <v>10</v>
      </c>
      <c r="F2156" s="3" t="s">
        <v>39</v>
      </c>
      <c r="G2156" s="3" t="s">
        <v>52</v>
      </c>
      <c r="H2156" s="3" t="s">
        <v>1063</v>
      </c>
      <c r="I2156" s="6">
        <v>113.52</v>
      </c>
      <c r="J2156" s="4">
        <v>5</v>
      </c>
      <c r="K2156" s="6">
        <v>29.8</v>
      </c>
    </row>
    <row r="2157" spans="1:11" x14ac:dyDescent="0.3">
      <c r="A2157" s="7">
        <v>42072</v>
      </c>
      <c r="B2157" s="4">
        <f>YEAR(SalesData[[#This Row],[Order Date]])</f>
        <v>2015</v>
      </c>
      <c r="C2157" s="4">
        <f>MONTH(SalesData[[#This Row],[Order Date]])</f>
        <v>3</v>
      </c>
      <c r="D2157" s="3" t="s">
        <v>873</v>
      </c>
      <c r="E2157" s="3" t="s">
        <v>10</v>
      </c>
      <c r="F2157" s="3" t="s">
        <v>39</v>
      </c>
      <c r="G2157" s="3" t="s">
        <v>40</v>
      </c>
      <c r="H2157" s="3" t="s">
        <v>1750</v>
      </c>
      <c r="I2157" s="6">
        <v>359.88</v>
      </c>
      <c r="J2157" s="4">
        <v>3</v>
      </c>
      <c r="K2157" s="6">
        <v>22.49</v>
      </c>
    </row>
    <row r="2158" spans="1:11" x14ac:dyDescent="0.3">
      <c r="A2158" s="7">
        <v>42072</v>
      </c>
      <c r="B2158" s="4">
        <f>YEAR(SalesData[[#This Row],[Order Date]])</f>
        <v>2015</v>
      </c>
      <c r="C2158" s="4">
        <f>MONTH(SalesData[[#This Row],[Order Date]])</f>
        <v>3</v>
      </c>
      <c r="D2158" s="3" t="s">
        <v>1945</v>
      </c>
      <c r="E2158" s="3" t="s">
        <v>245</v>
      </c>
      <c r="F2158" s="3" t="s">
        <v>11</v>
      </c>
      <c r="G2158" s="3" t="s">
        <v>16</v>
      </c>
      <c r="H2158" s="3" t="s">
        <v>932</v>
      </c>
      <c r="I2158" s="6">
        <v>4.6100000000000003</v>
      </c>
      <c r="J2158" s="4">
        <v>2</v>
      </c>
      <c r="K2158" s="6">
        <v>1.67</v>
      </c>
    </row>
    <row r="2159" spans="1:11" x14ac:dyDescent="0.3">
      <c r="A2159" s="7">
        <v>42073</v>
      </c>
      <c r="B2159" s="4">
        <f>YEAR(SalesData[[#This Row],[Order Date]])</f>
        <v>2015</v>
      </c>
      <c r="C2159" s="4">
        <f>MONTH(SalesData[[#This Row],[Order Date]])</f>
        <v>3</v>
      </c>
      <c r="D2159" s="3" t="s">
        <v>94</v>
      </c>
      <c r="E2159" s="3" t="s">
        <v>10</v>
      </c>
      <c r="F2159" s="3" t="s">
        <v>11</v>
      </c>
      <c r="G2159" s="3" t="s">
        <v>20</v>
      </c>
      <c r="H2159" s="3" t="s">
        <v>1291</v>
      </c>
      <c r="I2159" s="6">
        <v>1.1100000000000001</v>
      </c>
      <c r="J2159" s="4">
        <v>2</v>
      </c>
      <c r="K2159" s="6">
        <v>-1.89</v>
      </c>
    </row>
    <row r="2160" spans="1:11" x14ac:dyDescent="0.3">
      <c r="A2160" s="7">
        <v>42073</v>
      </c>
      <c r="B2160" s="4">
        <f>YEAR(SalesData[[#This Row],[Order Date]])</f>
        <v>2015</v>
      </c>
      <c r="C2160" s="4">
        <f>MONTH(SalesData[[#This Row],[Order Date]])</f>
        <v>3</v>
      </c>
      <c r="D2160" s="3" t="s">
        <v>452</v>
      </c>
      <c r="E2160" s="3" t="s">
        <v>531</v>
      </c>
      <c r="F2160" s="3" t="s">
        <v>11</v>
      </c>
      <c r="G2160" s="3" t="s">
        <v>18</v>
      </c>
      <c r="H2160" s="3" t="s">
        <v>1245</v>
      </c>
      <c r="I2160" s="6">
        <v>89.82</v>
      </c>
      <c r="J2160" s="4">
        <v>6</v>
      </c>
      <c r="K2160" s="6">
        <v>25.15</v>
      </c>
    </row>
    <row r="2161" spans="1:11" x14ac:dyDescent="0.3">
      <c r="A2161" s="7">
        <v>42075</v>
      </c>
      <c r="B2161" s="4">
        <f>YEAR(SalesData[[#This Row],[Order Date]])</f>
        <v>2015</v>
      </c>
      <c r="C2161" s="4">
        <f>MONTH(SalesData[[#This Row],[Order Date]])</f>
        <v>3</v>
      </c>
      <c r="D2161" s="3" t="s">
        <v>1946</v>
      </c>
      <c r="E2161" s="3" t="s">
        <v>123</v>
      </c>
      <c r="F2161" s="3" t="s">
        <v>11</v>
      </c>
      <c r="G2161" s="3" t="s">
        <v>63</v>
      </c>
      <c r="H2161" s="3" t="s">
        <v>1427</v>
      </c>
      <c r="I2161" s="6">
        <v>8.69</v>
      </c>
      <c r="J2161" s="4">
        <v>3</v>
      </c>
      <c r="K2161" s="6">
        <v>2.93</v>
      </c>
    </row>
    <row r="2162" spans="1:11" x14ac:dyDescent="0.3">
      <c r="A2162" s="7">
        <v>42075</v>
      </c>
      <c r="B2162" s="4">
        <f>YEAR(SalesData[[#This Row],[Order Date]])</f>
        <v>2015</v>
      </c>
      <c r="C2162" s="4">
        <f>MONTH(SalesData[[#This Row],[Order Date]])</f>
        <v>3</v>
      </c>
      <c r="D2162" s="3" t="s">
        <v>1946</v>
      </c>
      <c r="E2162" s="3" t="s">
        <v>123</v>
      </c>
      <c r="F2162" s="3" t="s">
        <v>34</v>
      </c>
      <c r="G2162" s="3" t="s">
        <v>47</v>
      </c>
      <c r="H2162" s="3" t="s">
        <v>104</v>
      </c>
      <c r="I2162" s="6">
        <v>30.88</v>
      </c>
      <c r="J2162" s="4">
        <v>4</v>
      </c>
      <c r="K2162" s="6">
        <v>3.86</v>
      </c>
    </row>
    <row r="2163" spans="1:11" x14ac:dyDescent="0.3">
      <c r="A2163" s="7">
        <v>42075</v>
      </c>
      <c r="B2163" s="4">
        <f>YEAR(SalesData[[#This Row],[Order Date]])</f>
        <v>2015</v>
      </c>
      <c r="C2163" s="4">
        <f>MONTH(SalesData[[#This Row],[Order Date]])</f>
        <v>3</v>
      </c>
      <c r="D2163" s="3" t="s">
        <v>1946</v>
      </c>
      <c r="E2163" s="3" t="s">
        <v>123</v>
      </c>
      <c r="F2163" s="3" t="s">
        <v>34</v>
      </c>
      <c r="G2163" s="3" t="s">
        <v>47</v>
      </c>
      <c r="H2163" s="3" t="s">
        <v>872</v>
      </c>
      <c r="I2163" s="6">
        <v>6.41</v>
      </c>
      <c r="J2163" s="4">
        <v>3</v>
      </c>
      <c r="K2163" s="6">
        <v>1.44</v>
      </c>
    </row>
    <row r="2164" spans="1:11" x14ac:dyDescent="0.3">
      <c r="A2164" s="7">
        <v>42075</v>
      </c>
      <c r="B2164" s="4">
        <f>YEAR(SalesData[[#This Row],[Order Date]])</f>
        <v>2015</v>
      </c>
      <c r="C2164" s="4">
        <f>MONTH(SalesData[[#This Row],[Order Date]])</f>
        <v>3</v>
      </c>
      <c r="D2164" s="3" t="s">
        <v>1408</v>
      </c>
      <c r="E2164" s="3" t="s">
        <v>245</v>
      </c>
      <c r="F2164" s="3" t="s">
        <v>11</v>
      </c>
      <c r="G2164" s="3" t="s">
        <v>16</v>
      </c>
      <c r="H2164" s="3" t="s">
        <v>447</v>
      </c>
      <c r="I2164" s="6">
        <v>5.04</v>
      </c>
      <c r="J2164" s="4">
        <v>2</v>
      </c>
      <c r="K2164" s="6">
        <v>1.76</v>
      </c>
    </row>
    <row r="2165" spans="1:11" x14ac:dyDescent="0.3">
      <c r="A2165" s="7">
        <v>42076</v>
      </c>
      <c r="B2165" s="4">
        <f>YEAR(SalesData[[#This Row],[Order Date]])</f>
        <v>2015</v>
      </c>
      <c r="C2165" s="4">
        <f>MONTH(SalesData[[#This Row],[Order Date]])</f>
        <v>3</v>
      </c>
      <c r="D2165" s="3" t="s">
        <v>1251</v>
      </c>
      <c r="E2165" s="3" t="s">
        <v>164</v>
      </c>
      <c r="F2165" s="3" t="s">
        <v>34</v>
      </c>
      <c r="G2165" s="3" t="s">
        <v>74</v>
      </c>
      <c r="H2165" s="3" t="s">
        <v>142</v>
      </c>
      <c r="I2165" s="6">
        <v>141.96</v>
      </c>
      <c r="J2165" s="4">
        <v>2</v>
      </c>
      <c r="K2165" s="6">
        <v>39.75</v>
      </c>
    </row>
    <row r="2166" spans="1:11" x14ac:dyDescent="0.3">
      <c r="A2166" s="7">
        <v>42076</v>
      </c>
      <c r="B2166" s="4">
        <f>YEAR(SalesData[[#This Row],[Order Date]])</f>
        <v>2015</v>
      </c>
      <c r="C2166" s="4">
        <f>MONTH(SalesData[[#This Row],[Order Date]])</f>
        <v>3</v>
      </c>
      <c r="D2166" s="3" t="s">
        <v>545</v>
      </c>
      <c r="E2166" s="3" t="s">
        <v>27</v>
      </c>
      <c r="F2166" s="3" t="s">
        <v>34</v>
      </c>
      <c r="G2166" s="3" t="s">
        <v>35</v>
      </c>
      <c r="H2166" s="3" t="s">
        <v>36</v>
      </c>
      <c r="I2166" s="6">
        <v>915.14</v>
      </c>
      <c r="J2166" s="4">
        <v>4</v>
      </c>
      <c r="K2166" s="6">
        <v>102.95</v>
      </c>
    </row>
    <row r="2167" spans="1:11" x14ac:dyDescent="0.3">
      <c r="A2167" s="7">
        <v>42076</v>
      </c>
      <c r="B2167" s="4">
        <f>YEAR(SalesData[[#This Row],[Order Date]])</f>
        <v>2015</v>
      </c>
      <c r="C2167" s="4">
        <f>MONTH(SalesData[[#This Row],[Order Date]])</f>
        <v>3</v>
      </c>
      <c r="D2167" s="3" t="s">
        <v>545</v>
      </c>
      <c r="E2167" s="3" t="s">
        <v>27</v>
      </c>
      <c r="F2167" s="3" t="s">
        <v>34</v>
      </c>
      <c r="G2167" s="3" t="s">
        <v>47</v>
      </c>
      <c r="H2167" s="3" t="s">
        <v>1083</v>
      </c>
      <c r="I2167" s="6">
        <v>327.76</v>
      </c>
      <c r="J2167" s="4">
        <v>8</v>
      </c>
      <c r="K2167" s="6">
        <v>91.77</v>
      </c>
    </row>
    <row r="2168" spans="1:11" x14ac:dyDescent="0.3">
      <c r="A2168" s="7">
        <v>42077</v>
      </c>
      <c r="B2168" s="4">
        <f>YEAR(SalesData[[#This Row],[Order Date]])</f>
        <v>2015</v>
      </c>
      <c r="C2168" s="4">
        <f>MONTH(SalesData[[#This Row],[Order Date]])</f>
        <v>3</v>
      </c>
      <c r="D2168" s="3" t="s">
        <v>915</v>
      </c>
      <c r="E2168" s="3" t="s">
        <v>685</v>
      </c>
      <c r="F2168" s="3" t="s">
        <v>11</v>
      </c>
      <c r="G2168" s="3" t="s">
        <v>16</v>
      </c>
      <c r="H2168" s="3" t="s">
        <v>377</v>
      </c>
      <c r="I2168" s="6">
        <v>16.52</v>
      </c>
      <c r="J2168" s="4">
        <v>4</v>
      </c>
      <c r="K2168" s="6">
        <v>7.6</v>
      </c>
    </row>
    <row r="2169" spans="1:11" x14ac:dyDescent="0.3">
      <c r="A2169" s="7">
        <v>42077</v>
      </c>
      <c r="B2169" s="4">
        <f>YEAR(SalesData[[#This Row],[Order Date]])</f>
        <v>2015</v>
      </c>
      <c r="C2169" s="4">
        <f>MONTH(SalesData[[#This Row],[Order Date]])</f>
        <v>3</v>
      </c>
      <c r="D2169" s="3" t="s">
        <v>915</v>
      </c>
      <c r="E2169" s="3" t="s">
        <v>685</v>
      </c>
      <c r="F2169" s="3" t="s">
        <v>11</v>
      </c>
      <c r="G2169" s="3" t="s">
        <v>20</v>
      </c>
      <c r="H2169" s="3" t="s">
        <v>121</v>
      </c>
      <c r="I2169" s="6">
        <v>671.94</v>
      </c>
      <c r="J2169" s="4">
        <v>3</v>
      </c>
      <c r="K2169" s="6">
        <v>315.81</v>
      </c>
    </row>
    <row r="2170" spans="1:11" x14ac:dyDescent="0.3">
      <c r="A2170" s="7">
        <v>42077</v>
      </c>
      <c r="B2170" s="4">
        <f>YEAR(SalesData[[#This Row],[Order Date]])</f>
        <v>2015</v>
      </c>
      <c r="C2170" s="4">
        <f>MONTH(SalesData[[#This Row],[Order Date]])</f>
        <v>3</v>
      </c>
      <c r="D2170" s="3" t="s">
        <v>587</v>
      </c>
      <c r="E2170" s="3" t="s">
        <v>27</v>
      </c>
      <c r="F2170" s="3" t="s">
        <v>11</v>
      </c>
      <c r="G2170" s="3" t="s">
        <v>12</v>
      </c>
      <c r="H2170" s="3" t="s">
        <v>1398</v>
      </c>
      <c r="I2170" s="6">
        <v>19.440000000000001</v>
      </c>
      <c r="J2170" s="4">
        <v>3</v>
      </c>
      <c r="K2170" s="6">
        <v>9.33</v>
      </c>
    </row>
    <row r="2171" spans="1:11" x14ac:dyDescent="0.3">
      <c r="A2171" s="7">
        <v>42078</v>
      </c>
      <c r="B2171" s="4">
        <f>YEAR(SalesData[[#This Row],[Order Date]])</f>
        <v>2015</v>
      </c>
      <c r="C2171" s="4">
        <f>MONTH(SalesData[[#This Row],[Order Date]])</f>
        <v>3</v>
      </c>
      <c r="D2171" s="3" t="s">
        <v>1898</v>
      </c>
      <c r="E2171" s="3" t="s">
        <v>296</v>
      </c>
      <c r="F2171" s="3" t="s">
        <v>39</v>
      </c>
      <c r="G2171" s="3" t="s">
        <v>40</v>
      </c>
      <c r="H2171" s="3" t="s">
        <v>1947</v>
      </c>
      <c r="I2171" s="6">
        <v>16.78</v>
      </c>
      <c r="J2171" s="4">
        <v>3</v>
      </c>
      <c r="K2171" s="6">
        <v>1.68</v>
      </c>
    </row>
    <row r="2172" spans="1:11" x14ac:dyDescent="0.3">
      <c r="A2172" s="7">
        <v>42079</v>
      </c>
      <c r="B2172" s="4">
        <f>YEAR(SalesData[[#This Row],[Order Date]])</f>
        <v>2015</v>
      </c>
      <c r="C2172" s="4">
        <f>MONTH(SalesData[[#This Row],[Order Date]])</f>
        <v>3</v>
      </c>
      <c r="D2172" s="3" t="s">
        <v>1948</v>
      </c>
      <c r="E2172" s="3" t="s">
        <v>30</v>
      </c>
      <c r="F2172" s="3" t="s">
        <v>11</v>
      </c>
      <c r="G2172" s="3" t="s">
        <v>24</v>
      </c>
      <c r="H2172" s="3" t="s">
        <v>38</v>
      </c>
      <c r="I2172" s="6">
        <v>2.74</v>
      </c>
      <c r="J2172" s="4">
        <v>1</v>
      </c>
      <c r="K2172" s="6">
        <v>0.74</v>
      </c>
    </row>
    <row r="2173" spans="1:11" x14ac:dyDescent="0.3">
      <c r="A2173" s="7">
        <v>42079</v>
      </c>
      <c r="B2173" s="4">
        <f>YEAR(SalesData[[#This Row],[Order Date]])</f>
        <v>2015</v>
      </c>
      <c r="C2173" s="4">
        <f>MONTH(SalesData[[#This Row],[Order Date]])</f>
        <v>3</v>
      </c>
      <c r="D2173" s="3" t="s">
        <v>1948</v>
      </c>
      <c r="E2173" s="3" t="s">
        <v>30</v>
      </c>
      <c r="F2173" s="3" t="s">
        <v>11</v>
      </c>
      <c r="G2173" s="3" t="s">
        <v>24</v>
      </c>
      <c r="H2173" s="3" t="s">
        <v>1949</v>
      </c>
      <c r="I2173" s="6">
        <v>8.34</v>
      </c>
      <c r="J2173" s="4">
        <v>3</v>
      </c>
      <c r="K2173" s="6">
        <v>2.17</v>
      </c>
    </row>
    <row r="2174" spans="1:11" x14ac:dyDescent="0.3">
      <c r="A2174" s="7">
        <v>42079</v>
      </c>
      <c r="B2174" s="4">
        <f>YEAR(SalesData[[#This Row],[Order Date]])</f>
        <v>2015</v>
      </c>
      <c r="C2174" s="4">
        <f>MONTH(SalesData[[#This Row],[Order Date]])</f>
        <v>3</v>
      </c>
      <c r="D2174" s="3" t="s">
        <v>1948</v>
      </c>
      <c r="E2174" s="3" t="s">
        <v>30</v>
      </c>
      <c r="F2174" s="3" t="s">
        <v>11</v>
      </c>
      <c r="G2174" s="3" t="s">
        <v>18</v>
      </c>
      <c r="H2174" s="3" t="s">
        <v>1950</v>
      </c>
      <c r="I2174" s="6">
        <v>46.74</v>
      </c>
      <c r="J2174" s="4">
        <v>3</v>
      </c>
      <c r="K2174" s="6">
        <v>11.69</v>
      </c>
    </row>
    <row r="2175" spans="1:11" x14ac:dyDescent="0.3">
      <c r="A2175" s="7">
        <v>42079</v>
      </c>
      <c r="B2175" s="4">
        <f>YEAR(SalesData[[#This Row],[Order Date]])</f>
        <v>2015</v>
      </c>
      <c r="C2175" s="4">
        <f>MONTH(SalesData[[#This Row],[Order Date]])</f>
        <v>3</v>
      </c>
      <c r="D2175" s="3" t="s">
        <v>1948</v>
      </c>
      <c r="E2175" s="3" t="s">
        <v>30</v>
      </c>
      <c r="F2175" s="3" t="s">
        <v>11</v>
      </c>
      <c r="G2175" s="3" t="s">
        <v>20</v>
      </c>
      <c r="H2175" s="3" t="s">
        <v>1606</v>
      </c>
      <c r="I2175" s="6">
        <v>6354.95</v>
      </c>
      <c r="J2175" s="4">
        <v>5</v>
      </c>
      <c r="K2175" s="6">
        <v>3177.48</v>
      </c>
    </row>
    <row r="2176" spans="1:11" x14ac:dyDescent="0.3">
      <c r="A2176" s="7">
        <v>42079</v>
      </c>
      <c r="B2176" s="4">
        <f>YEAR(SalesData[[#This Row],[Order Date]])</f>
        <v>2015</v>
      </c>
      <c r="C2176" s="4">
        <f>MONTH(SalesData[[#This Row],[Order Date]])</f>
        <v>3</v>
      </c>
      <c r="D2176" s="3" t="s">
        <v>1951</v>
      </c>
      <c r="E2176" s="3" t="s">
        <v>164</v>
      </c>
      <c r="F2176" s="3" t="s">
        <v>34</v>
      </c>
      <c r="G2176" s="3" t="s">
        <v>145</v>
      </c>
      <c r="H2176" s="3" t="s">
        <v>473</v>
      </c>
      <c r="I2176" s="6">
        <v>171.96</v>
      </c>
      <c r="J2176" s="4">
        <v>2</v>
      </c>
      <c r="K2176" s="6">
        <v>44.71</v>
      </c>
    </row>
    <row r="2177" spans="1:11" x14ac:dyDescent="0.3">
      <c r="A2177" s="7">
        <v>42079</v>
      </c>
      <c r="B2177" s="4">
        <f>YEAR(SalesData[[#This Row],[Order Date]])</f>
        <v>2015</v>
      </c>
      <c r="C2177" s="4">
        <f>MONTH(SalesData[[#This Row],[Order Date]])</f>
        <v>3</v>
      </c>
      <c r="D2177" s="3" t="s">
        <v>1310</v>
      </c>
      <c r="E2177" s="3" t="s">
        <v>27</v>
      </c>
      <c r="F2177" s="3" t="s">
        <v>34</v>
      </c>
      <c r="G2177" s="3" t="s">
        <v>47</v>
      </c>
      <c r="H2177" s="3" t="s">
        <v>1952</v>
      </c>
      <c r="I2177" s="6">
        <v>43.13</v>
      </c>
      <c r="J2177" s="4">
        <v>1</v>
      </c>
      <c r="K2177" s="6">
        <v>18.11</v>
      </c>
    </row>
    <row r="2178" spans="1:11" x14ac:dyDescent="0.3">
      <c r="A2178" s="7">
        <v>42079</v>
      </c>
      <c r="B2178" s="4">
        <f>YEAR(SalesData[[#This Row],[Order Date]])</f>
        <v>2015</v>
      </c>
      <c r="C2178" s="4">
        <f>MONTH(SalesData[[#This Row],[Order Date]])</f>
        <v>3</v>
      </c>
      <c r="D2178" s="3" t="s">
        <v>892</v>
      </c>
      <c r="E2178" s="3" t="s">
        <v>149</v>
      </c>
      <c r="F2178" s="3" t="s">
        <v>39</v>
      </c>
      <c r="G2178" s="3" t="s">
        <v>40</v>
      </c>
      <c r="H2178" s="3" t="s">
        <v>1953</v>
      </c>
      <c r="I2178" s="6">
        <v>85.9</v>
      </c>
      <c r="J2178" s="4">
        <v>2</v>
      </c>
      <c r="K2178" s="6">
        <v>2.58</v>
      </c>
    </row>
    <row r="2179" spans="1:11" x14ac:dyDescent="0.3">
      <c r="A2179" s="7">
        <v>42079</v>
      </c>
      <c r="B2179" s="4">
        <f>YEAR(SalesData[[#This Row],[Order Date]])</f>
        <v>2015</v>
      </c>
      <c r="C2179" s="4">
        <f>MONTH(SalesData[[#This Row],[Order Date]])</f>
        <v>3</v>
      </c>
      <c r="D2179" s="3" t="s">
        <v>380</v>
      </c>
      <c r="E2179" s="3" t="s">
        <v>488</v>
      </c>
      <c r="F2179" s="3" t="s">
        <v>11</v>
      </c>
      <c r="G2179" s="3" t="s">
        <v>16</v>
      </c>
      <c r="H2179" s="3" t="s">
        <v>814</v>
      </c>
      <c r="I2179" s="6">
        <v>491.55</v>
      </c>
      <c r="J2179" s="4">
        <v>5</v>
      </c>
      <c r="K2179" s="6">
        <v>240.86</v>
      </c>
    </row>
    <row r="2180" spans="1:11" x14ac:dyDescent="0.3">
      <c r="A2180" s="7">
        <v>42079</v>
      </c>
      <c r="B2180" s="4">
        <f>YEAR(SalesData[[#This Row],[Order Date]])</f>
        <v>2015</v>
      </c>
      <c r="C2180" s="4">
        <f>MONTH(SalesData[[#This Row],[Order Date]])</f>
        <v>3</v>
      </c>
      <c r="D2180" s="3" t="s">
        <v>380</v>
      </c>
      <c r="E2180" s="3" t="s">
        <v>488</v>
      </c>
      <c r="F2180" s="3" t="s">
        <v>11</v>
      </c>
      <c r="G2180" s="3" t="s">
        <v>63</v>
      </c>
      <c r="H2180" s="3" t="s">
        <v>1299</v>
      </c>
      <c r="I2180" s="6">
        <v>7.38</v>
      </c>
      <c r="J2180" s="4">
        <v>2</v>
      </c>
      <c r="K2180" s="6">
        <v>3.39</v>
      </c>
    </row>
    <row r="2181" spans="1:11" x14ac:dyDescent="0.3">
      <c r="A2181" s="7">
        <v>42079</v>
      </c>
      <c r="B2181" s="4">
        <f>YEAR(SalesData[[#This Row],[Order Date]])</f>
        <v>2015</v>
      </c>
      <c r="C2181" s="4">
        <f>MONTH(SalesData[[#This Row],[Order Date]])</f>
        <v>3</v>
      </c>
      <c r="D2181" s="3" t="s">
        <v>1332</v>
      </c>
      <c r="E2181" s="3" t="s">
        <v>149</v>
      </c>
      <c r="F2181" s="3" t="s">
        <v>11</v>
      </c>
      <c r="G2181" s="3" t="s">
        <v>24</v>
      </c>
      <c r="H2181" s="3" t="s">
        <v>1954</v>
      </c>
      <c r="I2181" s="6">
        <v>17.52</v>
      </c>
      <c r="J2181" s="4">
        <v>3</v>
      </c>
      <c r="K2181" s="6">
        <v>6.31</v>
      </c>
    </row>
    <row r="2182" spans="1:11" x14ac:dyDescent="0.3">
      <c r="A2182" s="7">
        <v>42080</v>
      </c>
      <c r="B2182" s="4">
        <f>YEAR(SalesData[[#This Row],[Order Date]])</f>
        <v>2015</v>
      </c>
      <c r="C2182" s="4">
        <f>MONTH(SalesData[[#This Row],[Order Date]])</f>
        <v>3</v>
      </c>
      <c r="D2182" s="3" t="s">
        <v>1688</v>
      </c>
      <c r="E2182" s="3" t="s">
        <v>149</v>
      </c>
      <c r="F2182" s="3" t="s">
        <v>39</v>
      </c>
      <c r="G2182" s="3" t="s">
        <v>52</v>
      </c>
      <c r="H2182" s="3" t="s">
        <v>1955</v>
      </c>
      <c r="I2182" s="6">
        <v>15.02</v>
      </c>
      <c r="J2182" s="4">
        <v>1</v>
      </c>
      <c r="K2182" s="6">
        <v>2.7</v>
      </c>
    </row>
    <row r="2183" spans="1:11" x14ac:dyDescent="0.3">
      <c r="A2183" s="7">
        <v>42080</v>
      </c>
      <c r="B2183" s="4">
        <f>YEAR(SalesData[[#This Row],[Order Date]])</f>
        <v>2015</v>
      </c>
      <c r="C2183" s="4">
        <f>MONTH(SalesData[[#This Row],[Order Date]])</f>
        <v>3</v>
      </c>
      <c r="D2183" s="3" t="s">
        <v>1688</v>
      </c>
      <c r="E2183" s="3" t="s">
        <v>149</v>
      </c>
      <c r="F2183" s="3" t="s">
        <v>11</v>
      </c>
      <c r="G2183" s="3" t="s">
        <v>18</v>
      </c>
      <c r="H2183" s="3" t="s">
        <v>1956</v>
      </c>
      <c r="I2183" s="6">
        <v>33.82</v>
      </c>
      <c r="J2183" s="4">
        <v>2</v>
      </c>
      <c r="K2183" s="6">
        <v>9.1300000000000008</v>
      </c>
    </row>
    <row r="2184" spans="1:11" x14ac:dyDescent="0.3">
      <c r="A2184" s="7">
        <v>42082</v>
      </c>
      <c r="B2184" s="4">
        <f>YEAR(SalesData[[#This Row],[Order Date]])</f>
        <v>2015</v>
      </c>
      <c r="C2184" s="4">
        <f>MONTH(SalesData[[#This Row],[Order Date]])</f>
        <v>3</v>
      </c>
      <c r="D2184" s="3" t="s">
        <v>1957</v>
      </c>
      <c r="E2184" s="3" t="s">
        <v>164</v>
      </c>
      <c r="F2184" s="3" t="s">
        <v>39</v>
      </c>
      <c r="G2184" s="3" t="s">
        <v>40</v>
      </c>
      <c r="H2184" s="3" t="s">
        <v>42</v>
      </c>
      <c r="I2184" s="6">
        <v>453.58</v>
      </c>
      <c r="J2184" s="4">
        <v>3</v>
      </c>
      <c r="K2184" s="6">
        <v>39.69</v>
      </c>
    </row>
    <row r="2185" spans="1:11" x14ac:dyDescent="0.3">
      <c r="A2185" s="7">
        <v>42082</v>
      </c>
      <c r="B2185" s="4">
        <f>YEAR(SalesData[[#This Row],[Order Date]])</f>
        <v>2015</v>
      </c>
      <c r="C2185" s="4">
        <f>MONTH(SalesData[[#This Row],[Order Date]])</f>
        <v>3</v>
      </c>
      <c r="D2185" s="3" t="s">
        <v>1495</v>
      </c>
      <c r="E2185" s="3" t="s">
        <v>164</v>
      </c>
      <c r="F2185" s="3" t="s">
        <v>11</v>
      </c>
      <c r="G2185" s="3" t="s">
        <v>18</v>
      </c>
      <c r="H2185" s="3" t="s">
        <v>1958</v>
      </c>
      <c r="I2185" s="6">
        <v>1247.6400000000001</v>
      </c>
      <c r="J2185" s="4">
        <v>3</v>
      </c>
      <c r="K2185" s="6">
        <v>349.34</v>
      </c>
    </row>
    <row r="2186" spans="1:11" x14ac:dyDescent="0.3">
      <c r="A2186" s="7">
        <v>42082</v>
      </c>
      <c r="B2186" s="4">
        <f>YEAR(SalesData[[#This Row],[Order Date]])</f>
        <v>2015</v>
      </c>
      <c r="C2186" s="4">
        <f>MONTH(SalesData[[#This Row],[Order Date]])</f>
        <v>3</v>
      </c>
      <c r="D2186" s="3" t="s">
        <v>1495</v>
      </c>
      <c r="E2186" s="3" t="s">
        <v>164</v>
      </c>
      <c r="F2186" s="3" t="s">
        <v>39</v>
      </c>
      <c r="G2186" s="3" t="s">
        <v>603</v>
      </c>
      <c r="H2186" s="3" t="s">
        <v>1769</v>
      </c>
      <c r="I2186" s="6">
        <v>3149.93</v>
      </c>
      <c r="J2186" s="4">
        <v>7</v>
      </c>
      <c r="K2186" s="6">
        <v>1480.47</v>
      </c>
    </row>
    <row r="2187" spans="1:11" x14ac:dyDescent="0.3">
      <c r="A2187" s="7">
        <v>42082</v>
      </c>
      <c r="B2187" s="4">
        <f>YEAR(SalesData[[#This Row],[Order Date]])</f>
        <v>2015</v>
      </c>
      <c r="C2187" s="4">
        <f>MONTH(SalesData[[#This Row],[Order Date]])</f>
        <v>3</v>
      </c>
      <c r="D2187" s="3" t="s">
        <v>1495</v>
      </c>
      <c r="E2187" s="3" t="s">
        <v>164</v>
      </c>
      <c r="F2187" s="3" t="s">
        <v>11</v>
      </c>
      <c r="G2187" s="3" t="s">
        <v>12</v>
      </c>
      <c r="H2187" s="3" t="s">
        <v>1670</v>
      </c>
      <c r="I2187" s="6">
        <v>209.7</v>
      </c>
      <c r="J2187" s="4">
        <v>2</v>
      </c>
      <c r="K2187" s="6">
        <v>100.66</v>
      </c>
    </row>
    <row r="2188" spans="1:11" x14ac:dyDescent="0.3">
      <c r="A2188" s="7">
        <v>42082</v>
      </c>
      <c r="B2188" s="4">
        <f>YEAR(SalesData[[#This Row],[Order Date]])</f>
        <v>2015</v>
      </c>
      <c r="C2188" s="4">
        <f>MONTH(SalesData[[#This Row],[Order Date]])</f>
        <v>3</v>
      </c>
      <c r="D2188" s="3" t="s">
        <v>1051</v>
      </c>
      <c r="E2188" s="3" t="s">
        <v>27</v>
      </c>
      <c r="F2188" s="3" t="s">
        <v>11</v>
      </c>
      <c r="G2188" s="3" t="s">
        <v>20</v>
      </c>
      <c r="H2188" s="3" t="s">
        <v>1959</v>
      </c>
      <c r="I2188" s="6">
        <v>17.57</v>
      </c>
      <c r="J2188" s="4">
        <v>2</v>
      </c>
      <c r="K2188" s="6">
        <v>6.37</v>
      </c>
    </row>
    <row r="2189" spans="1:11" x14ac:dyDescent="0.3">
      <c r="A2189" s="7">
        <v>42082</v>
      </c>
      <c r="B2189" s="4">
        <f>YEAR(SalesData[[#This Row],[Order Date]])</f>
        <v>2015</v>
      </c>
      <c r="C2189" s="4">
        <f>MONTH(SalesData[[#This Row],[Order Date]])</f>
        <v>3</v>
      </c>
      <c r="D2189" s="3" t="s">
        <v>1051</v>
      </c>
      <c r="E2189" s="3" t="s">
        <v>27</v>
      </c>
      <c r="F2189" s="3" t="s">
        <v>11</v>
      </c>
      <c r="G2189" s="3" t="s">
        <v>16</v>
      </c>
      <c r="H2189" s="3" t="s">
        <v>1040</v>
      </c>
      <c r="I2189" s="6">
        <v>14.62</v>
      </c>
      <c r="J2189" s="4">
        <v>2</v>
      </c>
      <c r="K2189" s="6">
        <v>6.87</v>
      </c>
    </row>
    <row r="2190" spans="1:11" x14ac:dyDescent="0.3">
      <c r="A2190" s="7">
        <v>42082</v>
      </c>
      <c r="B2190" s="4">
        <f>YEAR(SalesData[[#This Row],[Order Date]])</f>
        <v>2015</v>
      </c>
      <c r="C2190" s="4">
        <f>MONTH(SalesData[[#This Row],[Order Date]])</f>
        <v>3</v>
      </c>
      <c r="D2190" s="3" t="s">
        <v>1051</v>
      </c>
      <c r="E2190" s="3" t="s">
        <v>27</v>
      </c>
      <c r="F2190" s="3" t="s">
        <v>11</v>
      </c>
      <c r="G2190" s="3" t="s">
        <v>200</v>
      </c>
      <c r="H2190" s="3" t="s">
        <v>1960</v>
      </c>
      <c r="I2190" s="6">
        <v>33.36</v>
      </c>
      <c r="J2190" s="4">
        <v>4</v>
      </c>
      <c r="K2190" s="6">
        <v>8.67</v>
      </c>
    </row>
    <row r="2191" spans="1:11" x14ac:dyDescent="0.3">
      <c r="A2191" s="7">
        <v>42082</v>
      </c>
      <c r="B2191" s="4">
        <f>YEAR(SalesData[[#This Row],[Order Date]])</f>
        <v>2015</v>
      </c>
      <c r="C2191" s="4">
        <f>MONTH(SalesData[[#This Row],[Order Date]])</f>
        <v>3</v>
      </c>
      <c r="D2191" s="3" t="s">
        <v>1051</v>
      </c>
      <c r="E2191" s="3" t="s">
        <v>27</v>
      </c>
      <c r="F2191" s="3" t="s">
        <v>11</v>
      </c>
      <c r="G2191" s="3" t="s">
        <v>12</v>
      </c>
      <c r="H2191" s="3" t="s">
        <v>1961</v>
      </c>
      <c r="I2191" s="6">
        <v>40.14</v>
      </c>
      <c r="J2191" s="4">
        <v>6</v>
      </c>
      <c r="K2191" s="6">
        <v>19.670000000000002</v>
      </c>
    </row>
    <row r="2192" spans="1:11" x14ac:dyDescent="0.3">
      <c r="A2192" s="7">
        <v>42082</v>
      </c>
      <c r="B2192" s="4">
        <f>YEAR(SalesData[[#This Row],[Order Date]])</f>
        <v>2015</v>
      </c>
      <c r="C2192" s="4">
        <f>MONTH(SalesData[[#This Row],[Order Date]])</f>
        <v>3</v>
      </c>
      <c r="D2192" s="3" t="s">
        <v>907</v>
      </c>
      <c r="E2192" s="3" t="s">
        <v>123</v>
      </c>
      <c r="F2192" s="3" t="s">
        <v>11</v>
      </c>
      <c r="G2192" s="3" t="s">
        <v>12</v>
      </c>
      <c r="H2192" s="3" t="s">
        <v>700</v>
      </c>
      <c r="I2192" s="6">
        <v>14.5</v>
      </c>
      <c r="J2192" s="4">
        <v>3</v>
      </c>
      <c r="K2192" s="6">
        <v>4.8899999999999997</v>
      </c>
    </row>
    <row r="2193" spans="1:11" x14ac:dyDescent="0.3">
      <c r="A2193" s="7">
        <v>42082</v>
      </c>
      <c r="B2193" s="4">
        <f>YEAR(SalesData[[#This Row],[Order Date]])</f>
        <v>2015</v>
      </c>
      <c r="C2193" s="4">
        <f>MONTH(SalesData[[#This Row],[Order Date]])</f>
        <v>3</v>
      </c>
      <c r="D2193" s="3" t="s">
        <v>1330</v>
      </c>
      <c r="E2193" s="3" t="s">
        <v>27</v>
      </c>
      <c r="F2193" s="3" t="s">
        <v>11</v>
      </c>
      <c r="G2193" s="3" t="s">
        <v>12</v>
      </c>
      <c r="H2193" s="3" t="s">
        <v>1612</v>
      </c>
      <c r="I2193" s="6">
        <v>11.96</v>
      </c>
      <c r="J2193" s="4">
        <v>2</v>
      </c>
      <c r="K2193" s="6">
        <v>5.86</v>
      </c>
    </row>
    <row r="2194" spans="1:11" x14ac:dyDescent="0.3">
      <c r="A2194" s="7">
        <v>42082</v>
      </c>
      <c r="B2194" s="4">
        <f>YEAR(SalesData[[#This Row],[Order Date]])</f>
        <v>2015</v>
      </c>
      <c r="C2194" s="4">
        <f>MONTH(SalesData[[#This Row],[Order Date]])</f>
        <v>3</v>
      </c>
      <c r="D2194" s="3" t="s">
        <v>185</v>
      </c>
      <c r="E2194" s="3" t="s">
        <v>27</v>
      </c>
      <c r="F2194" s="3" t="s">
        <v>11</v>
      </c>
      <c r="G2194" s="3" t="s">
        <v>43</v>
      </c>
      <c r="H2194" s="3" t="s">
        <v>282</v>
      </c>
      <c r="I2194" s="6">
        <v>10.9</v>
      </c>
      <c r="J2194" s="4">
        <v>5</v>
      </c>
      <c r="K2194" s="6">
        <v>3.6</v>
      </c>
    </row>
    <row r="2195" spans="1:11" x14ac:dyDescent="0.3">
      <c r="A2195" s="7">
        <v>42082</v>
      </c>
      <c r="B2195" s="4">
        <f>YEAR(SalesData[[#This Row],[Order Date]])</f>
        <v>2015</v>
      </c>
      <c r="C2195" s="4">
        <f>MONTH(SalesData[[#This Row],[Order Date]])</f>
        <v>3</v>
      </c>
      <c r="D2195" s="3" t="s">
        <v>1962</v>
      </c>
      <c r="E2195" s="3" t="s">
        <v>10</v>
      </c>
      <c r="F2195" s="3" t="s">
        <v>11</v>
      </c>
      <c r="G2195" s="3" t="s">
        <v>12</v>
      </c>
      <c r="H2195" s="3" t="s">
        <v>360</v>
      </c>
      <c r="I2195" s="6">
        <v>65.58</v>
      </c>
      <c r="J2195" s="4">
        <v>2</v>
      </c>
      <c r="K2195" s="6">
        <v>23.77</v>
      </c>
    </row>
    <row r="2196" spans="1:11" x14ac:dyDescent="0.3">
      <c r="A2196" s="7">
        <v>42082</v>
      </c>
      <c r="B2196" s="4">
        <f>YEAR(SalesData[[#This Row],[Order Date]])</f>
        <v>2015</v>
      </c>
      <c r="C2196" s="4">
        <f>MONTH(SalesData[[#This Row],[Order Date]])</f>
        <v>3</v>
      </c>
      <c r="D2196" s="3" t="s">
        <v>1962</v>
      </c>
      <c r="E2196" s="3" t="s">
        <v>10</v>
      </c>
      <c r="F2196" s="3" t="s">
        <v>34</v>
      </c>
      <c r="G2196" s="3" t="s">
        <v>74</v>
      </c>
      <c r="H2196" s="3" t="s">
        <v>342</v>
      </c>
      <c r="I2196" s="6">
        <v>383.47</v>
      </c>
      <c r="J2196" s="4">
        <v>4</v>
      </c>
      <c r="K2196" s="6">
        <v>-67.67</v>
      </c>
    </row>
    <row r="2197" spans="1:11" x14ac:dyDescent="0.3">
      <c r="A2197" s="7">
        <v>42083</v>
      </c>
      <c r="B2197" s="4">
        <f>YEAR(SalesData[[#This Row],[Order Date]])</f>
        <v>2015</v>
      </c>
      <c r="C2197" s="4">
        <f>MONTH(SalesData[[#This Row],[Order Date]])</f>
        <v>3</v>
      </c>
      <c r="D2197" s="3" t="s">
        <v>1963</v>
      </c>
      <c r="E2197" s="3" t="s">
        <v>157</v>
      </c>
      <c r="F2197" s="3" t="s">
        <v>11</v>
      </c>
      <c r="G2197" s="3" t="s">
        <v>12</v>
      </c>
      <c r="H2197" s="3" t="s">
        <v>756</v>
      </c>
      <c r="I2197" s="6">
        <v>51.84</v>
      </c>
      <c r="J2197" s="4">
        <v>8</v>
      </c>
      <c r="K2197" s="6">
        <v>24.88</v>
      </c>
    </row>
    <row r="2198" spans="1:11" x14ac:dyDescent="0.3">
      <c r="A2198" s="7">
        <v>42083</v>
      </c>
      <c r="B2198" s="4">
        <f>YEAR(SalesData[[#This Row],[Order Date]])</f>
        <v>2015</v>
      </c>
      <c r="C2198" s="4">
        <f>MONTH(SalesData[[#This Row],[Order Date]])</f>
        <v>3</v>
      </c>
      <c r="D2198" s="3" t="s">
        <v>1652</v>
      </c>
      <c r="E2198" s="3" t="s">
        <v>10</v>
      </c>
      <c r="F2198" s="3" t="s">
        <v>11</v>
      </c>
      <c r="G2198" s="3" t="s">
        <v>20</v>
      </c>
      <c r="H2198" s="3" t="s">
        <v>1409</v>
      </c>
      <c r="I2198" s="6">
        <v>2.5099999999999998</v>
      </c>
      <c r="J2198" s="4">
        <v>2</v>
      </c>
      <c r="K2198" s="6">
        <v>-4.4000000000000004</v>
      </c>
    </row>
    <row r="2199" spans="1:11" x14ac:dyDescent="0.3">
      <c r="A2199" s="7">
        <v>42083</v>
      </c>
      <c r="B2199" s="4">
        <f>YEAR(SalesData[[#This Row],[Order Date]])</f>
        <v>2015</v>
      </c>
      <c r="C2199" s="4">
        <f>MONTH(SalesData[[#This Row],[Order Date]])</f>
        <v>3</v>
      </c>
      <c r="D2199" s="3" t="s">
        <v>1652</v>
      </c>
      <c r="E2199" s="3" t="s">
        <v>10</v>
      </c>
      <c r="F2199" s="3" t="s">
        <v>11</v>
      </c>
      <c r="G2199" s="3" t="s">
        <v>43</v>
      </c>
      <c r="H2199" s="3" t="s">
        <v>160</v>
      </c>
      <c r="I2199" s="6">
        <v>18.86</v>
      </c>
      <c r="J2199" s="4">
        <v>9</v>
      </c>
      <c r="K2199" s="6">
        <v>6.13</v>
      </c>
    </row>
    <row r="2200" spans="1:11" x14ac:dyDescent="0.3">
      <c r="A2200" s="7">
        <v>42083</v>
      </c>
      <c r="B2200" s="4">
        <f>YEAR(SalesData[[#This Row],[Order Date]])</f>
        <v>2015</v>
      </c>
      <c r="C2200" s="4">
        <f>MONTH(SalesData[[#This Row],[Order Date]])</f>
        <v>3</v>
      </c>
      <c r="D2200" s="3" t="s">
        <v>778</v>
      </c>
      <c r="E2200" s="3" t="s">
        <v>91</v>
      </c>
      <c r="F2200" s="3" t="s">
        <v>11</v>
      </c>
      <c r="G2200" s="3" t="s">
        <v>18</v>
      </c>
      <c r="H2200" s="3" t="s">
        <v>1171</v>
      </c>
      <c r="I2200" s="6">
        <v>29.3</v>
      </c>
      <c r="J2200" s="4">
        <v>3</v>
      </c>
      <c r="K2200" s="6">
        <v>2.56</v>
      </c>
    </row>
    <row r="2201" spans="1:11" x14ac:dyDescent="0.3">
      <c r="A2201" s="7">
        <v>42083</v>
      </c>
      <c r="B2201" s="4">
        <f>YEAR(SalesData[[#This Row],[Order Date]])</f>
        <v>2015</v>
      </c>
      <c r="C2201" s="4">
        <f>MONTH(SalesData[[#This Row],[Order Date]])</f>
        <v>3</v>
      </c>
      <c r="D2201" s="3" t="s">
        <v>1669</v>
      </c>
      <c r="E2201" s="3" t="s">
        <v>149</v>
      </c>
      <c r="F2201" s="3" t="s">
        <v>11</v>
      </c>
      <c r="G2201" s="3" t="s">
        <v>20</v>
      </c>
      <c r="H2201" s="3" t="s">
        <v>781</v>
      </c>
      <c r="I2201" s="6">
        <v>49.85</v>
      </c>
      <c r="J2201" s="4">
        <v>3</v>
      </c>
      <c r="K2201" s="6">
        <v>16.82</v>
      </c>
    </row>
    <row r="2202" spans="1:11" x14ac:dyDescent="0.3">
      <c r="A2202" s="7">
        <v>42083</v>
      </c>
      <c r="B2202" s="4">
        <f>YEAR(SalesData[[#This Row],[Order Date]])</f>
        <v>2015</v>
      </c>
      <c r="C2202" s="4">
        <f>MONTH(SalesData[[#This Row],[Order Date]])</f>
        <v>3</v>
      </c>
      <c r="D2202" s="3" t="s">
        <v>1669</v>
      </c>
      <c r="E2202" s="3" t="s">
        <v>149</v>
      </c>
      <c r="F2202" s="3" t="s">
        <v>11</v>
      </c>
      <c r="G2202" s="3" t="s">
        <v>63</v>
      </c>
      <c r="H2202" s="3" t="s">
        <v>1964</v>
      </c>
      <c r="I2202" s="6">
        <v>23.99</v>
      </c>
      <c r="J2202" s="4">
        <v>1</v>
      </c>
      <c r="K2202" s="6">
        <v>12</v>
      </c>
    </row>
    <row r="2203" spans="1:11" x14ac:dyDescent="0.3">
      <c r="A2203" s="7">
        <v>42083</v>
      </c>
      <c r="B2203" s="4">
        <f>YEAR(SalesData[[#This Row],[Order Date]])</f>
        <v>2015</v>
      </c>
      <c r="C2203" s="4">
        <f>MONTH(SalesData[[#This Row],[Order Date]])</f>
        <v>3</v>
      </c>
      <c r="D2203" s="3" t="s">
        <v>1669</v>
      </c>
      <c r="E2203" s="3" t="s">
        <v>149</v>
      </c>
      <c r="F2203" s="3" t="s">
        <v>11</v>
      </c>
      <c r="G2203" s="3" t="s">
        <v>20</v>
      </c>
      <c r="H2203" s="3" t="s">
        <v>528</v>
      </c>
      <c r="I2203" s="6">
        <v>1087.94</v>
      </c>
      <c r="J2203" s="4">
        <v>8</v>
      </c>
      <c r="K2203" s="6">
        <v>353.58</v>
      </c>
    </row>
    <row r="2204" spans="1:11" x14ac:dyDescent="0.3">
      <c r="A2204" s="7">
        <v>42083</v>
      </c>
      <c r="B2204" s="4">
        <f>YEAR(SalesData[[#This Row],[Order Date]])</f>
        <v>2015</v>
      </c>
      <c r="C2204" s="4">
        <f>MONTH(SalesData[[#This Row],[Order Date]])</f>
        <v>3</v>
      </c>
      <c r="D2204" s="3" t="s">
        <v>1669</v>
      </c>
      <c r="E2204" s="3" t="s">
        <v>149</v>
      </c>
      <c r="F2204" s="3" t="s">
        <v>39</v>
      </c>
      <c r="G2204" s="3" t="s">
        <v>40</v>
      </c>
      <c r="H2204" s="3" t="s">
        <v>1059</v>
      </c>
      <c r="I2204" s="6">
        <v>199.98</v>
      </c>
      <c r="J2204" s="4">
        <v>2</v>
      </c>
      <c r="K2204" s="6">
        <v>53.99</v>
      </c>
    </row>
    <row r="2205" spans="1:11" x14ac:dyDescent="0.3">
      <c r="A2205" s="7">
        <v>42083</v>
      </c>
      <c r="B2205" s="4">
        <f>YEAR(SalesData[[#This Row],[Order Date]])</f>
        <v>2015</v>
      </c>
      <c r="C2205" s="4">
        <f>MONTH(SalesData[[#This Row],[Order Date]])</f>
        <v>3</v>
      </c>
      <c r="D2205" s="3" t="s">
        <v>1669</v>
      </c>
      <c r="E2205" s="3" t="s">
        <v>149</v>
      </c>
      <c r="F2205" s="3" t="s">
        <v>11</v>
      </c>
      <c r="G2205" s="3" t="s">
        <v>18</v>
      </c>
      <c r="H2205" s="3" t="s">
        <v>1965</v>
      </c>
      <c r="I2205" s="6">
        <v>83.92</v>
      </c>
      <c r="J2205" s="4">
        <v>4</v>
      </c>
      <c r="K2205" s="6">
        <v>20.14</v>
      </c>
    </row>
    <row r="2206" spans="1:11" x14ac:dyDescent="0.3">
      <c r="A2206" s="7">
        <v>42084</v>
      </c>
      <c r="B2206" s="4">
        <f>YEAR(SalesData[[#This Row],[Order Date]])</f>
        <v>2015</v>
      </c>
      <c r="C2206" s="4">
        <f>MONTH(SalesData[[#This Row],[Order Date]])</f>
        <v>3</v>
      </c>
      <c r="D2206" s="3" t="s">
        <v>1966</v>
      </c>
      <c r="E2206" s="3" t="s">
        <v>245</v>
      </c>
      <c r="F2206" s="3" t="s">
        <v>11</v>
      </c>
      <c r="G2206" s="3" t="s">
        <v>92</v>
      </c>
      <c r="H2206" s="3" t="s">
        <v>755</v>
      </c>
      <c r="I2206" s="6">
        <v>962.08</v>
      </c>
      <c r="J2206" s="4">
        <v>4</v>
      </c>
      <c r="K2206" s="6">
        <v>156.34</v>
      </c>
    </row>
    <row r="2207" spans="1:11" x14ac:dyDescent="0.3">
      <c r="A2207" s="7">
        <v>42084</v>
      </c>
      <c r="B2207" s="4">
        <f>YEAR(SalesData[[#This Row],[Order Date]])</f>
        <v>2015</v>
      </c>
      <c r="C2207" s="4">
        <f>MONTH(SalesData[[#This Row],[Order Date]])</f>
        <v>3</v>
      </c>
      <c r="D2207" s="3" t="s">
        <v>1966</v>
      </c>
      <c r="E2207" s="3" t="s">
        <v>245</v>
      </c>
      <c r="F2207" s="3" t="s">
        <v>11</v>
      </c>
      <c r="G2207" s="3" t="s">
        <v>20</v>
      </c>
      <c r="H2207" s="3" t="s">
        <v>1218</v>
      </c>
      <c r="I2207" s="6">
        <v>12.84</v>
      </c>
      <c r="J2207" s="4">
        <v>3</v>
      </c>
      <c r="K2207" s="6">
        <v>-9.85</v>
      </c>
    </row>
    <row r="2208" spans="1:11" x14ac:dyDescent="0.3">
      <c r="A2208" s="7">
        <v>42084</v>
      </c>
      <c r="B2208" s="4">
        <f>YEAR(SalesData[[#This Row],[Order Date]])</f>
        <v>2015</v>
      </c>
      <c r="C2208" s="4">
        <f>MONTH(SalesData[[#This Row],[Order Date]])</f>
        <v>3</v>
      </c>
      <c r="D2208" s="3" t="s">
        <v>1966</v>
      </c>
      <c r="E2208" s="3" t="s">
        <v>245</v>
      </c>
      <c r="F2208" s="3" t="s">
        <v>11</v>
      </c>
      <c r="G2208" s="3" t="s">
        <v>12</v>
      </c>
      <c r="H2208" s="3" t="s">
        <v>1967</v>
      </c>
      <c r="I2208" s="6">
        <v>295.45999999999998</v>
      </c>
      <c r="J2208" s="4">
        <v>14</v>
      </c>
      <c r="K2208" s="6">
        <v>96.02</v>
      </c>
    </row>
    <row r="2209" spans="1:11" x14ac:dyDescent="0.3">
      <c r="A2209" s="7">
        <v>42085</v>
      </c>
      <c r="B2209" s="4">
        <f>YEAR(SalesData[[#This Row],[Order Date]])</f>
        <v>2015</v>
      </c>
      <c r="C2209" s="4">
        <f>MONTH(SalesData[[#This Row],[Order Date]])</f>
        <v>3</v>
      </c>
      <c r="D2209" s="3" t="s">
        <v>1968</v>
      </c>
      <c r="E2209" s="3" t="s">
        <v>10</v>
      </c>
      <c r="F2209" s="3" t="s">
        <v>39</v>
      </c>
      <c r="G2209" s="3" t="s">
        <v>52</v>
      </c>
      <c r="H2209" s="3" t="s">
        <v>1969</v>
      </c>
      <c r="I2209" s="6">
        <v>18.39</v>
      </c>
      <c r="J2209" s="4">
        <v>1</v>
      </c>
      <c r="K2209" s="6">
        <v>5.29</v>
      </c>
    </row>
    <row r="2210" spans="1:11" x14ac:dyDescent="0.3">
      <c r="A2210" s="7">
        <v>42085</v>
      </c>
      <c r="B2210" s="4">
        <f>YEAR(SalesData[[#This Row],[Order Date]])</f>
        <v>2015</v>
      </c>
      <c r="C2210" s="4">
        <f>MONTH(SalesData[[#This Row],[Order Date]])</f>
        <v>3</v>
      </c>
      <c r="D2210" s="3" t="s">
        <v>1968</v>
      </c>
      <c r="E2210" s="3" t="s">
        <v>10</v>
      </c>
      <c r="F2210" s="3" t="s">
        <v>11</v>
      </c>
      <c r="G2210" s="3" t="s">
        <v>18</v>
      </c>
      <c r="H2210" s="3" t="s">
        <v>297</v>
      </c>
      <c r="I2210" s="6">
        <v>129.57</v>
      </c>
      <c r="J2210" s="4">
        <v>2</v>
      </c>
      <c r="K2210" s="6">
        <v>-25.91</v>
      </c>
    </row>
    <row r="2211" spans="1:11" x14ac:dyDescent="0.3">
      <c r="A2211" s="7">
        <v>42085</v>
      </c>
      <c r="B2211" s="4">
        <f>YEAR(SalesData[[#This Row],[Order Date]])</f>
        <v>2015</v>
      </c>
      <c r="C2211" s="4">
        <f>MONTH(SalesData[[#This Row],[Order Date]])</f>
        <v>3</v>
      </c>
      <c r="D2211" s="3" t="s">
        <v>1968</v>
      </c>
      <c r="E2211" s="3" t="s">
        <v>10</v>
      </c>
      <c r="F2211" s="3" t="s">
        <v>11</v>
      </c>
      <c r="G2211" s="3" t="s">
        <v>20</v>
      </c>
      <c r="H2211" s="3" t="s">
        <v>1970</v>
      </c>
      <c r="I2211" s="6">
        <v>14.11</v>
      </c>
      <c r="J2211" s="4">
        <v>9</v>
      </c>
      <c r="K2211" s="6">
        <v>-21.17</v>
      </c>
    </row>
    <row r="2212" spans="1:11" x14ac:dyDescent="0.3">
      <c r="A2212" s="7">
        <v>42085</v>
      </c>
      <c r="B2212" s="4">
        <f>YEAR(SalesData[[#This Row],[Order Date]])</f>
        <v>2015</v>
      </c>
      <c r="C2212" s="4">
        <f>MONTH(SalesData[[#This Row],[Order Date]])</f>
        <v>3</v>
      </c>
      <c r="D2212" s="3" t="s">
        <v>465</v>
      </c>
      <c r="E2212" s="3" t="s">
        <v>27</v>
      </c>
      <c r="F2212" s="3" t="s">
        <v>39</v>
      </c>
      <c r="G2212" s="3" t="s">
        <v>40</v>
      </c>
      <c r="H2212" s="3" t="s">
        <v>597</v>
      </c>
      <c r="I2212" s="6">
        <v>15.98</v>
      </c>
      <c r="J2212" s="4">
        <v>2</v>
      </c>
      <c r="K2212" s="6">
        <v>1.2</v>
      </c>
    </row>
    <row r="2213" spans="1:11" x14ac:dyDescent="0.3">
      <c r="A2213" s="7">
        <v>42085</v>
      </c>
      <c r="B2213" s="4">
        <f>YEAR(SalesData[[#This Row],[Order Date]])</f>
        <v>2015</v>
      </c>
      <c r="C2213" s="4">
        <f>MONTH(SalesData[[#This Row],[Order Date]])</f>
        <v>3</v>
      </c>
      <c r="D2213" s="3" t="s">
        <v>1635</v>
      </c>
      <c r="E2213" s="3" t="s">
        <v>27</v>
      </c>
      <c r="F2213" s="3" t="s">
        <v>11</v>
      </c>
      <c r="G2213" s="3" t="s">
        <v>12</v>
      </c>
      <c r="H2213" s="3" t="s">
        <v>625</v>
      </c>
      <c r="I2213" s="6">
        <v>105.52</v>
      </c>
      <c r="J2213" s="4">
        <v>4</v>
      </c>
      <c r="K2213" s="6">
        <v>48.54</v>
      </c>
    </row>
    <row r="2214" spans="1:11" x14ac:dyDescent="0.3">
      <c r="A2214" s="7">
        <v>42085</v>
      </c>
      <c r="B2214" s="4">
        <f>YEAR(SalesData[[#This Row],[Order Date]])</f>
        <v>2015</v>
      </c>
      <c r="C2214" s="4">
        <f>MONTH(SalesData[[#This Row],[Order Date]])</f>
        <v>3</v>
      </c>
      <c r="D2214" s="3" t="s">
        <v>1635</v>
      </c>
      <c r="E2214" s="3" t="s">
        <v>27</v>
      </c>
      <c r="F2214" s="3" t="s">
        <v>34</v>
      </c>
      <c r="G2214" s="3" t="s">
        <v>47</v>
      </c>
      <c r="H2214" s="3" t="s">
        <v>479</v>
      </c>
      <c r="I2214" s="6">
        <v>91.96</v>
      </c>
      <c r="J2214" s="4">
        <v>2</v>
      </c>
      <c r="K2214" s="6">
        <v>15.63</v>
      </c>
    </row>
    <row r="2215" spans="1:11" x14ac:dyDescent="0.3">
      <c r="A2215" s="7">
        <v>42085</v>
      </c>
      <c r="B2215" s="4">
        <f>YEAR(SalesData[[#This Row],[Order Date]])</f>
        <v>2015</v>
      </c>
      <c r="C2215" s="4">
        <f>MONTH(SalesData[[#This Row],[Order Date]])</f>
        <v>3</v>
      </c>
      <c r="D2215" s="3" t="s">
        <v>1635</v>
      </c>
      <c r="E2215" s="3" t="s">
        <v>27</v>
      </c>
      <c r="F2215" s="3" t="s">
        <v>39</v>
      </c>
      <c r="G2215" s="3" t="s">
        <v>40</v>
      </c>
      <c r="H2215" s="3" t="s">
        <v>1536</v>
      </c>
      <c r="I2215" s="6">
        <v>1487.98</v>
      </c>
      <c r="J2215" s="4">
        <v>3</v>
      </c>
      <c r="K2215" s="6">
        <v>186</v>
      </c>
    </row>
    <row r="2216" spans="1:11" x14ac:dyDescent="0.3">
      <c r="A2216" s="7">
        <v>42085</v>
      </c>
      <c r="B2216" s="4">
        <f>YEAR(SalesData[[#This Row],[Order Date]])</f>
        <v>2015</v>
      </c>
      <c r="C2216" s="4">
        <f>MONTH(SalesData[[#This Row],[Order Date]])</f>
        <v>3</v>
      </c>
      <c r="D2216" s="3" t="s">
        <v>1971</v>
      </c>
      <c r="E2216" s="3" t="s">
        <v>488</v>
      </c>
      <c r="F2216" s="3" t="s">
        <v>11</v>
      </c>
      <c r="G2216" s="3" t="s">
        <v>24</v>
      </c>
      <c r="H2216" s="3" t="s">
        <v>1972</v>
      </c>
      <c r="I2216" s="6">
        <v>19.559999999999999</v>
      </c>
      <c r="J2216" s="4">
        <v>4</v>
      </c>
      <c r="K2216" s="6">
        <v>5.48</v>
      </c>
    </row>
    <row r="2217" spans="1:11" x14ac:dyDescent="0.3">
      <c r="A2217" s="7">
        <v>42085</v>
      </c>
      <c r="B2217" s="4">
        <f>YEAR(SalesData[[#This Row],[Order Date]])</f>
        <v>2015</v>
      </c>
      <c r="C2217" s="4">
        <f>MONTH(SalesData[[#This Row],[Order Date]])</f>
        <v>3</v>
      </c>
      <c r="D2217" s="3" t="s">
        <v>1856</v>
      </c>
      <c r="E2217" s="3" t="s">
        <v>123</v>
      </c>
      <c r="F2217" s="3" t="s">
        <v>39</v>
      </c>
      <c r="G2217" s="3" t="s">
        <v>52</v>
      </c>
      <c r="H2217" s="3" t="s">
        <v>999</v>
      </c>
      <c r="I2217" s="6">
        <v>447.94</v>
      </c>
      <c r="J2217" s="4">
        <v>7</v>
      </c>
      <c r="K2217" s="6">
        <v>89.59</v>
      </c>
    </row>
    <row r="2218" spans="1:11" x14ac:dyDescent="0.3">
      <c r="A2218" s="7">
        <v>42085</v>
      </c>
      <c r="B2218" s="4">
        <f>YEAR(SalesData[[#This Row],[Order Date]])</f>
        <v>2015</v>
      </c>
      <c r="C2218" s="4">
        <f>MONTH(SalesData[[#This Row],[Order Date]])</f>
        <v>3</v>
      </c>
      <c r="D2218" s="3" t="s">
        <v>1856</v>
      </c>
      <c r="E2218" s="3" t="s">
        <v>123</v>
      </c>
      <c r="F2218" s="3" t="s">
        <v>11</v>
      </c>
      <c r="G2218" s="3" t="s">
        <v>18</v>
      </c>
      <c r="H2218" s="3" t="s">
        <v>1973</v>
      </c>
      <c r="I2218" s="6">
        <v>150.41</v>
      </c>
      <c r="J2218" s="4">
        <v>9</v>
      </c>
      <c r="K2218" s="6">
        <v>-33.840000000000003</v>
      </c>
    </row>
    <row r="2219" spans="1:11" x14ac:dyDescent="0.3">
      <c r="A2219" s="7">
        <v>42086</v>
      </c>
      <c r="B2219" s="4">
        <f>YEAR(SalesData[[#This Row],[Order Date]])</f>
        <v>2015</v>
      </c>
      <c r="C2219" s="4">
        <f>MONTH(SalesData[[#This Row],[Order Date]])</f>
        <v>3</v>
      </c>
      <c r="D2219" s="3" t="s">
        <v>1373</v>
      </c>
      <c r="E2219" s="3" t="s">
        <v>10</v>
      </c>
      <c r="F2219" s="3" t="s">
        <v>34</v>
      </c>
      <c r="G2219" s="3" t="s">
        <v>35</v>
      </c>
      <c r="H2219" s="3" t="s">
        <v>699</v>
      </c>
      <c r="I2219" s="6">
        <v>107.77</v>
      </c>
      <c r="J2219" s="4">
        <v>2</v>
      </c>
      <c r="K2219" s="6">
        <v>-29.25</v>
      </c>
    </row>
    <row r="2220" spans="1:11" x14ac:dyDescent="0.3">
      <c r="A2220" s="7">
        <v>42086</v>
      </c>
      <c r="B2220" s="4">
        <f>YEAR(SalesData[[#This Row],[Order Date]])</f>
        <v>2015</v>
      </c>
      <c r="C2220" s="4">
        <f>MONTH(SalesData[[#This Row],[Order Date]])</f>
        <v>3</v>
      </c>
      <c r="D2220" s="3" t="s">
        <v>1023</v>
      </c>
      <c r="E2220" s="3" t="s">
        <v>70</v>
      </c>
      <c r="F2220" s="3" t="s">
        <v>11</v>
      </c>
      <c r="G2220" s="3" t="s">
        <v>43</v>
      </c>
      <c r="H2220" s="3" t="s">
        <v>160</v>
      </c>
      <c r="I2220" s="6">
        <v>31.56</v>
      </c>
      <c r="J2220" s="4">
        <v>4</v>
      </c>
      <c r="K2220" s="6">
        <v>14.2</v>
      </c>
    </row>
    <row r="2221" spans="1:11" x14ac:dyDescent="0.3">
      <c r="A2221" s="7">
        <v>42086</v>
      </c>
      <c r="B2221" s="4">
        <f>YEAR(SalesData[[#This Row],[Order Date]])</f>
        <v>2015</v>
      </c>
      <c r="C2221" s="4">
        <f>MONTH(SalesData[[#This Row],[Order Date]])</f>
        <v>3</v>
      </c>
      <c r="D2221" s="3" t="s">
        <v>1023</v>
      </c>
      <c r="E2221" s="3" t="s">
        <v>70</v>
      </c>
      <c r="F2221" s="3" t="s">
        <v>11</v>
      </c>
      <c r="G2221" s="3" t="s">
        <v>18</v>
      </c>
      <c r="H2221" s="3" t="s">
        <v>251</v>
      </c>
      <c r="I2221" s="6">
        <v>27.92</v>
      </c>
      <c r="J2221" s="4">
        <v>4</v>
      </c>
      <c r="K2221" s="6">
        <v>0.56000000000000005</v>
      </c>
    </row>
    <row r="2222" spans="1:11" x14ac:dyDescent="0.3">
      <c r="A2222" s="7">
        <v>42086</v>
      </c>
      <c r="B2222" s="4">
        <f>YEAR(SalesData[[#This Row],[Order Date]])</f>
        <v>2015</v>
      </c>
      <c r="C2222" s="4">
        <f>MONTH(SalesData[[#This Row],[Order Date]])</f>
        <v>3</v>
      </c>
      <c r="D2222" s="3" t="s">
        <v>788</v>
      </c>
      <c r="E2222" s="3" t="s">
        <v>27</v>
      </c>
      <c r="F2222" s="3" t="s">
        <v>11</v>
      </c>
      <c r="G2222" s="3" t="s">
        <v>12</v>
      </c>
      <c r="H2222" s="3" t="s">
        <v>135</v>
      </c>
      <c r="I2222" s="6">
        <v>33.36</v>
      </c>
      <c r="J2222" s="4">
        <v>4</v>
      </c>
      <c r="K2222" s="6">
        <v>16.68</v>
      </c>
    </row>
    <row r="2223" spans="1:11" x14ac:dyDescent="0.3">
      <c r="A2223" s="7">
        <v>42086</v>
      </c>
      <c r="B2223" s="4">
        <f>YEAR(SalesData[[#This Row],[Order Date]])</f>
        <v>2015</v>
      </c>
      <c r="C2223" s="4">
        <f>MONTH(SalesData[[#This Row],[Order Date]])</f>
        <v>3</v>
      </c>
      <c r="D2223" s="3" t="s">
        <v>1438</v>
      </c>
      <c r="E2223" s="3" t="s">
        <v>27</v>
      </c>
      <c r="F2223" s="3" t="s">
        <v>11</v>
      </c>
      <c r="G2223" s="3" t="s">
        <v>12</v>
      </c>
      <c r="H2223" s="3" t="s">
        <v>97</v>
      </c>
      <c r="I2223" s="6">
        <v>192.72</v>
      </c>
      <c r="J2223" s="4">
        <v>11</v>
      </c>
      <c r="K2223" s="6">
        <v>92.51</v>
      </c>
    </row>
    <row r="2224" spans="1:11" x14ac:dyDescent="0.3">
      <c r="A2224" s="7">
        <v>42086</v>
      </c>
      <c r="B2224" s="4">
        <f>YEAR(SalesData[[#This Row],[Order Date]])</f>
        <v>2015</v>
      </c>
      <c r="C2224" s="4">
        <f>MONTH(SalesData[[#This Row],[Order Date]])</f>
        <v>3</v>
      </c>
      <c r="D2224" s="3" t="s">
        <v>1438</v>
      </c>
      <c r="E2224" s="3" t="s">
        <v>27</v>
      </c>
      <c r="F2224" s="3" t="s">
        <v>39</v>
      </c>
      <c r="G2224" s="3" t="s">
        <v>52</v>
      </c>
      <c r="H2224" s="3" t="s">
        <v>198</v>
      </c>
      <c r="I2224" s="6">
        <v>239.97</v>
      </c>
      <c r="J2224" s="4">
        <v>3</v>
      </c>
      <c r="K2224" s="6">
        <v>86.39</v>
      </c>
    </row>
    <row r="2225" spans="1:11" x14ac:dyDescent="0.3">
      <c r="A2225" s="7">
        <v>42087</v>
      </c>
      <c r="B2225" s="4">
        <f>YEAR(SalesData[[#This Row],[Order Date]])</f>
        <v>2015</v>
      </c>
      <c r="C2225" s="4">
        <f>MONTH(SalesData[[#This Row],[Order Date]])</f>
        <v>3</v>
      </c>
      <c r="D2225" s="3" t="s">
        <v>910</v>
      </c>
      <c r="E2225" s="3" t="s">
        <v>15</v>
      </c>
      <c r="F2225" s="3" t="s">
        <v>34</v>
      </c>
      <c r="G2225" s="3" t="s">
        <v>74</v>
      </c>
      <c r="H2225" s="3" t="s">
        <v>719</v>
      </c>
      <c r="I2225" s="6">
        <v>359.06</v>
      </c>
      <c r="J2225" s="4">
        <v>3</v>
      </c>
      <c r="K2225" s="6">
        <v>-35.909999999999997</v>
      </c>
    </row>
    <row r="2226" spans="1:11" x14ac:dyDescent="0.3">
      <c r="A2226" s="7">
        <v>42087</v>
      </c>
      <c r="B2226" s="4">
        <f>YEAR(SalesData[[#This Row],[Order Date]])</f>
        <v>2015</v>
      </c>
      <c r="C2226" s="4">
        <f>MONTH(SalesData[[#This Row],[Order Date]])</f>
        <v>3</v>
      </c>
      <c r="D2226" s="3" t="s">
        <v>1974</v>
      </c>
      <c r="E2226" s="3" t="s">
        <v>123</v>
      </c>
      <c r="F2226" s="3" t="s">
        <v>11</v>
      </c>
      <c r="G2226" s="3" t="s">
        <v>92</v>
      </c>
      <c r="H2226" s="3" t="s">
        <v>1975</v>
      </c>
      <c r="I2226" s="6">
        <v>6.99</v>
      </c>
      <c r="J2226" s="4">
        <v>2</v>
      </c>
      <c r="K2226" s="6">
        <v>0.52</v>
      </c>
    </row>
    <row r="2227" spans="1:11" x14ac:dyDescent="0.3">
      <c r="A2227" s="7">
        <v>42087</v>
      </c>
      <c r="B2227" s="4">
        <f>YEAR(SalesData[[#This Row],[Order Date]])</f>
        <v>2015</v>
      </c>
      <c r="C2227" s="4">
        <f>MONTH(SalesData[[#This Row],[Order Date]])</f>
        <v>3</v>
      </c>
      <c r="D2227" s="3" t="s">
        <v>1744</v>
      </c>
      <c r="E2227" s="3" t="s">
        <v>164</v>
      </c>
      <c r="F2227" s="3" t="s">
        <v>34</v>
      </c>
      <c r="G2227" s="3" t="s">
        <v>47</v>
      </c>
      <c r="H2227" s="3" t="s">
        <v>1976</v>
      </c>
      <c r="I2227" s="6">
        <v>46.9</v>
      </c>
      <c r="J2227" s="4">
        <v>5</v>
      </c>
      <c r="K2227" s="6">
        <v>13.13</v>
      </c>
    </row>
    <row r="2228" spans="1:11" x14ac:dyDescent="0.3">
      <c r="A2228" s="7">
        <v>42089</v>
      </c>
      <c r="B2228" s="4">
        <f>YEAR(SalesData[[#This Row],[Order Date]])</f>
        <v>2015</v>
      </c>
      <c r="C2228" s="4">
        <f>MONTH(SalesData[[#This Row],[Order Date]])</f>
        <v>3</v>
      </c>
      <c r="D2228" s="3" t="s">
        <v>1977</v>
      </c>
      <c r="E2228" s="3" t="s">
        <v>123</v>
      </c>
      <c r="F2228" s="3" t="s">
        <v>11</v>
      </c>
      <c r="G2228" s="3" t="s">
        <v>12</v>
      </c>
      <c r="H2228" s="3" t="s">
        <v>1158</v>
      </c>
      <c r="I2228" s="6">
        <v>74.349999999999994</v>
      </c>
      <c r="J2228" s="4">
        <v>3</v>
      </c>
      <c r="K2228" s="6">
        <v>23.24</v>
      </c>
    </row>
    <row r="2229" spans="1:11" x14ac:dyDescent="0.3">
      <c r="A2229" s="7">
        <v>42089</v>
      </c>
      <c r="B2229" s="4">
        <f>YEAR(SalesData[[#This Row],[Order Date]])</f>
        <v>2015</v>
      </c>
      <c r="C2229" s="4">
        <f>MONTH(SalesData[[#This Row],[Order Date]])</f>
        <v>3</v>
      </c>
      <c r="D2229" s="3" t="s">
        <v>1104</v>
      </c>
      <c r="E2229" s="3" t="s">
        <v>23</v>
      </c>
      <c r="F2229" s="3" t="s">
        <v>11</v>
      </c>
      <c r="G2229" s="3" t="s">
        <v>12</v>
      </c>
      <c r="H2229" s="3" t="s">
        <v>1978</v>
      </c>
      <c r="I2229" s="6">
        <v>40.03</v>
      </c>
      <c r="J2229" s="4">
        <v>6</v>
      </c>
      <c r="K2229" s="6">
        <v>12.51</v>
      </c>
    </row>
    <row r="2230" spans="1:11" x14ac:dyDescent="0.3">
      <c r="A2230" s="7">
        <v>42089</v>
      </c>
      <c r="B2230" s="4">
        <f>YEAR(SalesData[[#This Row],[Order Date]])</f>
        <v>2015</v>
      </c>
      <c r="C2230" s="4">
        <f>MONTH(SalesData[[#This Row],[Order Date]])</f>
        <v>3</v>
      </c>
      <c r="D2230" s="3" t="s">
        <v>1104</v>
      </c>
      <c r="E2230" s="3" t="s">
        <v>23</v>
      </c>
      <c r="F2230" s="3" t="s">
        <v>39</v>
      </c>
      <c r="G2230" s="3" t="s">
        <v>52</v>
      </c>
      <c r="H2230" s="3" t="s">
        <v>1325</v>
      </c>
      <c r="I2230" s="6">
        <v>16.78</v>
      </c>
      <c r="J2230" s="4">
        <v>3</v>
      </c>
      <c r="K2230" s="6">
        <v>5.03</v>
      </c>
    </row>
    <row r="2231" spans="1:11" x14ac:dyDescent="0.3">
      <c r="A2231" s="7">
        <v>42089</v>
      </c>
      <c r="B2231" s="4">
        <f>YEAR(SalesData[[#This Row],[Order Date]])</f>
        <v>2015</v>
      </c>
      <c r="C2231" s="4">
        <f>MONTH(SalesData[[#This Row],[Order Date]])</f>
        <v>3</v>
      </c>
      <c r="D2231" s="3" t="s">
        <v>738</v>
      </c>
      <c r="E2231" s="3" t="s">
        <v>164</v>
      </c>
      <c r="F2231" s="3" t="s">
        <v>34</v>
      </c>
      <c r="G2231" s="3" t="s">
        <v>145</v>
      </c>
      <c r="H2231" s="3" t="s">
        <v>404</v>
      </c>
      <c r="I2231" s="6">
        <v>3393.68</v>
      </c>
      <c r="J2231" s="4">
        <v>8</v>
      </c>
      <c r="K2231" s="6">
        <v>610.86</v>
      </c>
    </row>
    <row r="2232" spans="1:11" x14ac:dyDescent="0.3">
      <c r="A2232" s="7">
        <v>42089</v>
      </c>
      <c r="B2232" s="4">
        <f>YEAR(SalesData[[#This Row],[Order Date]])</f>
        <v>2015</v>
      </c>
      <c r="C2232" s="4">
        <f>MONTH(SalesData[[#This Row],[Order Date]])</f>
        <v>3</v>
      </c>
      <c r="D2232" s="3" t="s">
        <v>1401</v>
      </c>
      <c r="E2232" s="3" t="s">
        <v>149</v>
      </c>
      <c r="F2232" s="3" t="s">
        <v>11</v>
      </c>
      <c r="G2232" s="3" t="s">
        <v>18</v>
      </c>
      <c r="H2232" s="3" t="s">
        <v>1384</v>
      </c>
      <c r="I2232" s="6">
        <v>1085.42</v>
      </c>
      <c r="J2232" s="4">
        <v>7</v>
      </c>
      <c r="K2232" s="6">
        <v>282.20999999999998</v>
      </c>
    </row>
    <row r="2233" spans="1:11" x14ac:dyDescent="0.3">
      <c r="A2233" s="7">
        <v>42089</v>
      </c>
      <c r="B2233" s="4">
        <f>YEAR(SalesData[[#This Row],[Order Date]])</f>
        <v>2015</v>
      </c>
      <c r="C2233" s="4">
        <f>MONTH(SalesData[[#This Row],[Order Date]])</f>
        <v>3</v>
      </c>
      <c r="D2233" s="3" t="s">
        <v>1401</v>
      </c>
      <c r="E2233" s="3" t="s">
        <v>149</v>
      </c>
      <c r="F2233" s="3" t="s">
        <v>11</v>
      </c>
      <c r="G2233" s="3" t="s">
        <v>92</v>
      </c>
      <c r="H2233" s="3" t="s">
        <v>1979</v>
      </c>
      <c r="I2233" s="6">
        <v>13.11</v>
      </c>
      <c r="J2233" s="4">
        <v>3</v>
      </c>
      <c r="K2233" s="6">
        <v>3.41</v>
      </c>
    </row>
    <row r="2234" spans="1:11" x14ac:dyDescent="0.3">
      <c r="A2234" s="7">
        <v>42090</v>
      </c>
      <c r="B2234" s="4">
        <f>YEAR(SalesData[[#This Row],[Order Date]])</f>
        <v>2015</v>
      </c>
      <c r="C2234" s="4">
        <f>MONTH(SalesData[[#This Row],[Order Date]])</f>
        <v>3</v>
      </c>
      <c r="D2234" s="3" t="s">
        <v>107</v>
      </c>
      <c r="E2234" s="3" t="s">
        <v>164</v>
      </c>
      <c r="F2234" s="3" t="s">
        <v>11</v>
      </c>
      <c r="G2234" s="3" t="s">
        <v>18</v>
      </c>
      <c r="H2234" s="3" t="s">
        <v>435</v>
      </c>
      <c r="I2234" s="6">
        <v>83.7</v>
      </c>
      <c r="J2234" s="4">
        <v>5</v>
      </c>
      <c r="K2234" s="6">
        <v>3.35</v>
      </c>
    </row>
    <row r="2235" spans="1:11" x14ac:dyDescent="0.3">
      <c r="A2235" s="7">
        <v>42091</v>
      </c>
      <c r="B2235" s="4">
        <f>YEAR(SalesData[[#This Row],[Order Date]])</f>
        <v>2015</v>
      </c>
      <c r="C2235" s="4">
        <f>MONTH(SalesData[[#This Row],[Order Date]])</f>
        <v>3</v>
      </c>
      <c r="D2235" s="3" t="s">
        <v>1633</v>
      </c>
      <c r="E2235" s="3" t="s">
        <v>27</v>
      </c>
      <c r="F2235" s="3" t="s">
        <v>39</v>
      </c>
      <c r="G2235" s="3" t="s">
        <v>52</v>
      </c>
      <c r="H2235" s="3" t="s">
        <v>1980</v>
      </c>
      <c r="I2235" s="6">
        <v>166.24</v>
      </c>
      <c r="J2235" s="4">
        <v>1</v>
      </c>
      <c r="K2235" s="6">
        <v>24.94</v>
      </c>
    </row>
    <row r="2236" spans="1:11" x14ac:dyDescent="0.3">
      <c r="A2236" s="7">
        <v>42091</v>
      </c>
      <c r="B2236" s="4">
        <f>YEAR(SalesData[[#This Row],[Order Date]])</f>
        <v>2015</v>
      </c>
      <c r="C2236" s="4">
        <f>MONTH(SalesData[[#This Row],[Order Date]])</f>
        <v>3</v>
      </c>
      <c r="D2236" s="3" t="s">
        <v>1633</v>
      </c>
      <c r="E2236" s="3" t="s">
        <v>27</v>
      </c>
      <c r="F2236" s="3" t="s">
        <v>11</v>
      </c>
      <c r="G2236" s="3" t="s">
        <v>12</v>
      </c>
      <c r="H2236" s="3" t="s">
        <v>1981</v>
      </c>
      <c r="I2236" s="6">
        <v>33.4</v>
      </c>
      <c r="J2236" s="4">
        <v>5</v>
      </c>
      <c r="K2236" s="6">
        <v>16.03</v>
      </c>
    </row>
    <row r="2237" spans="1:11" x14ac:dyDescent="0.3">
      <c r="A2237" s="7">
        <v>42091</v>
      </c>
      <c r="B2237" s="4">
        <f>YEAR(SalesData[[#This Row],[Order Date]])</f>
        <v>2015</v>
      </c>
      <c r="C2237" s="4">
        <f>MONTH(SalesData[[#This Row],[Order Date]])</f>
        <v>3</v>
      </c>
      <c r="D2237" s="3" t="s">
        <v>280</v>
      </c>
      <c r="E2237" s="3" t="s">
        <v>23</v>
      </c>
      <c r="F2237" s="3" t="s">
        <v>11</v>
      </c>
      <c r="G2237" s="3" t="s">
        <v>12</v>
      </c>
      <c r="H2237" s="3" t="s">
        <v>708</v>
      </c>
      <c r="I2237" s="6">
        <v>15.55</v>
      </c>
      <c r="J2237" s="4">
        <v>3</v>
      </c>
      <c r="K2237" s="6">
        <v>5.44</v>
      </c>
    </row>
    <row r="2238" spans="1:11" x14ac:dyDescent="0.3">
      <c r="A2238" s="7">
        <v>42091</v>
      </c>
      <c r="B2238" s="4">
        <f>YEAR(SalesData[[#This Row],[Order Date]])</f>
        <v>2015</v>
      </c>
      <c r="C2238" s="4">
        <f>MONTH(SalesData[[#This Row],[Order Date]])</f>
        <v>3</v>
      </c>
      <c r="D2238" s="3" t="s">
        <v>280</v>
      </c>
      <c r="E2238" s="3" t="s">
        <v>23</v>
      </c>
      <c r="F2238" s="3" t="s">
        <v>11</v>
      </c>
      <c r="G2238" s="3" t="s">
        <v>12</v>
      </c>
      <c r="H2238" s="3" t="s">
        <v>1403</v>
      </c>
      <c r="I2238" s="6">
        <v>5.23</v>
      </c>
      <c r="J2238" s="4">
        <v>1</v>
      </c>
      <c r="K2238" s="6">
        <v>1.7</v>
      </c>
    </row>
    <row r="2239" spans="1:11" x14ac:dyDescent="0.3">
      <c r="A2239" s="7">
        <v>42091</v>
      </c>
      <c r="B2239" s="4">
        <f>YEAR(SalesData[[#This Row],[Order Date]])</f>
        <v>2015</v>
      </c>
      <c r="C2239" s="4">
        <f>MONTH(SalesData[[#This Row],[Order Date]])</f>
        <v>3</v>
      </c>
      <c r="D2239" s="3" t="s">
        <v>681</v>
      </c>
      <c r="E2239" s="3" t="s">
        <v>149</v>
      </c>
      <c r="F2239" s="3" t="s">
        <v>11</v>
      </c>
      <c r="G2239" s="3" t="s">
        <v>63</v>
      </c>
      <c r="H2239" s="3" t="s">
        <v>770</v>
      </c>
      <c r="I2239" s="6">
        <v>22.92</v>
      </c>
      <c r="J2239" s="4">
        <v>3</v>
      </c>
      <c r="K2239" s="6">
        <v>11.23</v>
      </c>
    </row>
    <row r="2240" spans="1:11" x14ac:dyDescent="0.3">
      <c r="A2240" s="7">
        <v>42092</v>
      </c>
      <c r="B2240" s="4">
        <f>YEAR(SalesData[[#This Row],[Order Date]])</f>
        <v>2015</v>
      </c>
      <c r="C2240" s="4">
        <f>MONTH(SalesData[[#This Row],[Order Date]])</f>
        <v>3</v>
      </c>
      <c r="D2240" s="3" t="s">
        <v>1357</v>
      </c>
      <c r="E2240" s="3" t="s">
        <v>123</v>
      </c>
      <c r="F2240" s="3" t="s">
        <v>34</v>
      </c>
      <c r="G2240" s="3" t="s">
        <v>35</v>
      </c>
      <c r="H2240" s="3" t="s">
        <v>1982</v>
      </c>
      <c r="I2240" s="6">
        <v>1166.92</v>
      </c>
      <c r="J2240" s="4">
        <v>5</v>
      </c>
      <c r="K2240" s="6">
        <v>131.28</v>
      </c>
    </row>
    <row r="2241" spans="1:11" x14ac:dyDescent="0.3">
      <c r="A2241" s="7">
        <v>42092</v>
      </c>
      <c r="B2241" s="4">
        <f>YEAR(SalesData[[#This Row],[Order Date]])</f>
        <v>2015</v>
      </c>
      <c r="C2241" s="4">
        <f>MONTH(SalesData[[#This Row],[Order Date]])</f>
        <v>3</v>
      </c>
      <c r="D2241" s="3" t="s">
        <v>1426</v>
      </c>
      <c r="E2241" s="3" t="s">
        <v>164</v>
      </c>
      <c r="F2241" s="3" t="s">
        <v>11</v>
      </c>
      <c r="G2241" s="3" t="s">
        <v>92</v>
      </c>
      <c r="H2241" s="3" t="s">
        <v>1983</v>
      </c>
      <c r="I2241" s="6">
        <v>73.28</v>
      </c>
      <c r="J2241" s="4">
        <v>4</v>
      </c>
      <c r="K2241" s="6">
        <v>21.25</v>
      </c>
    </row>
    <row r="2242" spans="1:11" x14ac:dyDescent="0.3">
      <c r="A2242" s="7">
        <v>42092</v>
      </c>
      <c r="B2242" s="4">
        <f>YEAR(SalesData[[#This Row],[Order Date]])</f>
        <v>2015</v>
      </c>
      <c r="C2242" s="4">
        <f>MONTH(SalesData[[#This Row],[Order Date]])</f>
        <v>3</v>
      </c>
      <c r="D2242" s="3" t="s">
        <v>289</v>
      </c>
      <c r="E2242" s="3" t="s">
        <v>27</v>
      </c>
      <c r="F2242" s="3" t="s">
        <v>11</v>
      </c>
      <c r="G2242" s="3" t="s">
        <v>12</v>
      </c>
      <c r="H2242" s="3" t="s">
        <v>1984</v>
      </c>
      <c r="I2242" s="6">
        <v>212.64</v>
      </c>
      <c r="J2242" s="4">
        <v>6</v>
      </c>
      <c r="K2242" s="6">
        <v>99.94</v>
      </c>
    </row>
    <row r="2243" spans="1:11" x14ac:dyDescent="0.3">
      <c r="A2243" s="7">
        <v>42092</v>
      </c>
      <c r="B2243" s="4">
        <f>YEAR(SalesData[[#This Row],[Order Date]])</f>
        <v>2015</v>
      </c>
      <c r="C2243" s="4">
        <f>MONTH(SalesData[[#This Row],[Order Date]])</f>
        <v>3</v>
      </c>
      <c r="D2243" s="3" t="s">
        <v>289</v>
      </c>
      <c r="E2243" s="3" t="s">
        <v>27</v>
      </c>
      <c r="F2243" s="3" t="s">
        <v>11</v>
      </c>
      <c r="G2243" s="3" t="s">
        <v>12</v>
      </c>
      <c r="H2243" s="3" t="s">
        <v>1673</v>
      </c>
      <c r="I2243" s="6">
        <v>9.8699999999999992</v>
      </c>
      <c r="J2243" s="4">
        <v>3</v>
      </c>
      <c r="K2243" s="6">
        <v>4.54</v>
      </c>
    </row>
    <row r="2244" spans="1:11" x14ac:dyDescent="0.3">
      <c r="A2244" s="7">
        <v>42092</v>
      </c>
      <c r="B2244" s="4">
        <f>YEAR(SalesData[[#This Row],[Order Date]])</f>
        <v>2015</v>
      </c>
      <c r="C2244" s="4">
        <f>MONTH(SalesData[[#This Row],[Order Date]])</f>
        <v>3</v>
      </c>
      <c r="D2244" s="3" t="s">
        <v>289</v>
      </c>
      <c r="E2244" s="3" t="s">
        <v>27</v>
      </c>
      <c r="F2244" s="3" t="s">
        <v>39</v>
      </c>
      <c r="G2244" s="3" t="s">
        <v>52</v>
      </c>
      <c r="H2244" s="3" t="s">
        <v>1985</v>
      </c>
      <c r="I2244" s="6">
        <v>53.25</v>
      </c>
      <c r="J2244" s="4">
        <v>3</v>
      </c>
      <c r="K2244" s="6">
        <v>20.77</v>
      </c>
    </row>
    <row r="2245" spans="1:11" x14ac:dyDescent="0.3">
      <c r="A2245" s="7">
        <v>42092</v>
      </c>
      <c r="B2245" s="4">
        <f>YEAR(SalesData[[#This Row],[Order Date]])</f>
        <v>2015</v>
      </c>
      <c r="C2245" s="4">
        <f>MONTH(SalesData[[#This Row],[Order Date]])</f>
        <v>3</v>
      </c>
      <c r="D2245" s="3" t="s">
        <v>289</v>
      </c>
      <c r="E2245" s="3" t="s">
        <v>27</v>
      </c>
      <c r="F2245" s="3" t="s">
        <v>34</v>
      </c>
      <c r="G2245" s="3" t="s">
        <v>47</v>
      </c>
      <c r="H2245" s="3" t="s">
        <v>1162</v>
      </c>
      <c r="I2245" s="6">
        <v>19.920000000000002</v>
      </c>
      <c r="J2245" s="4">
        <v>3</v>
      </c>
      <c r="K2245" s="6">
        <v>9.56</v>
      </c>
    </row>
    <row r="2246" spans="1:11" x14ac:dyDescent="0.3">
      <c r="A2246" s="7">
        <v>42092</v>
      </c>
      <c r="B2246" s="4">
        <f>YEAR(SalesData[[#This Row],[Order Date]])</f>
        <v>2015</v>
      </c>
      <c r="C2246" s="4">
        <f>MONTH(SalesData[[#This Row],[Order Date]])</f>
        <v>3</v>
      </c>
      <c r="D2246" s="3" t="s">
        <v>307</v>
      </c>
      <c r="E2246" s="3" t="s">
        <v>55</v>
      </c>
      <c r="F2246" s="3" t="s">
        <v>11</v>
      </c>
      <c r="G2246" s="3" t="s">
        <v>24</v>
      </c>
      <c r="H2246" s="3" t="s">
        <v>326</v>
      </c>
      <c r="I2246" s="6">
        <v>5.56</v>
      </c>
      <c r="J2246" s="4">
        <v>2</v>
      </c>
      <c r="K2246" s="6">
        <v>1.45</v>
      </c>
    </row>
    <row r="2247" spans="1:11" x14ac:dyDescent="0.3">
      <c r="A2247" s="7">
        <v>42092</v>
      </c>
      <c r="B2247" s="4">
        <f>YEAR(SalesData[[#This Row],[Order Date]])</f>
        <v>2015</v>
      </c>
      <c r="C2247" s="4">
        <f>MONTH(SalesData[[#This Row],[Order Date]])</f>
        <v>3</v>
      </c>
      <c r="D2247" s="3" t="s">
        <v>1986</v>
      </c>
      <c r="E2247" s="3" t="s">
        <v>149</v>
      </c>
      <c r="F2247" s="3" t="s">
        <v>11</v>
      </c>
      <c r="G2247" s="3" t="s">
        <v>12</v>
      </c>
      <c r="H2247" s="3" t="s">
        <v>1987</v>
      </c>
      <c r="I2247" s="6">
        <v>17.64</v>
      </c>
      <c r="J2247" s="4">
        <v>4</v>
      </c>
      <c r="K2247" s="6">
        <v>8.11</v>
      </c>
    </row>
    <row r="2248" spans="1:11" x14ac:dyDescent="0.3">
      <c r="A2248" s="7">
        <v>42093</v>
      </c>
      <c r="B2248" s="4">
        <f>YEAR(SalesData[[#This Row],[Order Date]])</f>
        <v>2015</v>
      </c>
      <c r="C2248" s="4">
        <f>MONTH(SalesData[[#This Row],[Order Date]])</f>
        <v>3</v>
      </c>
      <c r="D2248" s="3" t="s">
        <v>1446</v>
      </c>
      <c r="E2248" s="3" t="s">
        <v>15</v>
      </c>
      <c r="F2248" s="3" t="s">
        <v>11</v>
      </c>
      <c r="G2248" s="3" t="s">
        <v>12</v>
      </c>
      <c r="H2248" s="3" t="s">
        <v>1418</v>
      </c>
      <c r="I2248" s="6">
        <v>23.52</v>
      </c>
      <c r="J2248" s="4">
        <v>5</v>
      </c>
      <c r="K2248" s="6">
        <v>8.5299999999999994</v>
      </c>
    </row>
    <row r="2249" spans="1:11" x14ac:dyDescent="0.3">
      <c r="A2249" s="7">
        <v>42093</v>
      </c>
      <c r="B2249" s="4">
        <f>YEAR(SalesData[[#This Row],[Order Date]])</f>
        <v>2015</v>
      </c>
      <c r="C2249" s="4">
        <f>MONTH(SalesData[[#This Row],[Order Date]])</f>
        <v>3</v>
      </c>
      <c r="D2249" s="3" t="s">
        <v>1446</v>
      </c>
      <c r="E2249" s="3" t="s">
        <v>15</v>
      </c>
      <c r="F2249" s="3" t="s">
        <v>39</v>
      </c>
      <c r="G2249" s="3" t="s">
        <v>40</v>
      </c>
      <c r="H2249" s="3" t="s">
        <v>163</v>
      </c>
      <c r="I2249" s="6">
        <v>180.96</v>
      </c>
      <c r="J2249" s="4">
        <v>5</v>
      </c>
      <c r="K2249" s="6">
        <v>13.57</v>
      </c>
    </row>
    <row r="2250" spans="1:11" x14ac:dyDescent="0.3">
      <c r="A2250" s="7">
        <v>42093</v>
      </c>
      <c r="B2250" s="4">
        <f>YEAR(SalesData[[#This Row],[Order Date]])</f>
        <v>2015</v>
      </c>
      <c r="C2250" s="4">
        <f>MONTH(SalesData[[#This Row],[Order Date]])</f>
        <v>3</v>
      </c>
      <c r="D2250" s="3" t="s">
        <v>398</v>
      </c>
      <c r="E2250" s="3" t="s">
        <v>15</v>
      </c>
      <c r="F2250" s="3" t="s">
        <v>34</v>
      </c>
      <c r="G2250" s="3" t="s">
        <v>35</v>
      </c>
      <c r="H2250" s="3" t="s">
        <v>1435</v>
      </c>
      <c r="I2250" s="6">
        <v>366.74</v>
      </c>
      <c r="J2250" s="4">
        <v>4</v>
      </c>
      <c r="K2250" s="6">
        <v>-110.02</v>
      </c>
    </row>
    <row r="2251" spans="1:11" x14ac:dyDescent="0.3">
      <c r="A2251" s="7">
        <v>42094</v>
      </c>
      <c r="B2251" s="4">
        <f>YEAR(SalesData[[#This Row],[Order Date]])</f>
        <v>2015</v>
      </c>
      <c r="C2251" s="4">
        <f>MONTH(SalesData[[#This Row],[Order Date]])</f>
        <v>3</v>
      </c>
      <c r="D2251" s="3" t="s">
        <v>475</v>
      </c>
      <c r="E2251" s="3" t="s">
        <v>123</v>
      </c>
      <c r="F2251" s="3" t="s">
        <v>39</v>
      </c>
      <c r="G2251" s="3" t="s">
        <v>40</v>
      </c>
      <c r="H2251" s="3" t="s">
        <v>1988</v>
      </c>
      <c r="I2251" s="6">
        <v>79.959999999999994</v>
      </c>
      <c r="J2251" s="4">
        <v>5</v>
      </c>
      <c r="K2251" s="6">
        <v>27.99</v>
      </c>
    </row>
    <row r="2252" spans="1:11" x14ac:dyDescent="0.3">
      <c r="A2252" s="7">
        <v>42094</v>
      </c>
      <c r="B2252" s="4">
        <f>YEAR(SalesData[[#This Row],[Order Date]])</f>
        <v>2015</v>
      </c>
      <c r="C2252" s="4">
        <f>MONTH(SalesData[[#This Row],[Order Date]])</f>
        <v>3</v>
      </c>
      <c r="D2252" s="3" t="s">
        <v>922</v>
      </c>
      <c r="E2252" s="3" t="s">
        <v>10</v>
      </c>
      <c r="F2252" s="3" t="s">
        <v>11</v>
      </c>
      <c r="G2252" s="3" t="s">
        <v>12</v>
      </c>
      <c r="H2252" s="3" t="s">
        <v>1989</v>
      </c>
      <c r="I2252" s="6">
        <v>98.38</v>
      </c>
      <c r="J2252" s="4">
        <v>3</v>
      </c>
      <c r="K2252" s="6">
        <v>35.659999999999997</v>
      </c>
    </row>
    <row r="2253" spans="1:11" x14ac:dyDescent="0.3">
      <c r="A2253" s="7">
        <v>42094</v>
      </c>
      <c r="B2253" s="4">
        <f>YEAR(SalesData[[#This Row],[Order Date]])</f>
        <v>2015</v>
      </c>
      <c r="C2253" s="4">
        <f>MONTH(SalesData[[#This Row],[Order Date]])</f>
        <v>3</v>
      </c>
      <c r="D2253" s="3" t="s">
        <v>922</v>
      </c>
      <c r="E2253" s="3" t="s">
        <v>10</v>
      </c>
      <c r="F2253" s="3" t="s">
        <v>34</v>
      </c>
      <c r="G2253" s="3" t="s">
        <v>47</v>
      </c>
      <c r="H2253" s="3" t="s">
        <v>1990</v>
      </c>
      <c r="I2253" s="6">
        <v>22.38</v>
      </c>
      <c r="J2253" s="4">
        <v>3</v>
      </c>
      <c r="K2253" s="6">
        <v>-7.83</v>
      </c>
    </row>
    <row r="2254" spans="1:11" x14ac:dyDescent="0.3">
      <c r="A2254" s="7">
        <v>42096</v>
      </c>
      <c r="B2254" s="4">
        <f>YEAR(SalesData[[#This Row],[Order Date]])</f>
        <v>2015</v>
      </c>
      <c r="C2254" s="4">
        <f>MONTH(SalesData[[#This Row],[Order Date]])</f>
        <v>4</v>
      </c>
      <c r="D2254" s="3" t="s">
        <v>1991</v>
      </c>
      <c r="E2254" s="3" t="s">
        <v>10</v>
      </c>
      <c r="F2254" s="3" t="s">
        <v>11</v>
      </c>
      <c r="G2254" s="3" t="s">
        <v>92</v>
      </c>
      <c r="H2254" s="3" t="s">
        <v>1640</v>
      </c>
      <c r="I2254" s="6">
        <v>32.19</v>
      </c>
      <c r="J2254" s="4">
        <v>2</v>
      </c>
      <c r="K2254" s="6">
        <v>-80.48</v>
      </c>
    </row>
    <row r="2255" spans="1:11" x14ac:dyDescent="0.3">
      <c r="A2255" s="7">
        <v>42096</v>
      </c>
      <c r="B2255" s="4">
        <f>YEAR(SalesData[[#This Row],[Order Date]])</f>
        <v>2015</v>
      </c>
      <c r="C2255" s="4">
        <f>MONTH(SalesData[[#This Row],[Order Date]])</f>
        <v>4</v>
      </c>
      <c r="D2255" s="3" t="s">
        <v>1991</v>
      </c>
      <c r="E2255" s="3" t="s">
        <v>10</v>
      </c>
      <c r="F2255" s="3" t="s">
        <v>39</v>
      </c>
      <c r="G2255" s="3" t="s">
        <v>52</v>
      </c>
      <c r="H2255" s="3" t="s">
        <v>1422</v>
      </c>
      <c r="I2255" s="6">
        <v>50.12</v>
      </c>
      <c r="J2255" s="4">
        <v>7</v>
      </c>
      <c r="K2255" s="6">
        <v>-0.63</v>
      </c>
    </row>
    <row r="2256" spans="1:11" x14ac:dyDescent="0.3">
      <c r="A2256" s="7">
        <v>42096</v>
      </c>
      <c r="B2256" s="4">
        <f>YEAR(SalesData[[#This Row],[Order Date]])</f>
        <v>2015</v>
      </c>
      <c r="C2256" s="4">
        <f>MONTH(SalesData[[#This Row],[Order Date]])</f>
        <v>4</v>
      </c>
      <c r="D2256" s="3" t="s">
        <v>1991</v>
      </c>
      <c r="E2256" s="3" t="s">
        <v>10</v>
      </c>
      <c r="F2256" s="3" t="s">
        <v>39</v>
      </c>
      <c r="G2256" s="3" t="s">
        <v>52</v>
      </c>
      <c r="H2256" s="3" t="s">
        <v>1992</v>
      </c>
      <c r="I2256" s="6">
        <v>47.98</v>
      </c>
      <c r="J2256" s="4">
        <v>3</v>
      </c>
      <c r="K2256" s="6">
        <v>1.8</v>
      </c>
    </row>
    <row r="2257" spans="1:11" x14ac:dyDescent="0.3">
      <c r="A2257" s="7">
        <v>42096</v>
      </c>
      <c r="B2257" s="4">
        <f>YEAR(SalesData[[#This Row],[Order Date]])</f>
        <v>2015</v>
      </c>
      <c r="C2257" s="4">
        <f>MONTH(SalesData[[#This Row],[Order Date]])</f>
        <v>4</v>
      </c>
      <c r="D2257" s="3" t="s">
        <v>1788</v>
      </c>
      <c r="E2257" s="3" t="s">
        <v>10</v>
      </c>
      <c r="F2257" s="3" t="s">
        <v>11</v>
      </c>
      <c r="G2257" s="3" t="s">
        <v>20</v>
      </c>
      <c r="H2257" s="3" t="s">
        <v>1993</v>
      </c>
      <c r="I2257" s="6">
        <v>9.16</v>
      </c>
      <c r="J2257" s="4">
        <v>3</v>
      </c>
      <c r="K2257" s="6">
        <v>-13.73</v>
      </c>
    </row>
    <row r="2258" spans="1:11" x14ac:dyDescent="0.3">
      <c r="A2258" s="7">
        <v>42096</v>
      </c>
      <c r="B2258" s="4">
        <f>YEAR(SalesData[[#This Row],[Order Date]])</f>
        <v>2015</v>
      </c>
      <c r="C2258" s="4">
        <f>MONTH(SalesData[[#This Row],[Order Date]])</f>
        <v>4</v>
      </c>
      <c r="D2258" s="3" t="s">
        <v>1994</v>
      </c>
      <c r="E2258" s="3" t="s">
        <v>27</v>
      </c>
      <c r="F2258" s="3" t="s">
        <v>39</v>
      </c>
      <c r="G2258" s="3" t="s">
        <v>302</v>
      </c>
      <c r="H2258" s="3" t="s">
        <v>1995</v>
      </c>
      <c r="I2258" s="6">
        <v>71.98</v>
      </c>
      <c r="J2258" s="4">
        <v>3</v>
      </c>
      <c r="K2258" s="6">
        <v>24.29</v>
      </c>
    </row>
    <row r="2259" spans="1:11" x14ac:dyDescent="0.3">
      <c r="A2259" s="7">
        <v>42096</v>
      </c>
      <c r="B2259" s="4">
        <f>YEAR(SalesData[[#This Row],[Order Date]])</f>
        <v>2015</v>
      </c>
      <c r="C2259" s="4">
        <f>MONTH(SalesData[[#This Row],[Order Date]])</f>
        <v>4</v>
      </c>
      <c r="D2259" s="3" t="s">
        <v>1004</v>
      </c>
      <c r="E2259" s="3" t="s">
        <v>95</v>
      </c>
      <c r="F2259" s="3" t="s">
        <v>39</v>
      </c>
      <c r="G2259" s="3" t="s">
        <v>40</v>
      </c>
      <c r="H2259" s="3" t="s">
        <v>1764</v>
      </c>
      <c r="I2259" s="6">
        <v>87.8</v>
      </c>
      <c r="J2259" s="4">
        <v>5</v>
      </c>
      <c r="K2259" s="6">
        <v>32.93</v>
      </c>
    </row>
    <row r="2260" spans="1:11" x14ac:dyDescent="0.3">
      <c r="A2260" s="7">
        <v>42098</v>
      </c>
      <c r="B2260" s="4">
        <f>YEAR(SalesData[[#This Row],[Order Date]])</f>
        <v>2015</v>
      </c>
      <c r="C2260" s="4">
        <f>MONTH(SalesData[[#This Row],[Order Date]])</f>
        <v>4</v>
      </c>
      <c r="D2260" s="3" t="s">
        <v>545</v>
      </c>
      <c r="E2260" s="3" t="s">
        <v>149</v>
      </c>
      <c r="F2260" s="3" t="s">
        <v>11</v>
      </c>
      <c r="G2260" s="3" t="s">
        <v>24</v>
      </c>
      <c r="H2260" s="3" t="s">
        <v>645</v>
      </c>
      <c r="I2260" s="6">
        <v>11.16</v>
      </c>
      <c r="J2260" s="4">
        <v>2</v>
      </c>
      <c r="K2260" s="6">
        <v>4.3499999999999996</v>
      </c>
    </row>
    <row r="2261" spans="1:11" x14ac:dyDescent="0.3">
      <c r="A2261" s="7">
        <v>42098</v>
      </c>
      <c r="B2261" s="4">
        <f>YEAR(SalesData[[#This Row],[Order Date]])</f>
        <v>2015</v>
      </c>
      <c r="C2261" s="4">
        <f>MONTH(SalesData[[#This Row],[Order Date]])</f>
        <v>4</v>
      </c>
      <c r="D2261" s="3" t="s">
        <v>545</v>
      </c>
      <c r="E2261" s="3" t="s">
        <v>149</v>
      </c>
      <c r="F2261" s="3" t="s">
        <v>34</v>
      </c>
      <c r="G2261" s="3" t="s">
        <v>47</v>
      </c>
      <c r="H2261" s="3" t="s">
        <v>1996</v>
      </c>
      <c r="I2261" s="6">
        <v>108.4</v>
      </c>
      <c r="J2261" s="4">
        <v>2</v>
      </c>
      <c r="K2261" s="6">
        <v>22.76</v>
      </c>
    </row>
    <row r="2262" spans="1:11" x14ac:dyDescent="0.3">
      <c r="A2262" s="7">
        <v>42098</v>
      </c>
      <c r="B2262" s="4">
        <f>YEAR(SalesData[[#This Row],[Order Date]])</f>
        <v>2015</v>
      </c>
      <c r="C2262" s="4">
        <f>MONTH(SalesData[[#This Row],[Order Date]])</f>
        <v>4</v>
      </c>
      <c r="D2262" s="3" t="s">
        <v>545</v>
      </c>
      <c r="E2262" s="3" t="s">
        <v>149</v>
      </c>
      <c r="F2262" s="3" t="s">
        <v>11</v>
      </c>
      <c r="G2262" s="3" t="s">
        <v>20</v>
      </c>
      <c r="H2262" s="3" t="s">
        <v>368</v>
      </c>
      <c r="I2262" s="6">
        <v>82.34</v>
      </c>
      <c r="J2262" s="4">
        <v>3</v>
      </c>
      <c r="K2262" s="6">
        <v>27.79</v>
      </c>
    </row>
    <row r="2263" spans="1:11" x14ac:dyDescent="0.3">
      <c r="A2263" s="7">
        <v>42098</v>
      </c>
      <c r="B2263" s="4">
        <f>YEAR(SalesData[[#This Row],[Order Date]])</f>
        <v>2015</v>
      </c>
      <c r="C2263" s="4">
        <f>MONTH(SalesData[[#This Row],[Order Date]])</f>
        <v>4</v>
      </c>
      <c r="D2263" s="3" t="s">
        <v>545</v>
      </c>
      <c r="E2263" s="3" t="s">
        <v>149</v>
      </c>
      <c r="F2263" s="3" t="s">
        <v>11</v>
      </c>
      <c r="G2263" s="3" t="s">
        <v>20</v>
      </c>
      <c r="H2263" s="3" t="s">
        <v>423</v>
      </c>
      <c r="I2263" s="6">
        <v>9.09</v>
      </c>
      <c r="J2263" s="4">
        <v>4</v>
      </c>
      <c r="K2263" s="6">
        <v>3.29</v>
      </c>
    </row>
    <row r="2264" spans="1:11" x14ac:dyDescent="0.3">
      <c r="A2264" s="7">
        <v>42098</v>
      </c>
      <c r="B2264" s="4">
        <f>YEAR(SalesData[[#This Row],[Order Date]])</f>
        <v>2015</v>
      </c>
      <c r="C2264" s="4">
        <f>MONTH(SalesData[[#This Row],[Order Date]])</f>
        <v>4</v>
      </c>
      <c r="D2264" s="3" t="s">
        <v>417</v>
      </c>
      <c r="E2264" s="3" t="s">
        <v>110</v>
      </c>
      <c r="F2264" s="3" t="s">
        <v>11</v>
      </c>
      <c r="G2264" s="3" t="s">
        <v>92</v>
      </c>
      <c r="H2264" s="3" t="s">
        <v>1997</v>
      </c>
      <c r="I2264" s="6">
        <v>644.08000000000004</v>
      </c>
      <c r="J2264" s="4">
        <v>2</v>
      </c>
      <c r="K2264" s="6">
        <v>107.35</v>
      </c>
    </row>
    <row r="2265" spans="1:11" x14ac:dyDescent="0.3">
      <c r="A2265" s="7">
        <v>42098</v>
      </c>
      <c r="B2265" s="4">
        <f>YEAR(SalesData[[#This Row],[Order Date]])</f>
        <v>2015</v>
      </c>
      <c r="C2265" s="4">
        <f>MONTH(SalesData[[#This Row],[Order Date]])</f>
        <v>4</v>
      </c>
      <c r="D2265" s="3" t="s">
        <v>417</v>
      </c>
      <c r="E2265" s="3" t="s">
        <v>110</v>
      </c>
      <c r="F2265" s="3" t="s">
        <v>11</v>
      </c>
      <c r="G2265" s="3" t="s">
        <v>43</v>
      </c>
      <c r="H2265" s="3" t="s">
        <v>160</v>
      </c>
      <c r="I2265" s="6">
        <v>5.84</v>
      </c>
      <c r="J2265" s="4">
        <v>2</v>
      </c>
      <c r="K2265" s="6">
        <v>2.63</v>
      </c>
    </row>
    <row r="2266" spans="1:11" x14ac:dyDescent="0.3">
      <c r="A2266" s="7">
        <v>42098</v>
      </c>
      <c r="B2266" s="4">
        <f>YEAR(SalesData[[#This Row],[Order Date]])</f>
        <v>2015</v>
      </c>
      <c r="C2266" s="4">
        <f>MONTH(SalesData[[#This Row],[Order Date]])</f>
        <v>4</v>
      </c>
      <c r="D2266" s="3" t="s">
        <v>417</v>
      </c>
      <c r="E2266" s="3" t="s">
        <v>110</v>
      </c>
      <c r="F2266" s="3" t="s">
        <v>11</v>
      </c>
      <c r="G2266" s="3" t="s">
        <v>20</v>
      </c>
      <c r="H2266" s="3" t="s">
        <v>1700</v>
      </c>
      <c r="I2266" s="6">
        <v>12.76</v>
      </c>
      <c r="J2266" s="4">
        <v>2</v>
      </c>
      <c r="K2266" s="6">
        <v>5.87</v>
      </c>
    </row>
    <row r="2267" spans="1:11" x14ac:dyDescent="0.3">
      <c r="A2267" s="7">
        <v>42098</v>
      </c>
      <c r="B2267" s="4">
        <f>YEAR(SalesData[[#This Row],[Order Date]])</f>
        <v>2015</v>
      </c>
      <c r="C2267" s="4">
        <f>MONTH(SalesData[[#This Row],[Order Date]])</f>
        <v>4</v>
      </c>
      <c r="D2267" s="3" t="s">
        <v>417</v>
      </c>
      <c r="E2267" s="3" t="s">
        <v>110</v>
      </c>
      <c r="F2267" s="3" t="s">
        <v>39</v>
      </c>
      <c r="G2267" s="3" t="s">
        <v>40</v>
      </c>
      <c r="H2267" s="3" t="s">
        <v>1755</v>
      </c>
      <c r="I2267" s="6">
        <v>10.95</v>
      </c>
      <c r="J2267" s="4">
        <v>1</v>
      </c>
      <c r="K2267" s="6">
        <v>0.44</v>
      </c>
    </row>
    <row r="2268" spans="1:11" x14ac:dyDescent="0.3">
      <c r="A2268" s="7">
        <v>42098</v>
      </c>
      <c r="B2268" s="4">
        <f>YEAR(SalesData[[#This Row],[Order Date]])</f>
        <v>2015</v>
      </c>
      <c r="C2268" s="4">
        <f>MONTH(SalesData[[#This Row],[Order Date]])</f>
        <v>4</v>
      </c>
      <c r="D2268" s="3" t="s">
        <v>417</v>
      </c>
      <c r="E2268" s="3" t="s">
        <v>110</v>
      </c>
      <c r="F2268" s="3" t="s">
        <v>39</v>
      </c>
      <c r="G2268" s="3" t="s">
        <v>603</v>
      </c>
      <c r="H2268" s="3" t="s">
        <v>604</v>
      </c>
      <c r="I2268" s="6">
        <v>599.98</v>
      </c>
      <c r="J2268" s="4">
        <v>2</v>
      </c>
      <c r="K2268" s="6">
        <v>209.99</v>
      </c>
    </row>
    <row r="2269" spans="1:11" x14ac:dyDescent="0.3">
      <c r="A2269" s="7">
        <v>42099</v>
      </c>
      <c r="B2269" s="4">
        <f>YEAR(SalesData[[#This Row],[Order Date]])</f>
        <v>2015</v>
      </c>
      <c r="C2269" s="4">
        <f>MONTH(SalesData[[#This Row],[Order Date]])</f>
        <v>4</v>
      </c>
      <c r="D2269" s="3" t="s">
        <v>1521</v>
      </c>
      <c r="E2269" s="3" t="s">
        <v>120</v>
      </c>
      <c r="F2269" s="3" t="s">
        <v>11</v>
      </c>
      <c r="G2269" s="3" t="s">
        <v>20</v>
      </c>
      <c r="H2269" s="3" t="s">
        <v>1777</v>
      </c>
      <c r="I2269" s="6">
        <v>157.79</v>
      </c>
      <c r="J2269" s="4">
        <v>1</v>
      </c>
      <c r="K2269" s="6">
        <v>-115.72</v>
      </c>
    </row>
    <row r="2270" spans="1:11" x14ac:dyDescent="0.3">
      <c r="A2270" s="7">
        <v>42099</v>
      </c>
      <c r="B2270" s="4">
        <f>YEAR(SalesData[[#This Row],[Order Date]])</f>
        <v>2015</v>
      </c>
      <c r="C2270" s="4">
        <f>MONTH(SalesData[[#This Row],[Order Date]])</f>
        <v>4</v>
      </c>
      <c r="D2270" s="3" t="s">
        <v>786</v>
      </c>
      <c r="E2270" s="3" t="s">
        <v>23</v>
      </c>
      <c r="F2270" s="3" t="s">
        <v>11</v>
      </c>
      <c r="G2270" s="3" t="s">
        <v>92</v>
      </c>
      <c r="H2270" s="3" t="s">
        <v>1754</v>
      </c>
      <c r="I2270" s="6">
        <v>98.11</v>
      </c>
      <c r="J2270" s="4">
        <v>7</v>
      </c>
      <c r="K2270" s="6">
        <v>18.399999999999999</v>
      </c>
    </row>
    <row r="2271" spans="1:11" x14ac:dyDescent="0.3">
      <c r="A2271" s="7">
        <v>42099</v>
      </c>
      <c r="B2271" s="4">
        <f>YEAR(SalesData[[#This Row],[Order Date]])</f>
        <v>2015</v>
      </c>
      <c r="C2271" s="4">
        <f>MONTH(SalesData[[#This Row],[Order Date]])</f>
        <v>4</v>
      </c>
      <c r="D2271" s="3" t="s">
        <v>786</v>
      </c>
      <c r="E2271" s="3" t="s">
        <v>23</v>
      </c>
      <c r="F2271" s="3" t="s">
        <v>11</v>
      </c>
      <c r="G2271" s="3" t="s">
        <v>18</v>
      </c>
      <c r="H2271" s="3" t="s">
        <v>1449</v>
      </c>
      <c r="I2271" s="6">
        <v>563.80999999999995</v>
      </c>
      <c r="J2271" s="4">
        <v>4</v>
      </c>
      <c r="K2271" s="6">
        <v>21.14</v>
      </c>
    </row>
    <row r="2272" spans="1:11" x14ac:dyDescent="0.3">
      <c r="A2272" s="7">
        <v>42099</v>
      </c>
      <c r="B2272" s="4">
        <f>YEAR(SalesData[[#This Row],[Order Date]])</f>
        <v>2015</v>
      </c>
      <c r="C2272" s="4">
        <f>MONTH(SalesData[[#This Row],[Order Date]])</f>
        <v>4</v>
      </c>
      <c r="D2272" s="3" t="s">
        <v>786</v>
      </c>
      <c r="E2272" s="3" t="s">
        <v>23</v>
      </c>
      <c r="F2272" s="3" t="s">
        <v>11</v>
      </c>
      <c r="G2272" s="3" t="s">
        <v>20</v>
      </c>
      <c r="H2272" s="3" t="s">
        <v>1998</v>
      </c>
      <c r="I2272" s="6">
        <v>10.43</v>
      </c>
      <c r="J2272" s="4">
        <v>4</v>
      </c>
      <c r="K2272" s="6">
        <v>-6.95</v>
      </c>
    </row>
    <row r="2273" spans="1:11" x14ac:dyDescent="0.3">
      <c r="A2273" s="7">
        <v>42099</v>
      </c>
      <c r="B2273" s="4">
        <f>YEAR(SalesData[[#This Row],[Order Date]])</f>
        <v>2015</v>
      </c>
      <c r="C2273" s="4">
        <f>MONTH(SalesData[[#This Row],[Order Date]])</f>
        <v>4</v>
      </c>
      <c r="D2273" s="3" t="s">
        <v>786</v>
      </c>
      <c r="E2273" s="3" t="s">
        <v>23</v>
      </c>
      <c r="F2273" s="3" t="s">
        <v>34</v>
      </c>
      <c r="G2273" s="3" t="s">
        <v>47</v>
      </c>
      <c r="H2273" s="3" t="s">
        <v>1554</v>
      </c>
      <c r="I2273" s="6">
        <v>547.14</v>
      </c>
      <c r="J2273" s="4">
        <v>4</v>
      </c>
      <c r="K2273" s="6">
        <v>-68.39</v>
      </c>
    </row>
    <row r="2274" spans="1:11" x14ac:dyDescent="0.3">
      <c r="A2274" s="7">
        <v>42099</v>
      </c>
      <c r="B2274" s="4">
        <f>YEAR(SalesData[[#This Row],[Order Date]])</f>
        <v>2015</v>
      </c>
      <c r="C2274" s="4">
        <f>MONTH(SalesData[[#This Row],[Order Date]])</f>
        <v>4</v>
      </c>
      <c r="D2274" s="3" t="s">
        <v>786</v>
      </c>
      <c r="E2274" s="3" t="s">
        <v>23</v>
      </c>
      <c r="F2274" s="3" t="s">
        <v>39</v>
      </c>
      <c r="G2274" s="3" t="s">
        <v>40</v>
      </c>
      <c r="H2274" s="3" t="s">
        <v>1999</v>
      </c>
      <c r="I2274" s="6">
        <v>14.85</v>
      </c>
      <c r="J2274" s="4">
        <v>5</v>
      </c>
      <c r="K2274" s="6">
        <v>-3.22</v>
      </c>
    </row>
    <row r="2275" spans="1:11" x14ac:dyDescent="0.3">
      <c r="A2275" s="7">
        <v>42099</v>
      </c>
      <c r="B2275" s="4">
        <f>YEAR(SalesData[[#This Row],[Order Date]])</f>
        <v>2015</v>
      </c>
      <c r="C2275" s="4">
        <f>MONTH(SalesData[[#This Row],[Order Date]])</f>
        <v>4</v>
      </c>
      <c r="D2275" s="3" t="s">
        <v>786</v>
      </c>
      <c r="E2275" s="3" t="s">
        <v>23</v>
      </c>
      <c r="F2275" s="3" t="s">
        <v>39</v>
      </c>
      <c r="G2275" s="3" t="s">
        <v>40</v>
      </c>
      <c r="H2275" s="3" t="s">
        <v>1881</v>
      </c>
      <c r="I2275" s="6">
        <v>41.99</v>
      </c>
      <c r="J2275" s="4">
        <v>2</v>
      </c>
      <c r="K2275" s="6">
        <v>-9.8000000000000007</v>
      </c>
    </row>
    <row r="2276" spans="1:11" x14ac:dyDescent="0.3">
      <c r="A2276" s="7">
        <v>42099</v>
      </c>
      <c r="B2276" s="4">
        <f>YEAR(SalesData[[#This Row],[Order Date]])</f>
        <v>2015</v>
      </c>
      <c r="C2276" s="4">
        <f>MONTH(SalesData[[#This Row],[Order Date]])</f>
        <v>4</v>
      </c>
      <c r="D2276" s="3" t="s">
        <v>786</v>
      </c>
      <c r="E2276" s="3" t="s">
        <v>23</v>
      </c>
      <c r="F2276" s="3" t="s">
        <v>34</v>
      </c>
      <c r="G2276" s="3" t="s">
        <v>47</v>
      </c>
      <c r="H2276" s="3" t="s">
        <v>2000</v>
      </c>
      <c r="I2276" s="6">
        <v>7.58</v>
      </c>
      <c r="J2276" s="4">
        <v>1</v>
      </c>
      <c r="K2276" s="6">
        <v>2.37</v>
      </c>
    </row>
    <row r="2277" spans="1:11" x14ac:dyDescent="0.3">
      <c r="A2277" s="7">
        <v>42099</v>
      </c>
      <c r="B2277" s="4">
        <f>YEAR(SalesData[[#This Row],[Order Date]])</f>
        <v>2015</v>
      </c>
      <c r="C2277" s="4">
        <f>MONTH(SalesData[[#This Row],[Order Date]])</f>
        <v>4</v>
      </c>
      <c r="D2277" s="3" t="s">
        <v>786</v>
      </c>
      <c r="E2277" s="3" t="s">
        <v>23</v>
      </c>
      <c r="F2277" s="3" t="s">
        <v>34</v>
      </c>
      <c r="G2277" s="3" t="s">
        <v>74</v>
      </c>
      <c r="H2277" s="3" t="s">
        <v>342</v>
      </c>
      <c r="I2277" s="6">
        <v>352.45</v>
      </c>
      <c r="J2277" s="4">
        <v>5</v>
      </c>
      <c r="K2277" s="6">
        <v>-211.47</v>
      </c>
    </row>
    <row r="2278" spans="1:11" x14ac:dyDescent="0.3">
      <c r="A2278" s="7">
        <v>42099</v>
      </c>
      <c r="B2278" s="4">
        <f>YEAR(SalesData[[#This Row],[Order Date]])</f>
        <v>2015</v>
      </c>
      <c r="C2278" s="4">
        <f>MONTH(SalesData[[#This Row],[Order Date]])</f>
        <v>4</v>
      </c>
      <c r="D2278" s="3" t="s">
        <v>677</v>
      </c>
      <c r="E2278" s="3" t="s">
        <v>23</v>
      </c>
      <c r="F2278" s="3" t="s">
        <v>11</v>
      </c>
      <c r="G2278" s="3" t="s">
        <v>16</v>
      </c>
      <c r="H2278" s="3" t="s">
        <v>1336</v>
      </c>
      <c r="I2278" s="6">
        <v>23.9</v>
      </c>
      <c r="J2278" s="4">
        <v>6</v>
      </c>
      <c r="K2278" s="6">
        <v>7.77</v>
      </c>
    </row>
    <row r="2279" spans="1:11" x14ac:dyDescent="0.3">
      <c r="A2279" s="7">
        <v>42099</v>
      </c>
      <c r="B2279" s="4">
        <f>YEAR(SalesData[[#This Row],[Order Date]])</f>
        <v>2015</v>
      </c>
      <c r="C2279" s="4">
        <f>MONTH(SalesData[[#This Row],[Order Date]])</f>
        <v>4</v>
      </c>
      <c r="D2279" s="3" t="s">
        <v>139</v>
      </c>
      <c r="E2279" s="3" t="s">
        <v>27</v>
      </c>
      <c r="F2279" s="3" t="s">
        <v>34</v>
      </c>
      <c r="G2279" s="3" t="s">
        <v>35</v>
      </c>
      <c r="H2279" s="3" t="s">
        <v>572</v>
      </c>
      <c r="I2279" s="6">
        <v>892.22</v>
      </c>
      <c r="J2279" s="4">
        <v>3</v>
      </c>
      <c r="K2279" s="6">
        <v>89.22</v>
      </c>
    </row>
    <row r="2280" spans="1:11" x14ac:dyDescent="0.3">
      <c r="A2280" s="7">
        <v>42099</v>
      </c>
      <c r="B2280" s="4">
        <f>YEAR(SalesData[[#This Row],[Order Date]])</f>
        <v>2015</v>
      </c>
      <c r="C2280" s="4">
        <f>MONTH(SalesData[[#This Row],[Order Date]])</f>
        <v>4</v>
      </c>
      <c r="D2280" s="3" t="s">
        <v>829</v>
      </c>
      <c r="E2280" s="3" t="s">
        <v>164</v>
      </c>
      <c r="F2280" s="3" t="s">
        <v>39</v>
      </c>
      <c r="G2280" s="3" t="s">
        <v>52</v>
      </c>
      <c r="H2280" s="3" t="s">
        <v>1086</v>
      </c>
      <c r="I2280" s="6">
        <v>239.94</v>
      </c>
      <c r="J2280" s="4">
        <v>6</v>
      </c>
      <c r="K2280" s="6">
        <v>26.39</v>
      </c>
    </row>
    <row r="2281" spans="1:11" x14ac:dyDescent="0.3">
      <c r="A2281" s="7">
        <v>42099</v>
      </c>
      <c r="B2281" s="4">
        <f>YEAR(SalesData[[#This Row],[Order Date]])</f>
        <v>2015</v>
      </c>
      <c r="C2281" s="4">
        <f>MONTH(SalesData[[#This Row],[Order Date]])</f>
        <v>4</v>
      </c>
      <c r="D2281" s="3" t="s">
        <v>829</v>
      </c>
      <c r="E2281" s="3" t="s">
        <v>164</v>
      </c>
      <c r="F2281" s="3" t="s">
        <v>11</v>
      </c>
      <c r="G2281" s="3" t="s">
        <v>24</v>
      </c>
      <c r="H2281" s="3" t="s">
        <v>2001</v>
      </c>
      <c r="I2281" s="6">
        <v>23.84</v>
      </c>
      <c r="J2281" s="4">
        <v>8</v>
      </c>
      <c r="K2281" s="6">
        <v>6.44</v>
      </c>
    </row>
    <row r="2282" spans="1:11" x14ac:dyDescent="0.3">
      <c r="A2282" s="7">
        <v>42100</v>
      </c>
      <c r="B2282" s="4">
        <f>YEAR(SalesData[[#This Row],[Order Date]])</f>
        <v>2015</v>
      </c>
      <c r="C2282" s="4">
        <f>MONTH(SalesData[[#This Row],[Order Date]])</f>
        <v>4</v>
      </c>
      <c r="D2282" s="3" t="s">
        <v>1371</v>
      </c>
      <c r="E2282" s="3" t="s">
        <v>10</v>
      </c>
      <c r="F2282" s="3" t="s">
        <v>11</v>
      </c>
      <c r="G2282" s="3" t="s">
        <v>24</v>
      </c>
      <c r="H2282" s="3" t="s">
        <v>51</v>
      </c>
      <c r="I2282" s="6">
        <v>42.05</v>
      </c>
      <c r="J2282" s="4">
        <v>9</v>
      </c>
      <c r="K2282" s="6">
        <v>5.26</v>
      </c>
    </row>
    <row r="2283" spans="1:11" x14ac:dyDescent="0.3">
      <c r="A2283" s="7">
        <v>42100</v>
      </c>
      <c r="B2283" s="4">
        <f>YEAR(SalesData[[#This Row],[Order Date]])</f>
        <v>2015</v>
      </c>
      <c r="C2283" s="4">
        <f>MONTH(SalesData[[#This Row],[Order Date]])</f>
        <v>4</v>
      </c>
      <c r="D2283" s="3" t="s">
        <v>1371</v>
      </c>
      <c r="E2283" s="3" t="s">
        <v>10</v>
      </c>
      <c r="F2283" s="3" t="s">
        <v>39</v>
      </c>
      <c r="G2283" s="3" t="s">
        <v>52</v>
      </c>
      <c r="H2283" s="3" t="s">
        <v>598</v>
      </c>
      <c r="I2283" s="6">
        <v>25.49</v>
      </c>
      <c r="J2283" s="4">
        <v>2</v>
      </c>
      <c r="K2283" s="6">
        <v>4.46</v>
      </c>
    </row>
    <row r="2284" spans="1:11" x14ac:dyDescent="0.3">
      <c r="A2284" s="7">
        <v>42100</v>
      </c>
      <c r="B2284" s="4">
        <f>YEAR(SalesData[[#This Row],[Order Date]])</f>
        <v>2015</v>
      </c>
      <c r="C2284" s="4">
        <f>MONTH(SalesData[[#This Row],[Order Date]])</f>
        <v>4</v>
      </c>
      <c r="D2284" s="3" t="s">
        <v>1371</v>
      </c>
      <c r="E2284" s="3" t="s">
        <v>10</v>
      </c>
      <c r="F2284" s="3" t="s">
        <v>11</v>
      </c>
      <c r="G2284" s="3" t="s">
        <v>20</v>
      </c>
      <c r="H2284" s="3" t="s">
        <v>1372</v>
      </c>
      <c r="I2284" s="6">
        <v>6.9</v>
      </c>
      <c r="J2284" s="4">
        <v>3</v>
      </c>
      <c r="K2284" s="6">
        <v>-12.08</v>
      </c>
    </row>
    <row r="2285" spans="1:11" x14ac:dyDescent="0.3">
      <c r="A2285" s="7">
        <v>42100</v>
      </c>
      <c r="B2285" s="4">
        <f>YEAR(SalesData[[#This Row],[Order Date]])</f>
        <v>2015</v>
      </c>
      <c r="C2285" s="4">
        <f>MONTH(SalesData[[#This Row],[Order Date]])</f>
        <v>4</v>
      </c>
      <c r="D2285" s="3" t="s">
        <v>1371</v>
      </c>
      <c r="E2285" s="3" t="s">
        <v>10</v>
      </c>
      <c r="F2285" s="3" t="s">
        <v>11</v>
      </c>
      <c r="G2285" s="3" t="s">
        <v>20</v>
      </c>
      <c r="H2285" s="3" t="s">
        <v>467</v>
      </c>
      <c r="I2285" s="6">
        <v>9.65</v>
      </c>
      <c r="J2285" s="4">
        <v>6</v>
      </c>
      <c r="K2285" s="6">
        <v>-16.88</v>
      </c>
    </row>
    <row r="2286" spans="1:11" x14ac:dyDescent="0.3">
      <c r="A2286" s="7">
        <v>42100</v>
      </c>
      <c r="B2286" s="4">
        <f>YEAR(SalesData[[#This Row],[Order Date]])</f>
        <v>2015</v>
      </c>
      <c r="C2286" s="4">
        <f>MONTH(SalesData[[#This Row],[Order Date]])</f>
        <v>4</v>
      </c>
      <c r="D2286" s="3" t="s">
        <v>1371</v>
      </c>
      <c r="E2286" s="3" t="s">
        <v>10</v>
      </c>
      <c r="F2286" s="3" t="s">
        <v>11</v>
      </c>
      <c r="G2286" s="3" t="s">
        <v>12</v>
      </c>
      <c r="H2286" s="3" t="s">
        <v>679</v>
      </c>
      <c r="I2286" s="6">
        <v>7.97</v>
      </c>
      <c r="J2286" s="4">
        <v>2</v>
      </c>
      <c r="K2286" s="6">
        <v>2.89</v>
      </c>
    </row>
    <row r="2287" spans="1:11" x14ac:dyDescent="0.3">
      <c r="A2287" s="7">
        <v>42100</v>
      </c>
      <c r="B2287" s="4">
        <f>YEAR(SalesData[[#This Row],[Order Date]])</f>
        <v>2015</v>
      </c>
      <c r="C2287" s="4">
        <f>MONTH(SalesData[[#This Row],[Order Date]])</f>
        <v>4</v>
      </c>
      <c r="D2287" s="3" t="s">
        <v>935</v>
      </c>
      <c r="E2287" s="3" t="s">
        <v>245</v>
      </c>
      <c r="F2287" s="3" t="s">
        <v>11</v>
      </c>
      <c r="G2287" s="3" t="s">
        <v>12</v>
      </c>
      <c r="H2287" s="3" t="s">
        <v>1052</v>
      </c>
      <c r="I2287" s="6">
        <v>47.95</v>
      </c>
      <c r="J2287" s="4">
        <v>3</v>
      </c>
      <c r="K2287" s="6">
        <v>16.18</v>
      </c>
    </row>
    <row r="2288" spans="1:11" x14ac:dyDescent="0.3">
      <c r="A2288" s="7">
        <v>42101</v>
      </c>
      <c r="B2288" s="4">
        <f>YEAR(SalesData[[#This Row],[Order Date]])</f>
        <v>2015</v>
      </c>
      <c r="C2288" s="4">
        <f>MONTH(SalesData[[#This Row],[Order Date]])</f>
        <v>4</v>
      </c>
      <c r="D2288" s="3" t="s">
        <v>618</v>
      </c>
      <c r="E2288" s="3" t="s">
        <v>10</v>
      </c>
      <c r="F2288" s="3" t="s">
        <v>11</v>
      </c>
      <c r="G2288" s="3" t="s">
        <v>92</v>
      </c>
      <c r="H2288" s="3" t="s">
        <v>1853</v>
      </c>
      <c r="I2288" s="6">
        <v>463.25</v>
      </c>
      <c r="J2288" s="4">
        <v>8</v>
      </c>
      <c r="K2288" s="6">
        <v>-1181.28</v>
      </c>
    </row>
    <row r="2289" spans="1:11" x14ac:dyDescent="0.3">
      <c r="A2289" s="7">
        <v>42101</v>
      </c>
      <c r="B2289" s="4">
        <f>YEAR(SalesData[[#This Row],[Order Date]])</f>
        <v>2015</v>
      </c>
      <c r="C2289" s="4">
        <f>MONTH(SalesData[[#This Row],[Order Date]])</f>
        <v>4</v>
      </c>
      <c r="D2289" s="3" t="s">
        <v>618</v>
      </c>
      <c r="E2289" s="3" t="s">
        <v>10</v>
      </c>
      <c r="F2289" s="3" t="s">
        <v>39</v>
      </c>
      <c r="G2289" s="3" t="s">
        <v>52</v>
      </c>
      <c r="H2289" s="3" t="s">
        <v>2002</v>
      </c>
      <c r="I2289" s="6">
        <v>383.95</v>
      </c>
      <c r="J2289" s="4">
        <v>6</v>
      </c>
      <c r="K2289" s="6">
        <v>47.99</v>
      </c>
    </row>
    <row r="2290" spans="1:11" x14ac:dyDescent="0.3">
      <c r="A2290" s="7">
        <v>42101</v>
      </c>
      <c r="B2290" s="4">
        <f>YEAR(SalesData[[#This Row],[Order Date]])</f>
        <v>2015</v>
      </c>
      <c r="C2290" s="4">
        <f>MONTH(SalesData[[#This Row],[Order Date]])</f>
        <v>4</v>
      </c>
      <c r="D2290" s="3" t="s">
        <v>1177</v>
      </c>
      <c r="E2290" s="3" t="s">
        <v>23</v>
      </c>
      <c r="F2290" s="3" t="s">
        <v>11</v>
      </c>
      <c r="G2290" s="3" t="s">
        <v>24</v>
      </c>
      <c r="H2290" s="3" t="s">
        <v>1713</v>
      </c>
      <c r="I2290" s="6">
        <v>11.74</v>
      </c>
      <c r="J2290" s="4">
        <v>3</v>
      </c>
      <c r="K2290" s="6">
        <v>1.03</v>
      </c>
    </row>
    <row r="2291" spans="1:11" x14ac:dyDescent="0.3">
      <c r="A2291" s="7">
        <v>42101</v>
      </c>
      <c r="B2291" s="4">
        <f>YEAR(SalesData[[#This Row],[Order Date]])</f>
        <v>2015</v>
      </c>
      <c r="C2291" s="4">
        <f>MONTH(SalesData[[#This Row],[Order Date]])</f>
        <v>4</v>
      </c>
      <c r="D2291" s="3" t="s">
        <v>712</v>
      </c>
      <c r="E2291" s="3" t="s">
        <v>149</v>
      </c>
      <c r="F2291" s="3" t="s">
        <v>11</v>
      </c>
      <c r="G2291" s="3" t="s">
        <v>12</v>
      </c>
      <c r="H2291" s="3" t="s">
        <v>1622</v>
      </c>
      <c r="I2291" s="6">
        <v>25.92</v>
      </c>
      <c r="J2291" s="4">
        <v>4</v>
      </c>
      <c r="K2291" s="6">
        <v>12.44</v>
      </c>
    </row>
    <row r="2292" spans="1:11" x14ac:dyDescent="0.3">
      <c r="A2292" s="7">
        <v>42101</v>
      </c>
      <c r="B2292" s="4">
        <f>YEAR(SalesData[[#This Row],[Order Date]])</f>
        <v>2015</v>
      </c>
      <c r="C2292" s="4">
        <f>MONTH(SalesData[[#This Row],[Order Date]])</f>
        <v>4</v>
      </c>
      <c r="D2292" s="3" t="s">
        <v>712</v>
      </c>
      <c r="E2292" s="3" t="s">
        <v>149</v>
      </c>
      <c r="F2292" s="3" t="s">
        <v>11</v>
      </c>
      <c r="G2292" s="3" t="s">
        <v>18</v>
      </c>
      <c r="H2292" s="3" t="s">
        <v>585</v>
      </c>
      <c r="I2292" s="6">
        <v>22.58</v>
      </c>
      <c r="J2292" s="4">
        <v>2</v>
      </c>
      <c r="K2292" s="6">
        <v>5.87</v>
      </c>
    </row>
    <row r="2293" spans="1:11" x14ac:dyDescent="0.3">
      <c r="A2293" s="7">
        <v>42103</v>
      </c>
      <c r="B2293" s="4">
        <f>YEAR(SalesData[[#This Row],[Order Date]])</f>
        <v>2015</v>
      </c>
      <c r="C2293" s="4">
        <f>MONTH(SalesData[[#This Row],[Order Date]])</f>
        <v>4</v>
      </c>
      <c r="D2293" s="3" t="s">
        <v>505</v>
      </c>
      <c r="E2293" s="3" t="s">
        <v>27</v>
      </c>
      <c r="F2293" s="3" t="s">
        <v>34</v>
      </c>
      <c r="G2293" s="3" t="s">
        <v>145</v>
      </c>
      <c r="H2293" s="3" t="s">
        <v>2003</v>
      </c>
      <c r="I2293" s="6">
        <v>369.91</v>
      </c>
      <c r="J2293" s="4">
        <v>3</v>
      </c>
      <c r="K2293" s="6">
        <v>-13.87</v>
      </c>
    </row>
    <row r="2294" spans="1:11" x14ac:dyDescent="0.3">
      <c r="A2294" s="7">
        <v>42103</v>
      </c>
      <c r="B2294" s="4">
        <f>YEAR(SalesData[[#This Row],[Order Date]])</f>
        <v>2015</v>
      </c>
      <c r="C2294" s="4">
        <f>MONTH(SalesData[[#This Row],[Order Date]])</f>
        <v>4</v>
      </c>
      <c r="D2294" s="3" t="s">
        <v>831</v>
      </c>
      <c r="E2294" s="3" t="s">
        <v>149</v>
      </c>
      <c r="F2294" s="3" t="s">
        <v>11</v>
      </c>
      <c r="G2294" s="3" t="s">
        <v>18</v>
      </c>
      <c r="H2294" s="3" t="s">
        <v>927</v>
      </c>
      <c r="I2294" s="6">
        <v>17.940000000000001</v>
      </c>
      <c r="J2294" s="4">
        <v>3</v>
      </c>
      <c r="K2294" s="6">
        <v>3.05</v>
      </c>
    </row>
    <row r="2295" spans="1:11" x14ac:dyDescent="0.3">
      <c r="A2295" s="7">
        <v>42103</v>
      </c>
      <c r="B2295" s="4">
        <f>YEAR(SalesData[[#This Row],[Order Date]])</f>
        <v>2015</v>
      </c>
      <c r="C2295" s="4">
        <f>MONTH(SalesData[[#This Row],[Order Date]])</f>
        <v>4</v>
      </c>
      <c r="D2295" s="3" t="s">
        <v>1485</v>
      </c>
      <c r="E2295" s="3" t="s">
        <v>613</v>
      </c>
      <c r="F2295" s="3" t="s">
        <v>11</v>
      </c>
      <c r="G2295" s="3" t="s">
        <v>92</v>
      </c>
      <c r="H2295" s="3" t="s">
        <v>2004</v>
      </c>
      <c r="I2295" s="6">
        <v>370.14</v>
      </c>
      <c r="J2295" s="4">
        <v>3</v>
      </c>
      <c r="K2295" s="6">
        <v>144.35</v>
      </c>
    </row>
    <row r="2296" spans="1:11" x14ac:dyDescent="0.3">
      <c r="A2296" s="7">
        <v>42104</v>
      </c>
      <c r="B2296" s="4">
        <f>YEAR(SalesData[[#This Row],[Order Date]])</f>
        <v>2015</v>
      </c>
      <c r="C2296" s="4">
        <f>MONTH(SalesData[[#This Row],[Order Date]])</f>
        <v>4</v>
      </c>
      <c r="D2296" s="3" t="s">
        <v>1414</v>
      </c>
      <c r="E2296" s="3" t="s">
        <v>27</v>
      </c>
      <c r="F2296" s="3" t="s">
        <v>11</v>
      </c>
      <c r="G2296" s="3" t="s">
        <v>20</v>
      </c>
      <c r="H2296" s="3" t="s">
        <v>310</v>
      </c>
      <c r="I2296" s="6">
        <v>12.83</v>
      </c>
      <c r="J2296" s="4">
        <v>2</v>
      </c>
      <c r="K2296" s="6">
        <v>4.33</v>
      </c>
    </row>
    <row r="2297" spans="1:11" x14ac:dyDescent="0.3">
      <c r="A2297" s="7">
        <v>42104</v>
      </c>
      <c r="B2297" s="4">
        <f>YEAR(SalesData[[#This Row],[Order Date]])</f>
        <v>2015</v>
      </c>
      <c r="C2297" s="4">
        <f>MONTH(SalesData[[#This Row],[Order Date]])</f>
        <v>4</v>
      </c>
      <c r="D2297" s="3" t="s">
        <v>1494</v>
      </c>
      <c r="E2297" s="3" t="s">
        <v>149</v>
      </c>
      <c r="F2297" s="3" t="s">
        <v>11</v>
      </c>
      <c r="G2297" s="3" t="s">
        <v>18</v>
      </c>
      <c r="H2297" s="3" t="s">
        <v>2005</v>
      </c>
      <c r="I2297" s="6">
        <v>142.04</v>
      </c>
      <c r="J2297" s="4">
        <v>4</v>
      </c>
      <c r="K2297" s="6">
        <v>38.35</v>
      </c>
    </row>
    <row r="2298" spans="1:11" x14ac:dyDescent="0.3">
      <c r="A2298" s="7">
        <v>42104</v>
      </c>
      <c r="B2298" s="4">
        <f>YEAR(SalesData[[#This Row],[Order Date]])</f>
        <v>2015</v>
      </c>
      <c r="C2298" s="4">
        <f>MONTH(SalesData[[#This Row],[Order Date]])</f>
        <v>4</v>
      </c>
      <c r="D2298" s="3" t="s">
        <v>1494</v>
      </c>
      <c r="E2298" s="3" t="s">
        <v>149</v>
      </c>
      <c r="F2298" s="3" t="s">
        <v>11</v>
      </c>
      <c r="G2298" s="3" t="s">
        <v>24</v>
      </c>
      <c r="H2298" s="3" t="s">
        <v>1144</v>
      </c>
      <c r="I2298" s="6">
        <v>14.67</v>
      </c>
      <c r="J2298" s="4">
        <v>3</v>
      </c>
      <c r="K2298" s="6">
        <v>6.01</v>
      </c>
    </row>
    <row r="2299" spans="1:11" x14ac:dyDescent="0.3">
      <c r="A2299" s="7">
        <v>42105</v>
      </c>
      <c r="B2299" s="4">
        <f>YEAR(SalesData[[#This Row],[Order Date]])</f>
        <v>2015</v>
      </c>
      <c r="C2299" s="4">
        <f>MONTH(SalesData[[#This Row],[Order Date]])</f>
        <v>4</v>
      </c>
      <c r="D2299" s="3" t="s">
        <v>509</v>
      </c>
      <c r="E2299" s="3" t="s">
        <v>149</v>
      </c>
      <c r="F2299" s="3" t="s">
        <v>39</v>
      </c>
      <c r="G2299" s="3" t="s">
        <v>52</v>
      </c>
      <c r="H2299" s="3" t="s">
        <v>1063</v>
      </c>
      <c r="I2299" s="6">
        <v>85.14</v>
      </c>
      <c r="J2299" s="4">
        <v>3</v>
      </c>
      <c r="K2299" s="6">
        <v>34.909999999999997</v>
      </c>
    </row>
    <row r="2300" spans="1:11" x14ac:dyDescent="0.3">
      <c r="A2300" s="7">
        <v>42105</v>
      </c>
      <c r="B2300" s="4">
        <f>YEAR(SalesData[[#This Row],[Order Date]])</f>
        <v>2015</v>
      </c>
      <c r="C2300" s="4">
        <f>MONTH(SalesData[[#This Row],[Order Date]])</f>
        <v>4</v>
      </c>
      <c r="D2300" s="3" t="s">
        <v>509</v>
      </c>
      <c r="E2300" s="3" t="s">
        <v>149</v>
      </c>
      <c r="F2300" s="3" t="s">
        <v>39</v>
      </c>
      <c r="G2300" s="3" t="s">
        <v>40</v>
      </c>
      <c r="H2300" s="3" t="s">
        <v>2006</v>
      </c>
      <c r="I2300" s="6">
        <v>21.99</v>
      </c>
      <c r="J2300" s="4">
        <v>1</v>
      </c>
      <c r="K2300" s="6">
        <v>10.56</v>
      </c>
    </row>
    <row r="2301" spans="1:11" x14ac:dyDescent="0.3">
      <c r="A2301" s="7">
        <v>42105</v>
      </c>
      <c r="B2301" s="4">
        <f>YEAR(SalesData[[#This Row],[Order Date]])</f>
        <v>2015</v>
      </c>
      <c r="C2301" s="4">
        <f>MONTH(SalesData[[#This Row],[Order Date]])</f>
        <v>4</v>
      </c>
      <c r="D2301" s="3" t="s">
        <v>509</v>
      </c>
      <c r="E2301" s="3" t="s">
        <v>149</v>
      </c>
      <c r="F2301" s="3" t="s">
        <v>11</v>
      </c>
      <c r="G2301" s="3" t="s">
        <v>92</v>
      </c>
      <c r="H2301" s="3" t="s">
        <v>2007</v>
      </c>
      <c r="I2301" s="6">
        <v>406.6</v>
      </c>
      <c r="J2301" s="4">
        <v>5</v>
      </c>
      <c r="K2301" s="6">
        <v>113.85</v>
      </c>
    </row>
    <row r="2302" spans="1:11" x14ac:dyDescent="0.3">
      <c r="A2302" s="7">
        <v>42105</v>
      </c>
      <c r="B2302" s="4">
        <f>YEAR(SalesData[[#This Row],[Order Date]])</f>
        <v>2015</v>
      </c>
      <c r="C2302" s="4">
        <f>MONTH(SalesData[[#This Row],[Order Date]])</f>
        <v>4</v>
      </c>
      <c r="D2302" s="3" t="s">
        <v>1212</v>
      </c>
      <c r="E2302" s="3" t="s">
        <v>123</v>
      </c>
      <c r="F2302" s="3" t="s">
        <v>34</v>
      </c>
      <c r="G2302" s="3" t="s">
        <v>47</v>
      </c>
      <c r="H2302" s="3" t="s">
        <v>2008</v>
      </c>
      <c r="I2302" s="6">
        <v>67.36</v>
      </c>
      <c r="J2302" s="4">
        <v>2</v>
      </c>
      <c r="K2302" s="6">
        <v>10.1</v>
      </c>
    </row>
    <row r="2303" spans="1:11" x14ac:dyDescent="0.3">
      <c r="A2303" s="7">
        <v>42105</v>
      </c>
      <c r="B2303" s="4">
        <f>YEAR(SalesData[[#This Row],[Order Date]])</f>
        <v>2015</v>
      </c>
      <c r="C2303" s="4">
        <f>MONTH(SalesData[[#This Row],[Order Date]])</f>
        <v>4</v>
      </c>
      <c r="D2303" s="3" t="s">
        <v>1212</v>
      </c>
      <c r="E2303" s="3" t="s">
        <v>123</v>
      </c>
      <c r="F2303" s="3" t="s">
        <v>34</v>
      </c>
      <c r="G2303" s="3" t="s">
        <v>47</v>
      </c>
      <c r="H2303" s="3" t="s">
        <v>2009</v>
      </c>
      <c r="I2303" s="6">
        <v>54.53</v>
      </c>
      <c r="J2303" s="4">
        <v>3</v>
      </c>
      <c r="K2303" s="6">
        <v>14.31</v>
      </c>
    </row>
    <row r="2304" spans="1:11" x14ac:dyDescent="0.3">
      <c r="A2304" s="7">
        <v>42105</v>
      </c>
      <c r="B2304" s="4">
        <f>YEAR(SalesData[[#This Row],[Order Date]])</f>
        <v>2015</v>
      </c>
      <c r="C2304" s="4">
        <f>MONTH(SalesData[[#This Row],[Order Date]])</f>
        <v>4</v>
      </c>
      <c r="D2304" s="3" t="s">
        <v>1705</v>
      </c>
      <c r="E2304" s="3" t="s">
        <v>27</v>
      </c>
      <c r="F2304" s="3" t="s">
        <v>39</v>
      </c>
      <c r="G2304" s="3" t="s">
        <v>603</v>
      </c>
      <c r="H2304" s="3" t="s">
        <v>2010</v>
      </c>
      <c r="I2304" s="6">
        <v>639.97</v>
      </c>
      <c r="J2304" s="4">
        <v>4</v>
      </c>
      <c r="K2304" s="6">
        <v>215.99</v>
      </c>
    </row>
    <row r="2305" spans="1:11" x14ac:dyDescent="0.3">
      <c r="A2305" s="7">
        <v>42105</v>
      </c>
      <c r="B2305" s="4">
        <f>YEAR(SalesData[[#This Row],[Order Date]])</f>
        <v>2015</v>
      </c>
      <c r="C2305" s="4">
        <f>MONTH(SalesData[[#This Row],[Order Date]])</f>
        <v>4</v>
      </c>
      <c r="D2305" s="3" t="s">
        <v>1705</v>
      </c>
      <c r="E2305" s="3" t="s">
        <v>27</v>
      </c>
      <c r="F2305" s="3" t="s">
        <v>11</v>
      </c>
      <c r="G2305" s="3" t="s">
        <v>12</v>
      </c>
      <c r="H2305" s="3" t="s">
        <v>625</v>
      </c>
      <c r="I2305" s="6">
        <v>52.76</v>
      </c>
      <c r="J2305" s="4">
        <v>2</v>
      </c>
      <c r="K2305" s="6">
        <v>24.27</v>
      </c>
    </row>
    <row r="2306" spans="1:11" x14ac:dyDescent="0.3">
      <c r="A2306" s="7">
        <v>42106</v>
      </c>
      <c r="B2306" s="4">
        <f>YEAR(SalesData[[#This Row],[Order Date]])</f>
        <v>2015</v>
      </c>
      <c r="C2306" s="4">
        <f>MONTH(SalesData[[#This Row],[Order Date]])</f>
        <v>4</v>
      </c>
      <c r="D2306" s="3" t="s">
        <v>2011</v>
      </c>
      <c r="E2306" s="3" t="s">
        <v>164</v>
      </c>
      <c r="F2306" s="3" t="s">
        <v>11</v>
      </c>
      <c r="G2306" s="3" t="s">
        <v>18</v>
      </c>
      <c r="H2306" s="3" t="s">
        <v>1810</v>
      </c>
      <c r="I2306" s="6">
        <v>40.74</v>
      </c>
      <c r="J2306" s="4">
        <v>3</v>
      </c>
      <c r="K2306" s="6">
        <v>0.41</v>
      </c>
    </row>
    <row r="2307" spans="1:11" x14ac:dyDescent="0.3">
      <c r="A2307" s="7">
        <v>42107</v>
      </c>
      <c r="B2307" s="4">
        <f>YEAR(SalesData[[#This Row],[Order Date]])</f>
        <v>2015</v>
      </c>
      <c r="C2307" s="4">
        <f>MONTH(SalesData[[#This Row],[Order Date]])</f>
        <v>4</v>
      </c>
      <c r="D2307" s="3" t="s">
        <v>1459</v>
      </c>
      <c r="E2307" s="3" t="s">
        <v>27</v>
      </c>
      <c r="F2307" s="3" t="s">
        <v>39</v>
      </c>
      <c r="G2307" s="3" t="s">
        <v>52</v>
      </c>
      <c r="H2307" s="3" t="s">
        <v>668</v>
      </c>
      <c r="I2307" s="6">
        <v>199.96</v>
      </c>
      <c r="J2307" s="4">
        <v>4</v>
      </c>
      <c r="K2307" s="6">
        <v>69.989999999999995</v>
      </c>
    </row>
    <row r="2308" spans="1:11" x14ac:dyDescent="0.3">
      <c r="A2308" s="7">
        <v>42107</v>
      </c>
      <c r="B2308" s="4">
        <f>YEAR(SalesData[[#This Row],[Order Date]])</f>
        <v>2015</v>
      </c>
      <c r="C2308" s="4">
        <f>MONTH(SalesData[[#This Row],[Order Date]])</f>
        <v>4</v>
      </c>
      <c r="D2308" s="3" t="s">
        <v>1459</v>
      </c>
      <c r="E2308" s="3" t="s">
        <v>27</v>
      </c>
      <c r="F2308" s="3" t="s">
        <v>34</v>
      </c>
      <c r="G2308" s="3" t="s">
        <v>145</v>
      </c>
      <c r="H2308" s="3" t="s">
        <v>397</v>
      </c>
      <c r="I2308" s="6">
        <v>710.83</v>
      </c>
      <c r="J2308" s="4">
        <v>3</v>
      </c>
      <c r="K2308" s="6">
        <v>-97.74</v>
      </c>
    </row>
    <row r="2309" spans="1:11" x14ac:dyDescent="0.3">
      <c r="A2309" s="7">
        <v>42107</v>
      </c>
      <c r="B2309" s="4">
        <f>YEAR(SalesData[[#This Row],[Order Date]])</f>
        <v>2015</v>
      </c>
      <c r="C2309" s="4">
        <f>MONTH(SalesData[[#This Row],[Order Date]])</f>
        <v>4</v>
      </c>
      <c r="D2309" s="3" t="s">
        <v>2012</v>
      </c>
      <c r="E2309" s="3" t="s">
        <v>399</v>
      </c>
      <c r="F2309" s="3" t="s">
        <v>11</v>
      </c>
      <c r="G2309" s="3" t="s">
        <v>200</v>
      </c>
      <c r="H2309" s="3" t="s">
        <v>472</v>
      </c>
      <c r="I2309" s="6">
        <v>12.88</v>
      </c>
      <c r="J2309" s="4">
        <v>1</v>
      </c>
      <c r="K2309" s="6">
        <v>0.39</v>
      </c>
    </row>
    <row r="2310" spans="1:11" x14ac:dyDescent="0.3">
      <c r="A2310" s="7">
        <v>42107</v>
      </c>
      <c r="B2310" s="4">
        <f>YEAR(SalesData[[#This Row],[Order Date]])</f>
        <v>2015</v>
      </c>
      <c r="C2310" s="4">
        <f>MONTH(SalesData[[#This Row],[Order Date]])</f>
        <v>4</v>
      </c>
      <c r="D2310" s="3" t="s">
        <v>2013</v>
      </c>
      <c r="E2310" s="3" t="s">
        <v>95</v>
      </c>
      <c r="F2310" s="3" t="s">
        <v>11</v>
      </c>
      <c r="G2310" s="3" t="s">
        <v>12</v>
      </c>
      <c r="H2310" s="3" t="s">
        <v>1264</v>
      </c>
      <c r="I2310" s="6">
        <v>31.1</v>
      </c>
      <c r="J2310" s="4">
        <v>6</v>
      </c>
      <c r="K2310" s="6">
        <v>10.89</v>
      </c>
    </row>
    <row r="2311" spans="1:11" x14ac:dyDescent="0.3">
      <c r="A2311" s="7">
        <v>42107</v>
      </c>
      <c r="B2311" s="4">
        <f>YEAR(SalesData[[#This Row],[Order Date]])</f>
        <v>2015</v>
      </c>
      <c r="C2311" s="4">
        <f>MONTH(SalesData[[#This Row],[Order Date]])</f>
        <v>4</v>
      </c>
      <c r="D2311" s="3" t="s">
        <v>2013</v>
      </c>
      <c r="E2311" s="3" t="s">
        <v>95</v>
      </c>
      <c r="F2311" s="3" t="s">
        <v>11</v>
      </c>
      <c r="G2311" s="3" t="s">
        <v>12</v>
      </c>
      <c r="H2311" s="3" t="s">
        <v>2014</v>
      </c>
      <c r="I2311" s="6">
        <v>54.82</v>
      </c>
      <c r="J2311" s="4">
        <v>3</v>
      </c>
      <c r="K2311" s="6">
        <v>17.82</v>
      </c>
    </row>
    <row r="2312" spans="1:11" x14ac:dyDescent="0.3">
      <c r="A2312" s="7">
        <v>42107</v>
      </c>
      <c r="B2312" s="4">
        <f>YEAR(SalesData[[#This Row],[Order Date]])</f>
        <v>2015</v>
      </c>
      <c r="C2312" s="4">
        <f>MONTH(SalesData[[#This Row],[Order Date]])</f>
        <v>4</v>
      </c>
      <c r="D2312" s="3" t="s">
        <v>1517</v>
      </c>
      <c r="E2312" s="3" t="s">
        <v>27</v>
      </c>
      <c r="F2312" s="3" t="s">
        <v>34</v>
      </c>
      <c r="G2312" s="3" t="s">
        <v>47</v>
      </c>
      <c r="H2312" s="3" t="s">
        <v>2015</v>
      </c>
      <c r="I2312" s="6">
        <v>37.68</v>
      </c>
      <c r="J2312" s="4">
        <v>2</v>
      </c>
      <c r="K2312" s="6">
        <v>15.83</v>
      </c>
    </row>
    <row r="2313" spans="1:11" x14ac:dyDescent="0.3">
      <c r="A2313" s="7">
        <v>42107</v>
      </c>
      <c r="B2313" s="4">
        <f>YEAR(SalesData[[#This Row],[Order Date]])</f>
        <v>2015</v>
      </c>
      <c r="C2313" s="4">
        <f>MONTH(SalesData[[#This Row],[Order Date]])</f>
        <v>4</v>
      </c>
      <c r="D2313" s="3" t="s">
        <v>1517</v>
      </c>
      <c r="E2313" s="3" t="s">
        <v>27</v>
      </c>
      <c r="F2313" s="3" t="s">
        <v>39</v>
      </c>
      <c r="G2313" s="3" t="s">
        <v>40</v>
      </c>
      <c r="H2313" s="3" t="s">
        <v>173</v>
      </c>
      <c r="I2313" s="6">
        <v>258.58</v>
      </c>
      <c r="J2313" s="4">
        <v>2</v>
      </c>
      <c r="K2313" s="6">
        <v>19.39</v>
      </c>
    </row>
    <row r="2314" spans="1:11" x14ac:dyDescent="0.3">
      <c r="A2314" s="7">
        <v>42107</v>
      </c>
      <c r="B2314" s="4">
        <f>YEAR(SalesData[[#This Row],[Order Date]])</f>
        <v>2015</v>
      </c>
      <c r="C2314" s="4">
        <f>MONTH(SalesData[[#This Row],[Order Date]])</f>
        <v>4</v>
      </c>
      <c r="D2314" s="3" t="s">
        <v>1517</v>
      </c>
      <c r="E2314" s="3" t="s">
        <v>27</v>
      </c>
      <c r="F2314" s="3" t="s">
        <v>11</v>
      </c>
      <c r="G2314" s="3" t="s">
        <v>92</v>
      </c>
      <c r="H2314" s="3" t="s">
        <v>2016</v>
      </c>
      <c r="I2314" s="6">
        <v>75.84</v>
      </c>
      <c r="J2314" s="4">
        <v>2</v>
      </c>
      <c r="K2314" s="6">
        <v>29.58</v>
      </c>
    </row>
    <row r="2315" spans="1:11" x14ac:dyDescent="0.3">
      <c r="A2315" s="7">
        <v>42107</v>
      </c>
      <c r="B2315" s="4">
        <f>YEAR(SalesData[[#This Row],[Order Date]])</f>
        <v>2015</v>
      </c>
      <c r="C2315" s="4">
        <f>MONTH(SalesData[[#This Row],[Order Date]])</f>
        <v>4</v>
      </c>
      <c r="D2315" s="3" t="s">
        <v>1067</v>
      </c>
      <c r="E2315" s="3" t="s">
        <v>996</v>
      </c>
      <c r="F2315" s="3" t="s">
        <v>11</v>
      </c>
      <c r="G2315" s="3" t="s">
        <v>20</v>
      </c>
      <c r="H2315" s="3" t="s">
        <v>425</v>
      </c>
      <c r="I2315" s="6">
        <v>17.43</v>
      </c>
      <c r="J2315" s="4">
        <v>3</v>
      </c>
      <c r="K2315" s="6">
        <v>8.02</v>
      </c>
    </row>
    <row r="2316" spans="1:11" x14ac:dyDescent="0.3">
      <c r="A2316" s="7">
        <v>42107</v>
      </c>
      <c r="B2316" s="4">
        <f>YEAR(SalesData[[#This Row],[Order Date]])</f>
        <v>2015</v>
      </c>
      <c r="C2316" s="4">
        <f>MONTH(SalesData[[#This Row],[Order Date]])</f>
        <v>4</v>
      </c>
      <c r="D2316" s="3" t="s">
        <v>2017</v>
      </c>
      <c r="E2316" s="3" t="s">
        <v>27</v>
      </c>
      <c r="F2316" s="3" t="s">
        <v>34</v>
      </c>
      <c r="G2316" s="3" t="s">
        <v>145</v>
      </c>
      <c r="H2316" s="3" t="s">
        <v>2018</v>
      </c>
      <c r="I2316" s="6">
        <v>241.57</v>
      </c>
      <c r="J2316" s="4">
        <v>2</v>
      </c>
      <c r="K2316" s="6">
        <v>-15.1</v>
      </c>
    </row>
    <row r="2317" spans="1:11" x14ac:dyDescent="0.3">
      <c r="A2317" s="7">
        <v>42107</v>
      </c>
      <c r="B2317" s="4">
        <f>YEAR(SalesData[[#This Row],[Order Date]])</f>
        <v>2015</v>
      </c>
      <c r="C2317" s="4">
        <f>MONTH(SalesData[[#This Row],[Order Date]])</f>
        <v>4</v>
      </c>
      <c r="D2317" s="3" t="s">
        <v>2017</v>
      </c>
      <c r="E2317" s="3" t="s">
        <v>27</v>
      </c>
      <c r="F2317" s="3" t="s">
        <v>39</v>
      </c>
      <c r="G2317" s="3" t="s">
        <v>40</v>
      </c>
      <c r="H2317" s="3" t="s">
        <v>2019</v>
      </c>
      <c r="I2317" s="6">
        <v>479.92</v>
      </c>
      <c r="J2317" s="4">
        <v>2</v>
      </c>
      <c r="K2317" s="6">
        <v>41.99</v>
      </c>
    </row>
    <row r="2318" spans="1:11" x14ac:dyDescent="0.3">
      <c r="A2318" s="7">
        <v>42107</v>
      </c>
      <c r="B2318" s="4">
        <f>YEAR(SalesData[[#This Row],[Order Date]])</f>
        <v>2015</v>
      </c>
      <c r="C2318" s="4">
        <f>MONTH(SalesData[[#This Row],[Order Date]])</f>
        <v>4</v>
      </c>
      <c r="D2318" s="3" t="s">
        <v>1392</v>
      </c>
      <c r="E2318" s="3" t="s">
        <v>95</v>
      </c>
      <c r="F2318" s="3" t="s">
        <v>11</v>
      </c>
      <c r="G2318" s="3" t="s">
        <v>18</v>
      </c>
      <c r="H2318" s="3" t="s">
        <v>2020</v>
      </c>
      <c r="I2318" s="6">
        <v>10.74</v>
      </c>
      <c r="J2318" s="4">
        <v>1</v>
      </c>
      <c r="K2318" s="6">
        <v>0.81</v>
      </c>
    </row>
    <row r="2319" spans="1:11" x14ac:dyDescent="0.3">
      <c r="A2319" s="7">
        <v>42107</v>
      </c>
      <c r="B2319" s="4">
        <f>YEAR(SalesData[[#This Row],[Order Date]])</f>
        <v>2015</v>
      </c>
      <c r="C2319" s="4">
        <f>MONTH(SalesData[[#This Row],[Order Date]])</f>
        <v>4</v>
      </c>
      <c r="D2319" s="3" t="s">
        <v>1758</v>
      </c>
      <c r="E2319" s="3" t="s">
        <v>10</v>
      </c>
      <c r="F2319" s="3" t="s">
        <v>34</v>
      </c>
      <c r="G2319" s="3" t="s">
        <v>145</v>
      </c>
      <c r="H2319" s="3" t="s">
        <v>476</v>
      </c>
      <c r="I2319" s="6">
        <v>609.98</v>
      </c>
      <c r="J2319" s="4">
        <v>4</v>
      </c>
      <c r="K2319" s="6">
        <v>-113.28</v>
      </c>
    </row>
    <row r="2320" spans="1:11" x14ac:dyDescent="0.3">
      <c r="A2320" s="7">
        <v>42107</v>
      </c>
      <c r="B2320" s="4">
        <f>YEAR(SalesData[[#This Row],[Order Date]])</f>
        <v>2015</v>
      </c>
      <c r="C2320" s="4">
        <f>MONTH(SalesData[[#This Row],[Order Date]])</f>
        <v>4</v>
      </c>
      <c r="D2320" s="3" t="s">
        <v>1758</v>
      </c>
      <c r="E2320" s="3" t="s">
        <v>10</v>
      </c>
      <c r="F2320" s="3" t="s">
        <v>34</v>
      </c>
      <c r="G2320" s="3" t="s">
        <v>145</v>
      </c>
      <c r="H2320" s="3" t="s">
        <v>2018</v>
      </c>
      <c r="I2320" s="6">
        <v>211.37</v>
      </c>
      <c r="J2320" s="4">
        <v>2</v>
      </c>
      <c r="K2320" s="6">
        <v>-45.29</v>
      </c>
    </row>
    <row r="2321" spans="1:11" x14ac:dyDescent="0.3">
      <c r="A2321" s="7">
        <v>42107</v>
      </c>
      <c r="B2321" s="4">
        <f>YEAR(SalesData[[#This Row],[Order Date]])</f>
        <v>2015</v>
      </c>
      <c r="C2321" s="4">
        <f>MONTH(SalesData[[#This Row],[Order Date]])</f>
        <v>4</v>
      </c>
      <c r="D2321" s="3" t="s">
        <v>1758</v>
      </c>
      <c r="E2321" s="3" t="s">
        <v>10</v>
      </c>
      <c r="F2321" s="3" t="s">
        <v>39</v>
      </c>
      <c r="G2321" s="3" t="s">
        <v>40</v>
      </c>
      <c r="H2321" s="3" t="s">
        <v>102</v>
      </c>
      <c r="I2321" s="6">
        <v>239.98</v>
      </c>
      <c r="J2321" s="4">
        <v>3</v>
      </c>
      <c r="K2321" s="6">
        <v>18</v>
      </c>
    </row>
    <row r="2322" spans="1:11" x14ac:dyDescent="0.3">
      <c r="A2322" s="7">
        <v>42108</v>
      </c>
      <c r="B2322" s="4">
        <f>YEAR(SalesData[[#This Row],[Order Date]])</f>
        <v>2015</v>
      </c>
      <c r="C2322" s="4">
        <f>MONTH(SalesData[[#This Row],[Order Date]])</f>
        <v>4</v>
      </c>
      <c r="D2322" s="3" t="s">
        <v>2021</v>
      </c>
      <c r="E2322" s="3" t="s">
        <v>91</v>
      </c>
      <c r="F2322" s="3" t="s">
        <v>11</v>
      </c>
      <c r="G2322" s="3" t="s">
        <v>92</v>
      </c>
      <c r="H2322" s="3" t="s">
        <v>1118</v>
      </c>
      <c r="I2322" s="6">
        <v>35.21</v>
      </c>
      <c r="J2322" s="4">
        <v>1</v>
      </c>
      <c r="K2322" s="6">
        <v>2.64</v>
      </c>
    </row>
    <row r="2323" spans="1:11" x14ac:dyDescent="0.3">
      <c r="A2323" s="7">
        <v>42110</v>
      </c>
      <c r="B2323" s="4">
        <f>YEAR(SalesData[[#This Row],[Order Date]])</f>
        <v>2015</v>
      </c>
      <c r="C2323" s="4">
        <f>MONTH(SalesData[[#This Row],[Order Date]])</f>
        <v>4</v>
      </c>
      <c r="D2323" s="3" t="s">
        <v>560</v>
      </c>
      <c r="E2323" s="3" t="s">
        <v>78</v>
      </c>
      <c r="F2323" s="3" t="s">
        <v>11</v>
      </c>
      <c r="G2323" s="3" t="s">
        <v>92</v>
      </c>
      <c r="H2323" s="3" t="s">
        <v>1829</v>
      </c>
      <c r="I2323" s="6">
        <v>45.22</v>
      </c>
      <c r="J2323" s="4">
        <v>3</v>
      </c>
      <c r="K2323" s="6">
        <v>4.5199999999999996</v>
      </c>
    </row>
    <row r="2324" spans="1:11" x14ac:dyDescent="0.3">
      <c r="A2324" s="7">
        <v>42110</v>
      </c>
      <c r="B2324" s="4">
        <f>YEAR(SalesData[[#This Row],[Order Date]])</f>
        <v>2015</v>
      </c>
      <c r="C2324" s="4">
        <f>MONTH(SalesData[[#This Row],[Order Date]])</f>
        <v>4</v>
      </c>
      <c r="D2324" s="3" t="s">
        <v>560</v>
      </c>
      <c r="E2324" s="3" t="s">
        <v>78</v>
      </c>
      <c r="F2324" s="3" t="s">
        <v>11</v>
      </c>
      <c r="G2324" s="3" t="s">
        <v>43</v>
      </c>
      <c r="H2324" s="3" t="s">
        <v>1106</v>
      </c>
      <c r="I2324" s="6">
        <v>10.42</v>
      </c>
      <c r="J2324" s="4">
        <v>7</v>
      </c>
      <c r="K2324" s="6">
        <v>-2.21</v>
      </c>
    </row>
    <row r="2325" spans="1:11" x14ac:dyDescent="0.3">
      <c r="A2325" s="7">
        <v>42110</v>
      </c>
      <c r="B2325" s="4">
        <f>YEAR(SalesData[[#This Row],[Order Date]])</f>
        <v>2015</v>
      </c>
      <c r="C2325" s="4">
        <f>MONTH(SalesData[[#This Row],[Order Date]])</f>
        <v>4</v>
      </c>
      <c r="D2325" s="3" t="s">
        <v>560</v>
      </c>
      <c r="E2325" s="3" t="s">
        <v>78</v>
      </c>
      <c r="F2325" s="3" t="s">
        <v>11</v>
      </c>
      <c r="G2325" s="3" t="s">
        <v>24</v>
      </c>
      <c r="H2325" s="3" t="s">
        <v>459</v>
      </c>
      <c r="I2325" s="6">
        <v>7.87</v>
      </c>
      <c r="J2325" s="4">
        <v>3</v>
      </c>
      <c r="K2325" s="6">
        <v>1.28</v>
      </c>
    </row>
    <row r="2326" spans="1:11" x14ac:dyDescent="0.3">
      <c r="A2326" s="7">
        <v>42110</v>
      </c>
      <c r="B2326" s="4">
        <f>YEAR(SalesData[[#This Row],[Order Date]])</f>
        <v>2015</v>
      </c>
      <c r="C2326" s="4">
        <f>MONTH(SalesData[[#This Row],[Order Date]])</f>
        <v>4</v>
      </c>
      <c r="D2326" s="3" t="s">
        <v>560</v>
      </c>
      <c r="E2326" s="3" t="s">
        <v>78</v>
      </c>
      <c r="F2326" s="3" t="s">
        <v>39</v>
      </c>
      <c r="G2326" s="3" t="s">
        <v>40</v>
      </c>
      <c r="H2326" s="3" t="s">
        <v>876</v>
      </c>
      <c r="I2326" s="6">
        <v>118.78</v>
      </c>
      <c r="J2326" s="4">
        <v>3</v>
      </c>
      <c r="K2326" s="6">
        <v>-27.72</v>
      </c>
    </row>
    <row r="2327" spans="1:11" x14ac:dyDescent="0.3">
      <c r="A2327" s="7">
        <v>42110</v>
      </c>
      <c r="B2327" s="4">
        <f>YEAR(SalesData[[#This Row],[Order Date]])</f>
        <v>2015</v>
      </c>
      <c r="C2327" s="4">
        <f>MONTH(SalesData[[#This Row],[Order Date]])</f>
        <v>4</v>
      </c>
      <c r="D2327" s="3" t="s">
        <v>560</v>
      </c>
      <c r="E2327" s="3" t="s">
        <v>78</v>
      </c>
      <c r="F2327" s="3" t="s">
        <v>11</v>
      </c>
      <c r="G2327" s="3" t="s">
        <v>43</v>
      </c>
      <c r="H2327" s="3" t="s">
        <v>1784</v>
      </c>
      <c r="I2327" s="6">
        <v>1.45</v>
      </c>
      <c r="J2327" s="4">
        <v>1</v>
      </c>
      <c r="K2327" s="6">
        <v>0.24</v>
      </c>
    </row>
    <row r="2328" spans="1:11" x14ac:dyDescent="0.3">
      <c r="A2328" s="7">
        <v>42110</v>
      </c>
      <c r="B2328" s="4">
        <f>YEAR(SalesData[[#This Row],[Order Date]])</f>
        <v>2015</v>
      </c>
      <c r="C2328" s="4">
        <f>MONTH(SalesData[[#This Row],[Order Date]])</f>
        <v>4</v>
      </c>
      <c r="D2328" s="3" t="s">
        <v>560</v>
      </c>
      <c r="E2328" s="3" t="s">
        <v>78</v>
      </c>
      <c r="F2328" s="3" t="s">
        <v>11</v>
      </c>
      <c r="G2328" s="3" t="s">
        <v>20</v>
      </c>
      <c r="H2328" s="3" t="s">
        <v>2022</v>
      </c>
      <c r="I2328" s="6">
        <v>55.47</v>
      </c>
      <c r="J2328" s="4">
        <v>5</v>
      </c>
      <c r="K2328" s="6">
        <v>-46.23</v>
      </c>
    </row>
    <row r="2329" spans="1:11" x14ac:dyDescent="0.3">
      <c r="A2329" s="7">
        <v>42110</v>
      </c>
      <c r="B2329" s="4">
        <f>YEAR(SalesData[[#This Row],[Order Date]])</f>
        <v>2015</v>
      </c>
      <c r="C2329" s="4">
        <f>MONTH(SalesData[[#This Row],[Order Date]])</f>
        <v>4</v>
      </c>
      <c r="D2329" s="3" t="s">
        <v>1277</v>
      </c>
      <c r="E2329" s="3" t="s">
        <v>23</v>
      </c>
      <c r="F2329" s="3" t="s">
        <v>11</v>
      </c>
      <c r="G2329" s="3" t="s">
        <v>43</v>
      </c>
      <c r="H2329" s="3" t="s">
        <v>160</v>
      </c>
      <c r="I2329" s="6">
        <v>12.58</v>
      </c>
      <c r="J2329" s="4">
        <v>4</v>
      </c>
      <c r="K2329" s="6">
        <v>4.09</v>
      </c>
    </row>
    <row r="2330" spans="1:11" x14ac:dyDescent="0.3">
      <c r="A2330" s="7">
        <v>42110</v>
      </c>
      <c r="B2330" s="4">
        <f>YEAR(SalesData[[#This Row],[Order Date]])</f>
        <v>2015</v>
      </c>
      <c r="C2330" s="4">
        <f>MONTH(SalesData[[#This Row],[Order Date]])</f>
        <v>4</v>
      </c>
      <c r="D2330" s="3" t="s">
        <v>1341</v>
      </c>
      <c r="E2330" s="3" t="s">
        <v>15</v>
      </c>
      <c r="F2330" s="3" t="s">
        <v>39</v>
      </c>
      <c r="G2330" s="3" t="s">
        <v>603</v>
      </c>
      <c r="H2330" s="3" t="s">
        <v>1769</v>
      </c>
      <c r="I2330" s="6">
        <v>1439.97</v>
      </c>
      <c r="J2330" s="4">
        <v>4</v>
      </c>
      <c r="K2330" s="6">
        <v>485.99</v>
      </c>
    </row>
    <row r="2331" spans="1:11" x14ac:dyDescent="0.3">
      <c r="A2331" s="7">
        <v>42110</v>
      </c>
      <c r="B2331" s="4">
        <f>YEAR(SalesData[[#This Row],[Order Date]])</f>
        <v>2015</v>
      </c>
      <c r="C2331" s="4">
        <f>MONTH(SalesData[[#This Row],[Order Date]])</f>
        <v>4</v>
      </c>
      <c r="D2331" s="3" t="s">
        <v>1341</v>
      </c>
      <c r="E2331" s="3" t="s">
        <v>15</v>
      </c>
      <c r="F2331" s="3" t="s">
        <v>39</v>
      </c>
      <c r="G2331" s="3" t="s">
        <v>52</v>
      </c>
      <c r="H2331" s="3" t="s">
        <v>2023</v>
      </c>
      <c r="I2331" s="6">
        <v>43.56</v>
      </c>
      <c r="J2331" s="4">
        <v>3</v>
      </c>
      <c r="K2331" s="6">
        <v>-4.9000000000000004</v>
      </c>
    </row>
    <row r="2332" spans="1:11" x14ac:dyDescent="0.3">
      <c r="A2332" s="7">
        <v>42110</v>
      </c>
      <c r="B2332" s="4">
        <f>YEAR(SalesData[[#This Row],[Order Date]])</f>
        <v>2015</v>
      </c>
      <c r="C2332" s="4">
        <f>MONTH(SalesData[[#This Row],[Order Date]])</f>
        <v>4</v>
      </c>
      <c r="D2332" s="3" t="s">
        <v>590</v>
      </c>
      <c r="E2332" s="3" t="s">
        <v>55</v>
      </c>
      <c r="F2332" s="3" t="s">
        <v>39</v>
      </c>
      <c r="G2332" s="3" t="s">
        <v>40</v>
      </c>
      <c r="H2332" s="3" t="s">
        <v>802</v>
      </c>
      <c r="I2332" s="6">
        <v>569.64</v>
      </c>
      <c r="J2332" s="4">
        <v>2</v>
      </c>
      <c r="K2332" s="6">
        <v>148.11000000000001</v>
      </c>
    </row>
    <row r="2333" spans="1:11" x14ac:dyDescent="0.3">
      <c r="A2333" s="7">
        <v>42110</v>
      </c>
      <c r="B2333" s="4">
        <f>YEAR(SalesData[[#This Row],[Order Date]])</f>
        <v>2015</v>
      </c>
      <c r="C2333" s="4">
        <f>MONTH(SalesData[[#This Row],[Order Date]])</f>
        <v>4</v>
      </c>
      <c r="D2333" s="3" t="s">
        <v>590</v>
      </c>
      <c r="E2333" s="3" t="s">
        <v>55</v>
      </c>
      <c r="F2333" s="3" t="s">
        <v>11</v>
      </c>
      <c r="G2333" s="3" t="s">
        <v>20</v>
      </c>
      <c r="H2333" s="3" t="s">
        <v>1565</v>
      </c>
      <c r="I2333" s="6">
        <v>9.14</v>
      </c>
      <c r="J2333" s="4">
        <v>1</v>
      </c>
      <c r="K2333" s="6">
        <v>4.57</v>
      </c>
    </row>
    <row r="2334" spans="1:11" x14ac:dyDescent="0.3">
      <c r="A2334" s="7">
        <v>42110</v>
      </c>
      <c r="B2334" s="4">
        <f>YEAR(SalesData[[#This Row],[Order Date]])</f>
        <v>2015</v>
      </c>
      <c r="C2334" s="4">
        <f>MONTH(SalesData[[#This Row],[Order Date]])</f>
        <v>4</v>
      </c>
      <c r="D2334" s="3" t="s">
        <v>590</v>
      </c>
      <c r="E2334" s="3" t="s">
        <v>55</v>
      </c>
      <c r="F2334" s="3" t="s">
        <v>34</v>
      </c>
      <c r="G2334" s="3" t="s">
        <v>47</v>
      </c>
      <c r="H2334" s="3" t="s">
        <v>1554</v>
      </c>
      <c r="I2334" s="6">
        <v>1196.8599999999999</v>
      </c>
      <c r="J2334" s="4">
        <v>7</v>
      </c>
      <c r="K2334" s="6">
        <v>119.69</v>
      </c>
    </row>
    <row r="2335" spans="1:11" x14ac:dyDescent="0.3">
      <c r="A2335" s="7">
        <v>42110</v>
      </c>
      <c r="B2335" s="4">
        <f>YEAR(SalesData[[#This Row],[Order Date]])</f>
        <v>2015</v>
      </c>
      <c r="C2335" s="4">
        <f>MONTH(SalesData[[#This Row],[Order Date]])</f>
        <v>4</v>
      </c>
      <c r="D2335" s="3" t="s">
        <v>590</v>
      </c>
      <c r="E2335" s="3" t="s">
        <v>55</v>
      </c>
      <c r="F2335" s="3" t="s">
        <v>34</v>
      </c>
      <c r="G2335" s="3" t="s">
        <v>74</v>
      </c>
      <c r="H2335" s="3" t="s">
        <v>2024</v>
      </c>
      <c r="I2335" s="6">
        <v>523.26</v>
      </c>
      <c r="J2335" s="4">
        <v>9</v>
      </c>
      <c r="K2335" s="6">
        <v>125.58</v>
      </c>
    </row>
    <row r="2336" spans="1:11" x14ac:dyDescent="0.3">
      <c r="A2336" s="7">
        <v>42110</v>
      </c>
      <c r="B2336" s="4">
        <f>YEAR(SalesData[[#This Row],[Order Date]])</f>
        <v>2015</v>
      </c>
      <c r="C2336" s="4">
        <f>MONTH(SalesData[[#This Row],[Order Date]])</f>
        <v>4</v>
      </c>
      <c r="D2336" s="3" t="s">
        <v>1555</v>
      </c>
      <c r="E2336" s="3" t="s">
        <v>149</v>
      </c>
      <c r="F2336" s="3" t="s">
        <v>34</v>
      </c>
      <c r="G2336" s="3" t="s">
        <v>35</v>
      </c>
      <c r="H2336" s="3" t="s">
        <v>2025</v>
      </c>
      <c r="I2336" s="6">
        <v>127.76</v>
      </c>
      <c r="J2336" s="4">
        <v>2</v>
      </c>
      <c r="K2336" s="6">
        <v>2.84</v>
      </c>
    </row>
    <row r="2337" spans="1:11" x14ac:dyDescent="0.3">
      <c r="A2337" s="7">
        <v>42111</v>
      </c>
      <c r="B2337" s="4">
        <f>YEAR(SalesData[[#This Row],[Order Date]])</f>
        <v>2015</v>
      </c>
      <c r="C2337" s="4">
        <f>MONTH(SalesData[[#This Row],[Order Date]])</f>
        <v>4</v>
      </c>
      <c r="D2337" s="3" t="s">
        <v>680</v>
      </c>
      <c r="E2337" s="3" t="s">
        <v>27</v>
      </c>
      <c r="F2337" s="3" t="s">
        <v>11</v>
      </c>
      <c r="G2337" s="3" t="s">
        <v>24</v>
      </c>
      <c r="H2337" s="3" t="s">
        <v>869</v>
      </c>
      <c r="I2337" s="6">
        <v>5.56</v>
      </c>
      <c r="J2337" s="4">
        <v>2</v>
      </c>
      <c r="K2337" s="6">
        <v>2.2200000000000002</v>
      </c>
    </row>
    <row r="2338" spans="1:11" x14ac:dyDescent="0.3">
      <c r="A2338" s="7">
        <v>42111</v>
      </c>
      <c r="B2338" s="4">
        <f>YEAR(SalesData[[#This Row],[Order Date]])</f>
        <v>2015</v>
      </c>
      <c r="C2338" s="4">
        <f>MONTH(SalesData[[#This Row],[Order Date]])</f>
        <v>4</v>
      </c>
      <c r="D2338" s="3" t="s">
        <v>680</v>
      </c>
      <c r="E2338" s="3" t="s">
        <v>27</v>
      </c>
      <c r="F2338" s="3" t="s">
        <v>39</v>
      </c>
      <c r="G2338" s="3" t="s">
        <v>52</v>
      </c>
      <c r="H2338" s="3" t="s">
        <v>66</v>
      </c>
      <c r="I2338" s="6">
        <v>323.37</v>
      </c>
      <c r="J2338" s="4">
        <v>3</v>
      </c>
      <c r="K2338" s="6">
        <v>129.35</v>
      </c>
    </row>
    <row r="2339" spans="1:11" x14ac:dyDescent="0.3">
      <c r="A2339" s="7">
        <v>42111</v>
      </c>
      <c r="B2339" s="4">
        <f>YEAR(SalesData[[#This Row],[Order Date]])</f>
        <v>2015</v>
      </c>
      <c r="C2339" s="4">
        <f>MONTH(SalesData[[#This Row],[Order Date]])</f>
        <v>4</v>
      </c>
      <c r="D2339" s="3" t="s">
        <v>680</v>
      </c>
      <c r="E2339" s="3" t="s">
        <v>27</v>
      </c>
      <c r="F2339" s="3" t="s">
        <v>39</v>
      </c>
      <c r="G2339" s="3" t="s">
        <v>40</v>
      </c>
      <c r="H2339" s="3" t="s">
        <v>2026</v>
      </c>
      <c r="I2339" s="6">
        <v>783.96</v>
      </c>
      <c r="J2339" s="4">
        <v>5</v>
      </c>
      <c r="K2339" s="6">
        <v>68.599999999999994</v>
      </c>
    </row>
    <row r="2340" spans="1:11" x14ac:dyDescent="0.3">
      <c r="A2340" s="7">
        <v>42111</v>
      </c>
      <c r="B2340" s="4">
        <f>YEAR(SalesData[[#This Row],[Order Date]])</f>
        <v>2015</v>
      </c>
      <c r="C2340" s="4">
        <f>MONTH(SalesData[[#This Row],[Order Date]])</f>
        <v>4</v>
      </c>
      <c r="D2340" s="3" t="s">
        <v>680</v>
      </c>
      <c r="E2340" s="3" t="s">
        <v>27</v>
      </c>
      <c r="F2340" s="3" t="s">
        <v>11</v>
      </c>
      <c r="G2340" s="3" t="s">
        <v>92</v>
      </c>
      <c r="H2340" s="3" t="s">
        <v>1853</v>
      </c>
      <c r="I2340" s="6">
        <v>1447.65</v>
      </c>
      <c r="J2340" s="4">
        <v>5</v>
      </c>
      <c r="K2340" s="6">
        <v>419.82</v>
      </c>
    </row>
    <row r="2341" spans="1:11" x14ac:dyDescent="0.3">
      <c r="A2341" s="7">
        <v>42111</v>
      </c>
      <c r="B2341" s="4">
        <f>YEAR(SalesData[[#This Row],[Order Date]])</f>
        <v>2015</v>
      </c>
      <c r="C2341" s="4">
        <f>MONTH(SalesData[[#This Row],[Order Date]])</f>
        <v>4</v>
      </c>
      <c r="D2341" s="3" t="s">
        <v>680</v>
      </c>
      <c r="E2341" s="3" t="s">
        <v>27</v>
      </c>
      <c r="F2341" s="3" t="s">
        <v>11</v>
      </c>
      <c r="G2341" s="3" t="s">
        <v>12</v>
      </c>
      <c r="H2341" s="3" t="s">
        <v>1470</v>
      </c>
      <c r="I2341" s="6">
        <v>11.96</v>
      </c>
      <c r="J2341" s="4">
        <v>2</v>
      </c>
      <c r="K2341" s="6">
        <v>5.86</v>
      </c>
    </row>
    <row r="2342" spans="1:11" x14ac:dyDescent="0.3">
      <c r="A2342" s="7">
        <v>42111</v>
      </c>
      <c r="B2342" s="4">
        <f>YEAR(SalesData[[#This Row],[Order Date]])</f>
        <v>2015</v>
      </c>
      <c r="C2342" s="4">
        <f>MONTH(SalesData[[#This Row],[Order Date]])</f>
        <v>4</v>
      </c>
      <c r="D2342" s="3" t="s">
        <v>1288</v>
      </c>
      <c r="E2342" s="3" t="s">
        <v>149</v>
      </c>
      <c r="F2342" s="3" t="s">
        <v>39</v>
      </c>
      <c r="G2342" s="3" t="s">
        <v>52</v>
      </c>
      <c r="H2342" s="3" t="s">
        <v>1849</v>
      </c>
      <c r="I2342" s="6">
        <v>99.6</v>
      </c>
      <c r="J2342" s="4">
        <v>1</v>
      </c>
      <c r="K2342" s="6">
        <v>36.85</v>
      </c>
    </row>
    <row r="2343" spans="1:11" x14ac:dyDescent="0.3">
      <c r="A2343" s="7">
        <v>42111</v>
      </c>
      <c r="B2343" s="4">
        <f>YEAR(SalesData[[#This Row],[Order Date]])</f>
        <v>2015</v>
      </c>
      <c r="C2343" s="4">
        <f>MONTH(SalesData[[#This Row],[Order Date]])</f>
        <v>4</v>
      </c>
      <c r="D2343" s="3" t="s">
        <v>1288</v>
      </c>
      <c r="E2343" s="3" t="s">
        <v>149</v>
      </c>
      <c r="F2343" s="3" t="s">
        <v>11</v>
      </c>
      <c r="G2343" s="3" t="s">
        <v>20</v>
      </c>
      <c r="H2343" s="3" t="s">
        <v>2027</v>
      </c>
      <c r="I2343" s="6">
        <v>62.3</v>
      </c>
      <c r="J2343" s="4">
        <v>13</v>
      </c>
      <c r="K2343" s="6">
        <v>21.02</v>
      </c>
    </row>
    <row r="2344" spans="1:11" x14ac:dyDescent="0.3">
      <c r="A2344" s="7">
        <v>42111</v>
      </c>
      <c r="B2344" s="4">
        <f>YEAR(SalesData[[#This Row],[Order Date]])</f>
        <v>2015</v>
      </c>
      <c r="C2344" s="4">
        <f>MONTH(SalesData[[#This Row],[Order Date]])</f>
        <v>4</v>
      </c>
      <c r="D2344" s="3" t="s">
        <v>1288</v>
      </c>
      <c r="E2344" s="3" t="s">
        <v>149</v>
      </c>
      <c r="F2344" s="3" t="s">
        <v>11</v>
      </c>
      <c r="G2344" s="3" t="s">
        <v>24</v>
      </c>
      <c r="H2344" s="3" t="s">
        <v>2028</v>
      </c>
      <c r="I2344" s="6">
        <v>10.71</v>
      </c>
      <c r="J2344" s="4">
        <v>3</v>
      </c>
      <c r="K2344" s="6">
        <v>2.78</v>
      </c>
    </row>
    <row r="2345" spans="1:11" x14ac:dyDescent="0.3">
      <c r="A2345" s="7">
        <v>42112</v>
      </c>
      <c r="B2345" s="4">
        <f>YEAR(SalesData[[#This Row],[Order Date]])</f>
        <v>2015</v>
      </c>
      <c r="C2345" s="4">
        <f>MONTH(SalesData[[#This Row],[Order Date]])</f>
        <v>4</v>
      </c>
      <c r="D2345" s="3" t="s">
        <v>9</v>
      </c>
      <c r="E2345" s="3" t="s">
        <v>129</v>
      </c>
      <c r="F2345" s="3" t="s">
        <v>11</v>
      </c>
      <c r="G2345" s="3" t="s">
        <v>20</v>
      </c>
      <c r="H2345" s="3" t="s">
        <v>367</v>
      </c>
      <c r="I2345" s="6">
        <v>38.22</v>
      </c>
      <c r="J2345" s="4">
        <v>6</v>
      </c>
      <c r="K2345" s="6">
        <v>17.96</v>
      </c>
    </row>
    <row r="2346" spans="1:11" x14ac:dyDescent="0.3">
      <c r="A2346" s="7">
        <v>42112</v>
      </c>
      <c r="B2346" s="4">
        <f>YEAR(SalesData[[#This Row],[Order Date]])</f>
        <v>2015</v>
      </c>
      <c r="C2346" s="4">
        <f>MONTH(SalesData[[#This Row],[Order Date]])</f>
        <v>4</v>
      </c>
      <c r="D2346" s="3" t="s">
        <v>9</v>
      </c>
      <c r="E2346" s="3" t="s">
        <v>129</v>
      </c>
      <c r="F2346" s="3" t="s">
        <v>11</v>
      </c>
      <c r="G2346" s="3" t="s">
        <v>16</v>
      </c>
      <c r="H2346" s="3" t="s">
        <v>1025</v>
      </c>
      <c r="I2346" s="6">
        <v>75.180000000000007</v>
      </c>
      <c r="J2346" s="4">
        <v>6</v>
      </c>
      <c r="K2346" s="6">
        <v>35.33</v>
      </c>
    </row>
    <row r="2347" spans="1:11" x14ac:dyDescent="0.3">
      <c r="A2347" s="7">
        <v>42112</v>
      </c>
      <c r="B2347" s="4">
        <f>YEAR(SalesData[[#This Row],[Order Date]])</f>
        <v>2015</v>
      </c>
      <c r="C2347" s="4">
        <f>MONTH(SalesData[[#This Row],[Order Date]])</f>
        <v>4</v>
      </c>
      <c r="D2347" s="3" t="s">
        <v>9</v>
      </c>
      <c r="E2347" s="3" t="s">
        <v>129</v>
      </c>
      <c r="F2347" s="3" t="s">
        <v>34</v>
      </c>
      <c r="G2347" s="3" t="s">
        <v>47</v>
      </c>
      <c r="H2347" s="3" t="s">
        <v>1404</v>
      </c>
      <c r="I2347" s="6">
        <v>6.16</v>
      </c>
      <c r="J2347" s="4">
        <v>2</v>
      </c>
      <c r="K2347" s="6">
        <v>2.96</v>
      </c>
    </row>
    <row r="2348" spans="1:11" x14ac:dyDescent="0.3">
      <c r="A2348" s="7">
        <v>42112</v>
      </c>
      <c r="B2348" s="4">
        <f>YEAR(SalesData[[#This Row],[Order Date]])</f>
        <v>2015</v>
      </c>
      <c r="C2348" s="4">
        <f>MONTH(SalesData[[#This Row],[Order Date]])</f>
        <v>4</v>
      </c>
      <c r="D2348" s="3" t="s">
        <v>9</v>
      </c>
      <c r="E2348" s="3" t="s">
        <v>129</v>
      </c>
      <c r="F2348" s="3" t="s">
        <v>34</v>
      </c>
      <c r="G2348" s="3" t="s">
        <v>35</v>
      </c>
      <c r="H2348" s="3" t="s">
        <v>2029</v>
      </c>
      <c r="I2348" s="6">
        <v>89.99</v>
      </c>
      <c r="J2348" s="4">
        <v>1</v>
      </c>
      <c r="K2348" s="6">
        <v>17.100000000000001</v>
      </c>
    </row>
    <row r="2349" spans="1:11" x14ac:dyDescent="0.3">
      <c r="A2349" s="7">
        <v>42112</v>
      </c>
      <c r="B2349" s="4">
        <f>YEAR(SalesData[[#This Row],[Order Date]])</f>
        <v>2015</v>
      </c>
      <c r="C2349" s="4">
        <f>MONTH(SalesData[[#This Row],[Order Date]])</f>
        <v>4</v>
      </c>
      <c r="D2349" s="3" t="s">
        <v>1412</v>
      </c>
      <c r="E2349" s="3" t="s">
        <v>62</v>
      </c>
      <c r="F2349" s="3" t="s">
        <v>39</v>
      </c>
      <c r="G2349" s="3" t="s">
        <v>52</v>
      </c>
      <c r="H2349" s="3" t="s">
        <v>1985</v>
      </c>
      <c r="I2349" s="6">
        <v>106.5</v>
      </c>
      <c r="J2349" s="4">
        <v>6</v>
      </c>
      <c r="K2349" s="6">
        <v>41.54</v>
      </c>
    </row>
    <row r="2350" spans="1:11" x14ac:dyDescent="0.3">
      <c r="A2350" s="7">
        <v>42112</v>
      </c>
      <c r="B2350" s="4">
        <f>YEAR(SalesData[[#This Row],[Order Date]])</f>
        <v>2015</v>
      </c>
      <c r="C2350" s="4">
        <f>MONTH(SalesData[[#This Row],[Order Date]])</f>
        <v>4</v>
      </c>
      <c r="D2350" s="3" t="s">
        <v>1076</v>
      </c>
      <c r="E2350" s="3" t="s">
        <v>149</v>
      </c>
      <c r="F2350" s="3" t="s">
        <v>11</v>
      </c>
      <c r="G2350" s="3" t="s">
        <v>16</v>
      </c>
      <c r="H2350" s="3" t="s">
        <v>2030</v>
      </c>
      <c r="I2350" s="6">
        <v>21.93</v>
      </c>
      <c r="J2350" s="4">
        <v>3</v>
      </c>
      <c r="K2350" s="6">
        <v>10.31</v>
      </c>
    </row>
    <row r="2351" spans="1:11" x14ac:dyDescent="0.3">
      <c r="A2351" s="7">
        <v>42112</v>
      </c>
      <c r="B2351" s="4">
        <f>YEAR(SalesData[[#This Row],[Order Date]])</f>
        <v>2015</v>
      </c>
      <c r="C2351" s="4">
        <f>MONTH(SalesData[[#This Row],[Order Date]])</f>
        <v>4</v>
      </c>
      <c r="D2351" s="3" t="s">
        <v>1143</v>
      </c>
      <c r="E2351" s="3" t="s">
        <v>27</v>
      </c>
      <c r="F2351" s="3" t="s">
        <v>11</v>
      </c>
      <c r="G2351" s="3" t="s">
        <v>18</v>
      </c>
      <c r="H2351" s="3" t="s">
        <v>2031</v>
      </c>
      <c r="I2351" s="6">
        <v>947.17</v>
      </c>
      <c r="J2351" s="4">
        <v>7</v>
      </c>
      <c r="K2351" s="6">
        <v>9.4700000000000006</v>
      </c>
    </row>
    <row r="2352" spans="1:11" x14ac:dyDescent="0.3">
      <c r="A2352" s="7">
        <v>42112</v>
      </c>
      <c r="B2352" s="4">
        <f>YEAR(SalesData[[#This Row],[Order Date]])</f>
        <v>2015</v>
      </c>
      <c r="C2352" s="4">
        <f>MONTH(SalesData[[#This Row],[Order Date]])</f>
        <v>4</v>
      </c>
      <c r="D2352" s="3" t="s">
        <v>1143</v>
      </c>
      <c r="E2352" s="3" t="s">
        <v>27</v>
      </c>
      <c r="F2352" s="3" t="s">
        <v>11</v>
      </c>
      <c r="G2352" s="3" t="s">
        <v>12</v>
      </c>
      <c r="H2352" s="3" t="s">
        <v>2032</v>
      </c>
      <c r="I2352" s="6">
        <v>61.96</v>
      </c>
      <c r="J2352" s="4">
        <v>2</v>
      </c>
      <c r="K2352" s="6">
        <v>27.88</v>
      </c>
    </row>
    <row r="2353" spans="1:11" x14ac:dyDescent="0.3">
      <c r="A2353" s="7">
        <v>42112</v>
      </c>
      <c r="B2353" s="4">
        <f>YEAR(SalesData[[#This Row],[Order Date]])</f>
        <v>2015</v>
      </c>
      <c r="C2353" s="4">
        <f>MONTH(SalesData[[#This Row],[Order Date]])</f>
        <v>4</v>
      </c>
      <c r="D2353" s="3" t="s">
        <v>607</v>
      </c>
      <c r="E2353" s="3" t="s">
        <v>27</v>
      </c>
      <c r="F2353" s="3" t="s">
        <v>11</v>
      </c>
      <c r="G2353" s="3" t="s">
        <v>18</v>
      </c>
      <c r="H2353" s="3" t="s">
        <v>1087</v>
      </c>
      <c r="I2353" s="6">
        <v>115.44</v>
      </c>
      <c r="J2353" s="4">
        <v>3</v>
      </c>
      <c r="K2353" s="6">
        <v>30.01</v>
      </c>
    </row>
    <row r="2354" spans="1:11" x14ac:dyDescent="0.3">
      <c r="A2354" s="7">
        <v>42112</v>
      </c>
      <c r="B2354" s="4">
        <f>YEAR(SalesData[[#This Row],[Order Date]])</f>
        <v>2015</v>
      </c>
      <c r="C2354" s="4">
        <f>MONTH(SalesData[[#This Row],[Order Date]])</f>
        <v>4</v>
      </c>
      <c r="D2354" s="3" t="s">
        <v>2033</v>
      </c>
      <c r="E2354" s="3" t="s">
        <v>10</v>
      </c>
      <c r="F2354" s="3" t="s">
        <v>39</v>
      </c>
      <c r="G2354" s="3" t="s">
        <v>52</v>
      </c>
      <c r="H2354" s="3" t="s">
        <v>2034</v>
      </c>
      <c r="I2354" s="6">
        <v>41.42</v>
      </c>
      <c r="J2354" s="4">
        <v>2</v>
      </c>
      <c r="K2354" s="6">
        <v>8.2799999999999994</v>
      </c>
    </row>
    <row r="2355" spans="1:11" x14ac:dyDescent="0.3">
      <c r="A2355" s="7">
        <v>42112</v>
      </c>
      <c r="B2355" s="4">
        <f>YEAR(SalesData[[#This Row],[Order Date]])</f>
        <v>2015</v>
      </c>
      <c r="C2355" s="4">
        <f>MONTH(SalesData[[#This Row],[Order Date]])</f>
        <v>4</v>
      </c>
      <c r="D2355" s="3" t="s">
        <v>2033</v>
      </c>
      <c r="E2355" s="3" t="s">
        <v>10</v>
      </c>
      <c r="F2355" s="3" t="s">
        <v>39</v>
      </c>
      <c r="G2355" s="3" t="s">
        <v>40</v>
      </c>
      <c r="H2355" s="3" t="s">
        <v>2035</v>
      </c>
      <c r="I2355" s="6">
        <v>244.77</v>
      </c>
      <c r="J2355" s="4">
        <v>4</v>
      </c>
      <c r="K2355" s="6">
        <v>24.48</v>
      </c>
    </row>
    <row r="2356" spans="1:11" x14ac:dyDescent="0.3">
      <c r="A2356" s="7">
        <v>42112</v>
      </c>
      <c r="B2356" s="4">
        <f>YEAR(SalesData[[#This Row],[Order Date]])</f>
        <v>2015</v>
      </c>
      <c r="C2356" s="4">
        <f>MONTH(SalesData[[#This Row],[Order Date]])</f>
        <v>4</v>
      </c>
      <c r="D2356" s="3" t="s">
        <v>2033</v>
      </c>
      <c r="E2356" s="3" t="s">
        <v>10</v>
      </c>
      <c r="F2356" s="3" t="s">
        <v>11</v>
      </c>
      <c r="G2356" s="3" t="s">
        <v>24</v>
      </c>
      <c r="H2356" s="3" t="s">
        <v>1852</v>
      </c>
      <c r="I2356" s="6">
        <v>74.349999999999994</v>
      </c>
      <c r="J2356" s="4">
        <v>3</v>
      </c>
      <c r="K2356" s="6">
        <v>6.51</v>
      </c>
    </row>
    <row r="2357" spans="1:11" x14ac:dyDescent="0.3">
      <c r="A2357" s="7">
        <v>42112</v>
      </c>
      <c r="B2357" s="4">
        <f>YEAR(SalesData[[#This Row],[Order Date]])</f>
        <v>2015</v>
      </c>
      <c r="C2357" s="4">
        <f>MONTH(SalesData[[#This Row],[Order Date]])</f>
        <v>4</v>
      </c>
      <c r="D2357" s="3" t="s">
        <v>2033</v>
      </c>
      <c r="E2357" s="3" t="s">
        <v>10</v>
      </c>
      <c r="F2357" s="3" t="s">
        <v>11</v>
      </c>
      <c r="G2357" s="3" t="s">
        <v>20</v>
      </c>
      <c r="H2357" s="3" t="s">
        <v>96</v>
      </c>
      <c r="I2357" s="6">
        <v>4.3099999999999996</v>
      </c>
      <c r="J2357" s="4">
        <v>2</v>
      </c>
      <c r="K2357" s="6">
        <v>-6.9</v>
      </c>
    </row>
    <row r="2358" spans="1:11" x14ac:dyDescent="0.3">
      <c r="A2358" s="7">
        <v>42112</v>
      </c>
      <c r="B2358" s="4">
        <f>YEAR(SalesData[[#This Row],[Order Date]])</f>
        <v>2015</v>
      </c>
      <c r="C2358" s="4">
        <f>MONTH(SalesData[[#This Row],[Order Date]])</f>
        <v>4</v>
      </c>
      <c r="D2358" s="3" t="s">
        <v>2033</v>
      </c>
      <c r="E2358" s="3" t="s">
        <v>10</v>
      </c>
      <c r="F2358" s="3" t="s">
        <v>34</v>
      </c>
      <c r="G2358" s="3" t="s">
        <v>35</v>
      </c>
      <c r="H2358" s="3" t="s">
        <v>194</v>
      </c>
      <c r="I2358" s="6">
        <v>56.69</v>
      </c>
      <c r="J2358" s="4">
        <v>1</v>
      </c>
      <c r="K2358" s="6">
        <v>-20.25</v>
      </c>
    </row>
    <row r="2359" spans="1:11" x14ac:dyDescent="0.3">
      <c r="A2359" s="7">
        <v>42112</v>
      </c>
      <c r="B2359" s="4">
        <f>YEAR(SalesData[[#This Row],[Order Date]])</f>
        <v>2015</v>
      </c>
      <c r="C2359" s="4">
        <f>MONTH(SalesData[[#This Row],[Order Date]])</f>
        <v>4</v>
      </c>
      <c r="D2359" s="3" t="s">
        <v>2033</v>
      </c>
      <c r="E2359" s="3" t="s">
        <v>10</v>
      </c>
      <c r="F2359" s="3" t="s">
        <v>39</v>
      </c>
      <c r="G2359" s="3" t="s">
        <v>40</v>
      </c>
      <c r="H2359" s="3" t="s">
        <v>1749</v>
      </c>
      <c r="I2359" s="6">
        <v>97.97</v>
      </c>
      <c r="J2359" s="4">
        <v>2</v>
      </c>
      <c r="K2359" s="6">
        <v>6.12</v>
      </c>
    </row>
    <row r="2360" spans="1:11" x14ac:dyDescent="0.3">
      <c r="A2360" s="7">
        <v>42112</v>
      </c>
      <c r="B2360" s="4">
        <f>YEAR(SalesData[[#This Row],[Order Date]])</f>
        <v>2015</v>
      </c>
      <c r="C2360" s="4">
        <f>MONTH(SalesData[[#This Row],[Order Date]])</f>
        <v>4</v>
      </c>
      <c r="D2360" s="3" t="s">
        <v>2033</v>
      </c>
      <c r="E2360" s="3" t="s">
        <v>10</v>
      </c>
      <c r="F2360" s="3" t="s">
        <v>11</v>
      </c>
      <c r="G2360" s="3" t="s">
        <v>24</v>
      </c>
      <c r="H2360" s="3" t="s">
        <v>988</v>
      </c>
      <c r="I2360" s="6">
        <v>7.87</v>
      </c>
      <c r="J2360" s="4">
        <v>3</v>
      </c>
      <c r="K2360" s="6">
        <v>0.89</v>
      </c>
    </row>
    <row r="2361" spans="1:11" x14ac:dyDescent="0.3">
      <c r="A2361" s="7">
        <v>42112</v>
      </c>
      <c r="B2361" s="4">
        <f>YEAR(SalesData[[#This Row],[Order Date]])</f>
        <v>2015</v>
      </c>
      <c r="C2361" s="4">
        <f>MONTH(SalesData[[#This Row],[Order Date]])</f>
        <v>4</v>
      </c>
      <c r="D2361" s="3" t="s">
        <v>2033</v>
      </c>
      <c r="E2361" s="3" t="s">
        <v>10</v>
      </c>
      <c r="F2361" s="3" t="s">
        <v>11</v>
      </c>
      <c r="G2361" s="3" t="s">
        <v>12</v>
      </c>
      <c r="H2361" s="3" t="s">
        <v>1149</v>
      </c>
      <c r="I2361" s="6">
        <v>15.55</v>
      </c>
      <c r="J2361" s="4">
        <v>3</v>
      </c>
      <c r="K2361" s="6">
        <v>5.44</v>
      </c>
    </row>
    <row r="2362" spans="1:11" x14ac:dyDescent="0.3">
      <c r="A2362" s="7">
        <v>42112</v>
      </c>
      <c r="B2362" s="4">
        <f>YEAR(SalesData[[#This Row],[Order Date]])</f>
        <v>2015</v>
      </c>
      <c r="C2362" s="4">
        <f>MONTH(SalesData[[#This Row],[Order Date]])</f>
        <v>4</v>
      </c>
      <c r="D2362" s="3" t="s">
        <v>2033</v>
      </c>
      <c r="E2362" s="3" t="s">
        <v>10</v>
      </c>
      <c r="F2362" s="3" t="s">
        <v>11</v>
      </c>
      <c r="G2362" s="3" t="s">
        <v>20</v>
      </c>
      <c r="H2362" s="3" t="s">
        <v>222</v>
      </c>
      <c r="I2362" s="6">
        <v>1.48</v>
      </c>
      <c r="J2362" s="4">
        <v>1</v>
      </c>
      <c r="K2362" s="6">
        <v>-2.29</v>
      </c>
    </row>
    <row r="2363" spans="1:11" x14ac:dyDescent="0.3">
      <c r="A2363" s="7">
        <v>42113</v>
      </c>
      <c r="B2363" s="4">
        <f>YEAR(SalesData[[#This Row],[Order Date]])</f>
        <v>2015</v>
      </c>
      <c r="C2363" s="4">
        <f>MONTH(SalesData[[#This Row],[Order Date]])</f>
        <v>4</v>
      </c>
      <c r="D2363" s="3" t="s">
        <v>635</v>
      </c>
      <c r="E2363" s="3" t="s">
        <v>10</v>
      </c>
      <c r="F2363" s="3" t="s">
        <v>11</v>
      </c>
      <c r="G2363" s="3" t="s">
        <v>92</v>
      </c>
      <c r="H2363" s="3" t="s">
        <v>286</v>
      </c>
      <c r="I2363" s="6">
        <v>19.57</v>
      </c>
      <c r="J2363" s="4">
        <v>2</v>
      </c>
      <c r="K2363" s="6">
        <v>-52.83</v>
      </c>
    </row>
    <row r="2364" spans="1:11" x14ac:dyDescent="0.3">
      <c r="A2364" s="7">
        <v>42113</v>
      </c>
      <c r="B2364" s="4">
        <f>YEAR(SalesData[[#This Row],[Order Date]])</f>
        <v>2015</v>
      </c>
      <c r="C2364" s="4">
        <f>MONTH(SalesData[[#This Row],[Order Date]])</f>
        <v>4</v>
      </c>
      <c r="D2364" s="3" t="s">
        <v>635</v>
      </c>
      <c r="E2364" s="3" t="s">
        <v>10</v>
      </c>
      <c r="F2364" s="3" t="s">
        <v>11</v>
      </c>
      <c r="G2364" s="3" t="s">
        <v>20</v>
      </c>
      <c r="H2364" s="3" t="s">
        <v>693</v>
      </c>
      <c r="I2364" s="6">
        <v>310.39</v>
      </c>
      <c r="J2364" s="4">
        <v>4</v>
      </c>
      <c r="K2364" s="6">
        <v>-512.15</v>
      </c>
    </row>
    <row r="2365" spans="1:11" x14ac:dyDescent="0.3">
      <c r="A2365" s="7">
        <v>42114</v>
      </c>
      <c r="B2365" s="4">
        <f>YEAR(SalesData[[#This Row],[Order Date]])</f>
        <v>2015</v>
      </c>
      <c r="C2365" s="4">
        <f>MONTH(SalesData[[#This Row],[Order Date]])</f>
        <v>4</v>
      </c>
      <c r="D2365" s="3" t="s">
        <v>560</v>
      </c>
      <c r="E2365" s="3" t="s">
        <v>30</v>
      </c>
      <c r="F2365" s="3" t="s">
        <v>39</v>
      </c>
      <c r="G2365" s="3" t="s">
        <v>40</v>
      </c>
      <c r="H2365" s="3" t="s">
        <v>520</v>
      </c>
      <c r="I2365" s="6">
        <v>287.97000000000003</v>
      </c>
      <c r="J2365" s="4">
        <v>3</v>
      </c>
      <c r="K2365" s="6">
        <v>77.75</v>
      </c>
    </row>
    <row r="2366" spans="1:11" x14ac:dyDescent="0.3">
      <c r="A2366" s="7">
        <v>42114</v>
      </c>
      <c r="B2366" s="4">
        <f>YEAR(SalesData[[#This Row],[Order Date]])</f>
        <v>2015</v>
      </c>
      <c r="C2366" s="4">
        <f>MONTH(SalesData[[#This Row],[Order Date]])</f>
        <v>4</v>
      </c>
      <c r="D2366" s="3" t="s">
        <v>560</v>
      </c>
      <c r="E2366" s="3" t="s">
        <v>30</v>
      </c>
      <c r="F2366" s="3" t="s">
        <v>34</v>
      </c>
      <c r="G2366" s="3" t="s">
        <v>47</v>
      </c>
      <c r="H2366" s="3" t="s">
        <v>2036</v>
      </c>
      <c r="I2366" s="6">
        <v>595.38</v>
      </c>
      <c r="J2366" s="4">
        <v>6</v>
      </c>
      <c r="K2366" s="6">
        <v>297.69</v>
      </c>
    </row>
    <row r="2367" spans="1:11" x14ac:dyDescent="0.3">
      <c r="A2367" s="7">
        <v>42114</v>
      </c>
      <c r="B2367" s="4">
        <f>YEAR(SalesData[[#This Row],[Order Date]])</f>
        <v>2015</v>
      </c>
      <c r="C2367" s="4">
        <f>MONTH(SalesData[[#This Row],[Order Date]])</f>
        <v>4</v>
      </c>
      <c r="D2367" s="3" t="s">
        <v>560</v>
      </c>
      <c r="E2367" s="3" t="s">
        <v>30</v>
      </c>
      <c r="F2367" s="3" t="s">
        <v>11</v>
      </c>
      <c r="G2367" s="3" t="s">
        <v>12</v>
      </c>
      <c r="H2367" s="3" t="s">
        <v>836</v>
      </c>
      <c r="I2367" s="6">
        <v>12.96</v>
      </c>
      <c r="J2367" s="4">
        <v>2</v>
      </c>
      <c r="K2367" s="6">
        <v>6.22</v>
      </c>
    </row>
    <row r="2368" spans="1:11" x14ac:dyDescent="0.3">
      <c r="A2368" s="7">
        <v>42114</v>
      </c>
      <c r="B2368" s="4">
        <f>YEAR(SalesData[[#This Row],[Order Date]])</f>
        <v>2015</v>
      </c>
      <c r="C2368" s="4">
        <f>MONTH(SalesData[[#This Row],[Order Date]])</f>
        <v>4</v>
      </c>
      <c r="D2368" s="3" t="s">
        <v>1335</v>
      </c>
      <c r="E2368" s="3" t="s">
        <v>10</v>
      </c>
      <c r="F2368" s="3" t="s">
        <v>11</v>
      </c>
      <c r="G2368" s="3" t="s">
        <v>12</v>
      </c>
      <c r="H2368" s="3" t="s">
        <v>1041</v>
      </c>
      <c r="I2368" s="6">
        <v>117.46</v>
      </c>
      <c r="J2368" s="4">
        <v>3</v>
      </c>
      <c r="K2368" s="6">
        <v>44.05</v>
      </c>
    </row>
    <row r="2369" spans="1:11" x14ac:dyDescent="0.3">
      <c r="A2369" s="7">
        <v>42114</v>
      </c>
      <c r="B2369" s="4">
        <f>YEAR(SalesData[[#This Row],[Order Date]])</f>
        <v>2015</v>
      </c>
      <c r="C2369" s="4">
        <f>MONTH(SalesData[[#This Row],[Order Date]])</f>
        <v>4</v>
      </c>
      <c r="D2369" s="3" t="s">
        <v>2037</v>
      </c>
      <c r="E2369" s="3" t="s">
        <v>110</v>
      </c>
      <c r="F2369" s="3" t="s">
        <v>11</v>
      </c>
      <c r="G2369" s="3" t="s">
        <v>63</v>
      </c>
      <c r="H2369" s="3" t="s">
        <v>2038</v>
      </c>
      <c r="I2369" s="6">
        <v>180.96</v>
      </c>
      <c r="J2369" s="4">
        <v>2</v>
      </c>
      <c r="K2369" s="6">
        <v>81.430000000000007</v>
      </c>
    </row>
    <row r="2370" spans="1:11" x14ac:dyDescent="0.3">
      <c r="A2370" s="7">
        <v>42115</v>
      </c>
      <c r="B2370" s="4">
        <f>YEAR(SalesData[[#This Row],[Order Date]])</f>
        <v>2015</v>
      </c>
      <c r="C2370" s="4">
        <f>MONTH(SalesData[[#This Row],[Order Date]])</f>
        <v>4</v>
      </c>
      <c r="D2370" s="3" t="s">
        <v>2039</v>
      </c>
      <c r="E2370" s="3" t="s">
        <v>33</v>
      </c>
      <c r="F2370" s="3" t="s">
        <v>34</v>
      </c>
      <c r="G2370" s="3" t="s">
        <v>35</v>
      </c>
      <c r="H2370" s="3" t="s">
        <v>1839</v>
      </c>
      <c r="I2370" s="6">
        <v>191.96</v>
      </c>
      <c r="J2370" s="4">
        <v>2</v>
      </c>
      <c r="K2370" s="6">
        <v>51.83</v>
      </c>
    </row>
    <row r="2371" spans="1:11" x14ac:dyDescent="0.3">
      <c r="A2371" s="7">
        <v>42115</v>
      </c>
      <c r="B2371" s="4">
        <f>YEAR(SalesData[[#This Row],[Order Date]])</f>
        <v>2015</v>
      </c>
      <c r="C2371" s="4">
        <f>MONTH(SalesData[[#This Row],[Order Date]])</f>
        <v>4</v>
      </c>
      <c r="D2371" s="3" t="s">
        <v>2039</v>
      </c>
      <c r="E2371" s="3" t="s">
        <v>33</v>
      </c>
      <c r="F2371" s="3" t="s">
        <v>11</v>
      </c>
      <c r="G2371" s="3" t="s">
        <v>20</v>
      </c>
      <c r="H2371" s="3" t="s">
        <v>1185</v>
      </c>
      <c r="I2371" s="6">
        <v>21.3</v>
      </c>
      <c r="J2371" s="4">
        <v>3</v>
      </c>
      <c r="K2371" s="6">
        <v>9.8000000000000007</v>
      </c>
    </row>
    <row r="2372" spans="1:11" x14ac:dyDescent="0.3">
      <c r="A2372" s="7">
        <v>42115</v>
      </c>
      <c r="B2372" s="4">
        <f>YEAR(SalesData[[#This Row],[Order Date]])</f>
        <v>2015</v>
      </c>
      <c r="C2372" s="4">
        <f>MONTH(SalesData[[#This Row],[Order Date]])</f>
        <v>4</v>
      </c>
      <c r="D2372" s="3" t="s">
        <v>2039</v>
      </c>
      <c r="E2372" s="3" t="s">
        <v>33</v>
      </c>
      <c r="F2372" s="3" t="s">
        <v>39</v>
      </c>
      <c r="G2372" s="3" t="s">
        <v>40</v>
      </c>
      <c r="H2372" s="3" t="s">
        <v>138</v>
      </c>
      <c r="I2372" s="6">
        <v>469.95</v>
      </c>
      <c r="J2372" s="4">
        <v>5</v>
      </c>
      <c r="K2372" s="6">
        <v>131.59</v>
      </c>
    </row>
    <row r="2373" spans="1:11" x14ac:dyDescent="0.3">
      <c r="A2373" s="7">
        <v>42115</v>
      </c>
      <c r="B2373" s="4">
        <f>YEAR(SalesData[[#This Row],[Order Date]])</f>
        <v>2015</v>
      </c>
      <c r="C2373" s="4">
        <f>MONTH(SalesData[[#This Row],[Order Date]])</f>
        <v>4</v>
      </c>
      <c r="D2373" s="3" t="s">
        <v>2039</v>
      </c>
      <c r="E2373" s="3" t="s">
        <v>33</v>
      </c>
      <c r="F2373" s="3" t="s">
        <v>34</v>
      </c>
      <c r="G2373" s="3" t="s">
        <v>47</v>
      </c>
      <c r="H2373" s="3" t="s">
        <v>2040</v>
      </c>
      <c r="I2373" s="6">
        <v>209.88</v>
      </c>
      <c r="J2373" s="4">
        <v>3</v>
      </c>
      <c r="K2373" s="6">
        <v>35.68</v>
      </c>
    </row>
    <row r="2374" spans="1:11" x14ac:dyDescent="0.3">
      <c r="A2374" s="7">
        <v>42116</v>
      </c>
      <c r="B2374" s="4">
        <f>YEAR(SalesData[[#This Row],[Order Date]])</f>
        <v>2015</v>
      </c>
      <c r="C2374" s="4">
        <f>MONTH(SalesData[[#This Row],[Order Date]])</f>
        <v>4</v>
      </c>
      <c r="D2374" s="3" t="s">
        <v>325</v>
      </c>
      <c r="E2374" s="3" t="s">
        <v>27</v>
      </c>
      <c r="F2374" s="3" t="s">
        <v>39</v>
      </c>
      <c r="G2374" s="3" t="s">
        <v>40</v>
      </c>
      <c r="H2374" s="3" t="s">
        <v>901</v>
      </c>
      <c r="I2374" s="6">
        <v>88.78</v>
      </c>
      <c r="J2374" s="4">
        <v>3</v>
      </c>
      <c r="K2374" s="6">
        <v>7.77</v>
      </c>
    </row>
    <row r="2375" spans="1:11" x14ac:dyDescent="0.3">
      <c r="A2375" s="7">
        <v>42116</v>
      </c>
      <c r="B2375" s="4">
        <f>YEAR(SalesData[[#This Row],[Order Date]])</f>
        <v>2015</v>
      </c>
      <c r="C2375" s="4">
        <f>MONTH(SalesData[[#This Row],[Order Date]])</f>
        <v>4</v>
      </c>
      <c r="D2375" s="3" t="s">
        <v>325</v>
      </c>
      <c r="E2375" s="3" t="s">
        <v>27</v>
      </c>
      <c r="F2375" s="3" t="s">
        <v>11</v>
      </c>
      <c r="G2375" s="3" t="s">
        <v>24</v>
      </c>
      <c r="H2375" s="3" t="s">
        <v>1889</v>
      </c>
      <c r="I2375" s="6">
        <v>64.14</v>
      </c>
      <c r="J2375" s="4">
        <v>3</v>
      </c>
      <c r="K2375" s="6">
        <v>16.68</v>
      </c>
    </row>
    <row r="2376" spans="1:11" x14ac:dyDescent="0.3">
      <c r="A2376" s="7">
        <v>42118</v>
      </c>
      <c r="B2376" s="4">
        <f>YEAR(SalesData[[#This Row],[Order Date]])</f>
        <v>2015</v>
      </c>
      <c r="C2376" s="4">
        <f>MONTH(SalesData[[#This Row],[Order Date]])</f>
        <v>4</v>
      </c>
      <c r="D2376" s="3" t="s">
        <v>167</v>
      </c>
      <c r="E2376" s="3" t="s">
        <v>149</v>
      </c>
      <c r="F2376" s="3" t="s">
        <v>11</v>
      </c>
      <c r="G2376" s="3" t="s">
        <v>24</v>
      </c>
      <c r="H2376" s="3" t="s">
        <v>279</v>
      </c>
      <c r="I2376" s="6">
        <v>25.99</v>
      </c>
      <c r="J2376" s="4">
        <v>1</v>
      </c>
      <c r="K2376" s="6">
        <v>7.54</v>
      </c>
    </row>
    <row r="2377" spans="1:11" x14ac:dyDescent="0.3">
      <c r="A2377" s="7">
        <v>42119</v>
      </c>
      <c r="B2377" s="4">
        <f>YEAR(SalesData[[#This Row],[Order Date]])</f>
        <v>2015</v>
      </c>
      <c r="C2377" s="4">
        <f>MONTH(SalesData[[#This Row],[Order Date]])</f>
        <v>4</v>
      </c>
      <c r="D2377" s="3" t="s">
        <v>249</v>
      </c>
      <c r="E2377" s="3" t="s">
        <v>27</v>
      </c>
      <c r="F2377" s="3" t="s">
        <v>11</v>
      </c>
      <c r="G2377" s="3" t="s">
        <v>20</v>
      </c>
      <c r="H2377" s="3" t="s">
        <v>425</v>
      </c>
      <c r="I2377" s="6">
        <v>13.94</v>
      </c>
      <c r="J2377" s="4">
        <v>3</v>
      </c>
      <c r="K2377" s="6">
        <v>4.53</v>
      </c>
    </row>
    <row r="2378" spans="1:11" x14ac:dyDescent="0.3">
      <c r="A2378" s="7">
        <v>42119</v>
      </c>
      <c r="B2378" s="4">
        <f>YEAR(SalesData[[#This Row],[Order Date]])</f>
        <v>2015</v>
      </c>
      <c r="C2378" s="4">
        <f>MONTH(SalesData[[#This Row],[Order Date]])</f>
        <v>4</v>
      </c>
      <c r="D2378" s="3" t="s">
        <v>1004</v>
      </c>
      <c r="E2378" s="3" t="s">
        <v>149</v>
      </c>
      <c r="F2378" s="3" t="s">
        <v>11</v>
      </c>
      <c r="G2378" s="3" t="s">
        <v>92</v>
      </c>
      <c r="H2378" s="3" t="s">
        <v>114</v>
      </c>
      <c r="I2378" s="6">
        <v>206.43</v>
      </c>
      <c r="J2378" s="4">
        <v>3</v>
      </c>
      <c r="K2378" s="6">
        <v>90.83</v>
      </c>
    </row>
    <row r="2379" spans="1:11" x14ac:dyDescent="0.3">
      <c r="A2379" s="7">
        <v>42119</v>
      </c>
      <c r="B2379" s="4">
        <f>YEAR(SalesData[[#This Row],[Order Date]])</f>
        <v>2015</v>
      </c>
      <c r="C2379" s="4">
        <f>MONTH(SalesData[[#This Row],[Order Date]])</f>
        <v>4</v>
      </c>
      <c r="D2379" s="3" t="s">
        <v>1910</v>
      </c>
      <c r="E2379" s="3" t="s">
        <v>157</v>
      </c>
      <c r="F2379" s="3" t="s">
        <v>11</v>
      </c>
      <c r="G2379" s="3" t="s">
        <v>24</v>
      </c>
      <c r="H2379" s="3" t="s">
        <v>1006</v>
      </c>
      <c r="I2379" s="6">
        <v>57.75</v>
      </c>
      <c r="J2379" s="4">
        <v>5</v>
      </c>
      <c r="K2379" s="6">
        <v>16.170000000000002</v>
      </c>
    </row>
    <row r="2380" spans="1:11" x14ac:dyDescent="0.3">
      <c r="A2380" s="7">
        <v>42119</v>
      </c>
      <c r="B2380" s="4">
        <f>YEAR(SalesData[[#This Row],[Order Date]])</f>
        <v>2015</v>
      </c>
      <c r="C2380" s="4">
        <f>MONTH(SalesData[[#This Row],[Order Date]])</f>
        <v>4</v>
      </c>
      <c r="D2380" s="3" t="s">
        <v>1910</v>
      </c>
      <c r="E2380" s="3" t="s">
        <v>157</v>
      </c>
      <c r="F2380" s="3" t="s">
        <v>11</v>
      </c>
      <c r="G2380" s="3" t="s">
        <v>92</v>
      </c>
      <c r="H2380" s="3" t="s">
        <v>1888</v>
      </c>
      <c r="I2380" s="6">
        <v>272.39999999999998</v>
      </c>
      <c r="J2380" s="4">
        <v>5</v>
      </c>
      <c r="K2380" s="6">
        <v>76.27</v>
      </c>
    </row>
    <row r="2381" spans="1:11" x14ac:dyDescent="0.3">
      <c r="A2381" s="7">
        <v>42119</v>
      </c>
      <c r="B2381" s="4">
        <f>YEAR(SalesData[[#This Row],[Order Date]])</f>
        <v>2015</v>
      </c>
      <c r="C2381" s="4">
        <f>MONTH(SalesData[[#This Row],[Order Date]])</f>
        <v>4</v>
      </c>
      <c r="D2381" s="3" t="s">
        <v>1459</v>
      </c>
      <c r="E2381" s="3" t="s">
        <v>15</v>
      </c>
      <c r="F2381" s="3" t="s">
        <v>11</v>
      </c>
      <c r="G2381" s="3" t="s">
        <v>18</v>
      </c>
      <c r="H2381" s="3" t="s">
        <v>557</v>
      </c>
      <c r="I2381" s="6">
        <v>221.02</v>
      </c>
      <c r="J2381" s="4">
        <v>2</v>
      </c>
      <c r="K2381" s="6">
        <v>-55.26</v>
      </c>
    </row>
    <row r="2382" spans="1:11" x14ac:dyDescent="0.3">
      <c r="A2382" s="7">
        <v>42119</v>
      </c>
      <c r="B2382" s="4">
        <f>YEAR(SalesData[[#This Row],[Order Date]])</f>
        <v>2015</v>
      </c>
      <c r="C2382" s="4">
        <f>MONTH(SalesData[[#This Row],[Order Date]])</f>
        <v>4</v>
      </c>
      <c r="D2382" s="3" t="s">
        <v>1459</v>
      </c>
      <c r="E2382" s="3" t="s">
        <v>15</v>
      </c>
      <c r="F2382" s="3" t="s">
        <v>34</v>
      </c>
      <c r="G2382" s="3" t="s">
        <v>35</v>
      </c>
      <c r="H2382" s="3" t="s">
        <v>2041</v>
      </c>
      <c r="I2382" s="6">
        <v>128.06</v>
      </c>
      <c r="J2382" s="4">
        <v>3</v>
      </c>
      <c r="K2382" s="6">
        <v>-23.78</v>
      </c>
    </row>
    <row r="2383" spans="1:11" x14ac:dyDescent="0.3">
      <c r="A2383" s="7">
        <v>42119</v>
      </c>
      <c r="B2383" s="4">
        <f>YEAR(SalesData[[#This Row],[Order Date]])</f>
        <v>2015</v>
      </c>
      <c r="C2383" s="4">
        <f>MONTH(SalesData[[#This Row],[Order Date]])</f>
        <v>4</v>
      </c>
      <c r="D2383" s="3" t="s">
        <v>2042</v>
      </c>
      <c r="E2383" s="3" t="s">
        <v>27</v>
      </c>
      <c r="F2383" s="3" t="s">
        <v>11</v>
      </c>
      <c r="G2383" s="3" t="s">
        <v>63</v>
      </c>
      <c r="H2383" s="3" t="s">
        <v>1721</v>
      </c>
      <c r="I2383" s="6">
        <v>21.34</v>
      </c>
      <c r="J2383" s="4">
        <v>2</v>
      </c>
      <c r="K2383" s="6">
        <v>9.82</v>
      </c>
    </row>
    <row r="2384" spans="1:11" x14ac:dyDescent="0.3">
      <c r="A2384" s="7">
        <v>42120</v>
      </c>
      <c r="B2384" s="4">
        <f>YEAR(SalesData[[#This Row],[Order Date]])</f>
        <v>2015</v>
      </c>
      <c r="C2384" s="4">
        <f>MONTH(SalesData[[#This Row],[Order Date]])</f>
        <v>4</v>
      </c>
      <c r="D2384" s="3" t="s">
        <v>857</v>
      </c>
      <c r="E2384" s="3" t="s">
        <v>120</v>
      </c>
      <c r="F2384" s="3" t="s">
        <v>34</v>
      </c>
      <c r="G2384" s="3" t="s">
        <v>35</v>
      </c>
      <c r="H2384" s="3" t="s">
        <v>1805</v>
      </c>
      <c r="I2384" s="6">
        <v>831.94</v>
      </c>
      <c r="J2384" s="4">
        <v>8</v>
      </c>
      <c r="K2384" s="6">
        <v>-114.39</v>
      </c>
    </row>
    <row r="2385" spans="1:11" x14ac:dyDescent="0.3">
      <c r="A2385" s="7">
        <v>42120</v>
      </c>
      <c r="B2385" s="4">
        <f>YEAR(SalesData[[#This Row],[Order Date]])</f>
        <v>2015</v>
      </c>
      <c r="C2385" s="4">
        <f>MONTH(SalesData[[#This Row],[Order Date]])</f>
        <v>4</v>
      </c>
      <c r="D2385" s="3" t="s">
        <v>857</v>
      </c>
      <c r="E2385" s="3" t="s">
        <v>120</v>
      </c>
      <c r="F2385" s="3" t="s">
        <v>34</v>
      </c>
      <c r="G2385" s="3" t="s">
        <v>47</v>
      </c>
      <c r="H2385" s="3" t="s">
        <v>570</v>
      </c>
      <c r="I2385" s="6">
        <v>97.04</v>
      </c>
      <c r="J2385" s="4">
        <v>2</v>
      </c>
      <c r="K2385" s="6">
        <v>1.21</v>
      </c>
    </row>
    <row r="2386" spans="1:11" x14ac:dyDescent="0.3">
      <c r="A2386" s="7">
        <v>42120</v>
      </c>
      <c r="B2386" s="4">
        <f>YEAR(SalesData[[#This Row],[Order Date]])</f>
        <v>2015</v>
      </c>
      <c r="C2386" s="4">
        <f>MONTH(SalesData[[#This Row],[Order Date]])</f>
        <v>4</v>
      </c>
      <c r="D2386" s="3" t="s">
        <v>857</v>
      </c>
      <c r="E2386" s="3" t="s">
        <v>120</v>
      </c>
      <c r="F2386" s="3" t="s">
        <v>11</v>
      </c>
      <c r="G2386" s="3" t="s">
        <v>18</v>
      </c>
      <c r="H2386" s="3" t="s">
        <v>838</v>
      </c>
      <c r="I2386" s="6">
        <v>72.78</v>
      </c>
      <c r="J2386" s="4">
        <v>1</v>
      </c>
      <c r="K2386" s="6">
        <v>-18.2</v>
      </c>
    </row>
    <row r="2387" spans="1:11" x14ac:dyDescent="0.3">
      <c r="A2387" s="7">
        <v>42120</v>
      </c>
      <c r="B2387" s="4">
        <f>YEAR(SalesData[[#This Row],[Order Date]])</f>
        <v>2015</v>
      </c>
      <c r="C2387" s="4">
        <f>MONTH(SalesData[[#This Row],[Order Date]])</f>
        <v>4</v>
      </c>
      <c r="D2387" s="3" t="s">
        <v>1643</v>
      </c>
      <c r="E2387" s="3" t="s">
        <v>10</v>
      </c>
      <c r="F2387" s="3" t="s">
        <v>34</v>
      </c>
      <c r="G2387" s="3" t="s">
        <v>35</v>
      </c>
      <c r="H2387" s="3" t="s">
        <v>1982</v>
      </c>
      <c r="I2387" s="6">
        <v>408.42</v>
      </c>
      <c r="J2387" s="4">
        <v>2</v>
      </c>
      <c r="K2387" s="6">
        <v>-5.83</v>
      </c>
    </row>
    <row r="2388" spans="1:11" x14ac:dyDescent="0.3">
      <c r="A2388" s="7">
        <v>42120</v>
      </c>
      <c r="B2388" s="4">
        <f>YEAR(SalesData[[#This Row],[Order Date]])</f>
        <v>2015</v>
      </c>
      <c r="C2388" s="4">
        <f>MONTH(SalesData[[#This Row],[Order Date]])</f>
        <v>4</v>
      </c>
      <c r="D2388" s="3" t="s">
        <v>1963</v>
      </c>
      <c r="E2388" s="3" t="s">
        <v>27</v>
      </c>
      <c r="F2388" s="3" t="s">
        <v>34</v>
      </c>
      <c r="G2388" s="3" t="s">
        <v>35</v>
      </c>
      <c r="H2388" s="3" t="s">
        <v>1634</v>
      </c>
      <c r="I2388" s="6">
        <v>63.94</v>
      </c>
      <c r="J2388" s="4">
        <v>3</v>
      </c>
      <c r="K2388" s="6">
        <v>6.39</v>
      </c>
    </row>
    <row r="2389" spans="1:11" x14ac:dyDescent="0.3">
      <c r="A2389" s="7">
        <v>42120</v>
      </c>
      <c r="B2389" s="4">
        <f>YEAR(SalesData[[#This Row],[Order Date]])</f>
        <v>2015</v>
      </c>
      <c r="C2389" s="4">
        <f>MONTH(SalesData[[#This Row],[Order Date]])</f>
        <v>4</v>
      </c>
      <c r="D2389" s="3" t="s">
        <v>1963</v>
      </c>
      <c r="E2389" s="3" t="s">
        <v>27</v>
      </c>
      <c r="F2389" s="3" t="s">
        <v>11</v>
      </c>
      <c r="G2389" s="3" t="s">
        <v>24</v>
      </c>
      <c r="H2389" s="3" t="s">
        <v>260</v>
      </c>
      <c r="I2389" s="6">
        <v>59.52</v>
      </c>
      <c r="J2389" s="4">
        <v>3</v>
      </c>
      <c r="K2389" s="6">
        <v>15.48</v>
      </c>
    </row>
    <row r="2390" spans="1:11" x14ac:dyDescent="0.3">
      <c r="A2390" s="7">
        <v>42120</v>
      </c>
      <c r="B2390" s="4">
        <f>YEAR(SalesData[[#This Row],[Order Date]])</f>
        <v>2015</v>
      </c>
      <c r="C2390" s="4">
        <f>MONTH(SalesData[[#This Row],[Order Date]])</f>
        <v>4</v>
      </c>
      <c r="D2390" s="3" t="s">
        <v>1963</v>
      </c>
      <c r="E2390" s="3" t="s">
        <v>27</v>
      </c>
      <c r="F2390" s="3" t="s">
        <v>39</v>
      </c>
      <c r="G2390" s="3" t="s">
        <v>40</v>
      </c>
      <c r="H2390" s="3" t="s">
        <v>2043</v>
      </c>
      <c r="I2390" s="6">
        <v>311.98</v>
      </c>
      <c r="J2390" s="4">
        <v>3</v>
      </c>
      <c r="K2390" s="6">
        <v>39</v>
      </c>
    </row>
    <row r="2391" spans="1:11" x14ac:dyDescent="0.3">
      <c r="A2391" s="7">
        <v>42120</v>
      </c>
      <c r="B2391" s="4">
        <f>YEAR(SalesData[[#This Row],[Order Date]])</f>
        <v>2015</v>
      </c>
      <c r="C2391" s="4">
        <f>MONTH(SalesData[[#This Row],[Order Date]])</f>
        <v>4</v>
      </c>
      <c r="D2391" s="3" t="s">
        <v>1963</v>
      </c>
      <c r="E2391" s="3" t="s">
        <v>27</v>
      </c>
      <c r="F2391" s="3" t="s">
        <v>11</v>
      </c>
      <c r="G2391" s="3" t="s">
        <v>20</v>
      </c>
      <c r="H2391" s="3" t="s">
        <v>1029</v>
      </c>
      <c r="I2391" s="6">
        <v>50.35</v>
      </c>
      <c r="J2391" s="4">
        <v>3</v>
      </c>
      <c r="K2391" s="6">
        <v>17.62</v>
      </c>
    </row>
    <row r="2392" spans="1:11" x14ac:dyDescent="0.3">
      <c r="A2392" s="7">
        <v>42120</v>
      </c>
      <c r="B2392" s="4">
        <f>YEAR(SalesData[[#This Row],[Order Date]])</f>
        <v>2015</v>
      </c>
      <c r="C2392" s="4">
        <f>MONTH(SalesData[[#This Row],[Order Date]])</f>
        <v>4</v>
      </c>
      <c r="D2392" s="3" t="s">
        <v>218</v>
      </c>
      <c r="E2392" s="3" t="s">
        <v>123</v>
      </c>
      <c r="F2392" s="3" t="s">
        <v>34</v>
      </c>
      <c r="G2392" s="3" t="s">
        <v>145</v>
      </c>
      <c r="H2392" s="3" t="s">
        <v>1703</v>
      </c>
      <c r="I2392" s="6">
        <v>191.52</v>
      </c>
      <c r="J2392" s="4">
        <v>1</v>
      </c>
      <c r="K2392" s="6">
        <v>-76.61</v>
      </c>
    </row>
    <row r="2393" spans="1:11" x14ac:dyDescent="0.3">
      <c r="A2393" s="7">
        <v>42120</v>
      </c>
      <c r="B2393" s="4">
        <f>YEAR(SalesData[[#This Row],[Order Date]])</f>
        <v>2015</v>
      </c>
      <c r="C2393" s="4">
        <f>MONTH(SalesData[[#This Row],[Order Date]])</f>
        <v>4</v>
      </c>
      <c r="D2393" s="3" t="s">
        <v>218</v>
      </c>
      <c r="E2393" s="3" t="s">
        <v>123</v>
      </c>
      <c r="F2393" s="3" t="s">
        <v>11</v>
      </c>
      <c r="G2393" s="3" t="s">
        <v>24</v>
      </c>
      <c r="H2393" s="3" t="s">
        <v>459</v>
      </c>
      <c r="I2393" s="6">
        <v>2.62</v>
      </c>
      <c r="J2393" s="4">
        <v>1</v>
      </c>
      <c r="K2393" s="6">
        <v>0.43</v>
      </c>
    </row>
    <row r="2394" spans="1:11" x14ac:dyDescent="0.3">
      <c r="A2394" s="7">
        <v>42121</v>
      </c>
      <c r="B2394" s="4">
        <f>YEAR(SalesData[[#This Row],[Order Date]])</f>
        <v>2015</v>
      </c>
      <c r="C2394" s="4">
        <f>MONTH(SalesData[[#This Row],[Order Date]])</f>
        <v>4</v>
      </c>
      <c r="D2394" s="3" t="s">
        <v>709</v>
      </c>
      <c r="E2394" s="3" t="s">
        <v>2044</v>
      </c>
      <c r="F2394" s="3" t="s">
        <v>11</v>
      </c>
      <c r="G2394" s="3" t="s">
        <v>24</v>
      </c>
      <c r="H2394" s="3" t="s">
        <v>207</v>
      </c>
      <c r="I2394" s="6">
        <v>22.74</v>
      </c>
      <c r="J2394" s="4">
        <v>3</v>
      </c>
      <c r="K2394" s="6">
        <v>8.8699999999999992</v>
      </c>
    </row>
    <row r="2395" spans="1:11" x14ac:dyDescent="0.3">
      <c r="A2395" s="7">
        <v>42121</v>
      </c>
      <c r="B2395" s="4">
        <f>YEAR(SalesData[[#This Row],[Order Date]])</f>
        <v>2015</v>
      </c>
      <c r="C2395" s="4">
        <f>MONTH(SalesData[[#This Row],[Order Date]])</f>
        <v>4</v>
      </c>
      <c r="D2395" s="3" t="s">
        <v>709</v>
      </c>
      <c r="E2395" s="3" t="s">
        <v>2044</v>
      </c>
      <c r="F2395" s="3" t="s">
        <v>34</v>
      </c>
      <c r="G2395" s="3" t="s">
        <v>35</v>
      </c>
      <c r="H2395" s="3" t="s">
        <v>2045</v>
      </c>
      <c r="I2395" s="6">
        <v>1267.53</v>
      </c>
      <c r="J2395" s="4">
        <v>3</v>
      </c>
      <c r="K2395" s="6">
        <v>316.88</v>
      </c>
    </row>
    <row r="2396" spans="1:11" x14ac:dyDescent="0.3">
      <c r="A2396" s="7">
        <v>42121</v>
      </c>
      <c r="B2396" s="4">
        <f>YEAR(SalesData[[#This Row],[Order Date]])</f>
        <v>2015</v>
      </c>
      <c r="C2396" s="4">
        <f>MONTH(SalesData[[#This Row],[Order Date]])</f>
        <v>4</v>
      </c>
      <c r="D2396" s="3" t="s">
        <v>709</v>
      </c>
      <c r="E2396" s="3" t="s">
        <v>2044</v>
      </c>
      <c r="F2396" s="3" t="s">
        <v>39</v>
      </c>
      <c r="G2396" s="3" t="s">
        <v>302</v>
      </c>
      <c r="H2396" s="3" t="s">
        <v>2046</v>
      </c>
      <c r="I2396" s="6">
        <v>1379.92</v>
      </c>
      <c r="J2396" s="4">
        <v>8</v>
      </c>
      <c r="K2396" s="6">
        <v>648.55999999999995</v>
      </c>
    </row>
    <row r="2397" spans="1:11" x14ac:dyDescent="0.3">
      <c r="A2397" s="7">
        <v>42121</v>
      </c>
      <c r="B2397" s="4">
        <f>YEAR(SalesData[[#This Row],[Order Date]])</f>
        <v>2015</v>
      </c>
      <c r="C2397" s="4">
        <f>MONTH(SalesData[[#This Row],[Order Date]])</f>
        <v>4</v>
      </c>
      <c r="D2397" s="3" t="s">
        <v>1676</v>
      </c>
      <c r="E2397" s="3" t="s">
        <v>278</v>
      </c>
      <c r="F2397" s="3" t="s">
        <v>11</v>
      </c>
      <c r="G2397" s="3" t="s">
        <v>92</v>
      </c>
      <c r="H2397" s="3" t="s">
        <v>333</v>
      </c>
      <c r="I2397" s="6">
        <v>43.56</v>
      </c>
      <c r="J2397" s="4">
        <v>5</v>
      </c>
      <c r="K2397" s="6">
        <v>3.27</v>
      </c>
    </row>
    <row r="2398" spans="1:11" x14ac:dyDescent="0.3">
      <c r="A2398" s="7">
        <v>42121</v>
      </c>
      <c r="B2398" s="4">
        <f>YEAR(SalesData[[#This Row],[Order Date]])</f>
        <v>2015</v>
      </c>
      <c r="C2398" s="4">
        <f>MONTH(SalesData[[#This Row],[Order Date]])</f>
        <v>4</v>
      </c>
      <c r="D2398" s="3" t="s">
        <v>1676</v>
      </c>
      <c r="E2398" s="3" t="s">
        <v>278</v>
      </c>
      <c r="F2398" s="3" t="s">
        <v>11</v>
      </c>
      <c r="G2398" s="3" t="s">
        <v>200</v>
      </c>
      <c r="H2398" s="3" t="s">
        <v>1292</v>
      </c>
      <c r="I2398" s="6">
        <v>5.84</v>
      </c>
      <c r="J2398" s="4">
        <v>2</v>
      </c>
      <c r="K2398" s="6">
        <v>0.73</v>
      </c>
    </row>
    <row r="2399" spans="1:11" x14ac:dyDescent="0.3">
      <c r="A2399" s="7">
        <v>42122</v>
      </c>
      <c r="B2399" s="4">
        <f>YEAR(SalesData[[#This Row],[Order Date]])</f>
        <v>2015</v>
      </c>
      <c r="C2399" s="4">
        <f>MONTH(SalesData[[#This Row],[Order Date]])</f>
        <v>4</v>
      </c>
      <c r="D2399" s="3" t="s">
        <v>889</v>
      </c>
      <c r="E2399" s="3" t="s">
        <v>10</v>
      </c>
      <c r="F2399" s="3" t="s">
        <v>11</v>
      </c>
      <c r="G2399" s="3" t="s">
        <v>92</v>
      </c>
      <c r="H2399" s="3" t="s">
        <v>617</v>
      </c>
      <c r="I2399" s="6">
        <v>8.65</v>
      </c>
      <c r="J2399" s="4">
        <v>3</v>
      </c>
      <c r="K2399" s="6">
        <v>-20.329999999999998</v>
      </c>
    </row>
    <row r="2400" spans="1:11" x14ac:dyDescent="0.3">
      <c r="A2400" s="7">
        <v>42122</v>
      </c>
      <c r="B2400" s="4">
        <f>YEAR(SalesData[[#This Row],[Order Date]])</f>
        <v>2015</v>
      </c>
      <c r="C2400" s="4">
        <f>MONTH(SalesData[[#This Row],[Order Date]])</f>
        <v>4</v>
      </c>
      <c r="D2400" s="3" t="s">
        <v>889</v>
      </c>
      <c r="E2400" s="3" t="s">
        <v>10</v>
      </c>
      <c r="F2400" s="3" t="s">
        <v>11</v>
      </c>
      <c r="G2400" s="3" t="s">
        <v>18</v>
      </c>
      <c r="H2400" s="3" t="s">
        <v>1229</v>
      </c>
      <c r="I2400" s="6">
        <v>23.83</v>
      </c>
      <c r="J2400" s="4">
        <v>3</v>
      </c>
      <c r="K2400" s="6">
        <v>2.68</v>
      </c>
    </row>
    <row r="2401" spans="1:11" x14ac:dyDescent="0.3">
      <c r="A2401" s="7">
        <v>42122</v>
      </c>
      <c r="B2401" s="4">
        <f>YEAR(SalesData[[#This Row],[Order Date]])</f>
        <v>2015</v>
      </c>
      <c r="C2401" s="4">
        <f>MONTH(SalesData[[#This Row],[Order Date]])</f>
        <v>4</v>
      </c>
      <c r="D2401" s="3" t="s">
        <v>889</v>
      </c>
      <c r="E2401" s="3" t="s">
        <v>10</v>
      </c>
      <c r="F2401" s="3" t="s">
        <v>11</v>
      </c>
      <c r="G2401" s="3" t="s">
        <v>20</v>
      </c>
      <c r="H2401" s="3" t="s">
        <v>330</v>
      </c>
      <c r="I2401" s="6">
        <v>12.18</v>
      </c>
      <c r="J2401" s="4">
        <v>4</v>
      </c>
      <c r="K2401" s="6">
        <v>-18.87</v>
      </c>
    </row>
    <row r="2402" spans="1:11" x14ac:dyDescent="0.3">
      <c r="A2402" s="7">
        <v>42122</v>
      </c>
      <c r="B2402" s="4">
        <f>YEAR(SalesData[[#This Row],[Order Date]])</f>
        <v>2015</v>
      </c>
      <c r="C2402" s="4">
        <f>MONTH(SalesData[[#This Row],[Order Date]])</f>
        <v>4</v>
      </c>
      <c r="D2402" s="3" t="s">
        <v>131</v>
      </c>
      <c r="E2402" s="3" t="s">
        <v>110</v>
      </c>
      <c r="F2402" s="3" t="s">
        <v>11</v>
      </c>
      <c r="G2402" s="3" t="s">
        <v>92</v>
      </c>
      <c r="H2402" s="3" t="s">
        <v>2047</v>
      </c>
      <c r="I2402" s="6">
        <v>186.73</v>
      </c>
      <c r="J2402" s="4">
        <v>1</v>
      </c>
      <c r="K2402" s="6">
        <v>41.5</v>
      </c>
    </row>
    <row r="2403" spans="1:11" x14ac:dyDescent="0.3">
      <c r="A2403" s="7">
        <v>42122</v>
      </c>
      <c r="B2403" s="4">
        <f>YEAR(SalesData[[#This Row],[Order Date]])</f>
        <v>2015</v>
      </c>
      <c r="C2403" s="4">
        <f>MONTH(SalesData[[#This Row],[Order Date]])</f>
        <v>4</v>
      </c>
      <c r="D2403" s="3" t="s">
        <v>131</v>
      </c>
      <c r="E2403" s="3" t="s">
        <v>110</v>
      </c>
      <c r="F2403" s="3" t="s">
        <v>11</v>
      </c>
      <c r="G2403" s="3" t="s">
        <v>20</v>
      </c>
      <c r="H2403" s="3" t="s">
        <v>1606</v>
      </c>
      <c r="I2403" s="6">
        <v>3812.97</v>
      </c>
      <c r="J2403" s="4">
        <v>3</v>
      </c>
      <c r="K2403" s="6">
        <v>1906.49</v>
      </c>
    </row>
    <row r="2404" spans="1:11" x14ac:dyDescent="0.3">
      <c r="A2404" s="7">
        <v>42123</v>
      </c>
      <c r="B2404" s="4">
        <f>YEAR(SalesData[[#This Row],[Order Date]])</f>
        <v>2015</v>
      </c>
      <c r="C2404" s="4">
        <f>MONTH(SalesData[[#This Row],[Order Date]])</f>
        <v>4</v>
      </c>
      <c r="D2404" s="3" t="s">
        <v>1332</v>
      </c>
      <c r="E2404" s="3" t="s">
        <v>23</v>
      </c>
      <c r="F2404" s="3" t="s">
        <v>11</v>
      </c>
      <c r="G2404" s="3" t="s">
        <v>12</v>
      </c>
      <c r="H2404" s="3" t="s">
        <v>679</v>
      </c>
      <c r="I2404" s="6">
        <v>7.97</v>
      </c>
      <c r="J2404" s="4">
        <v>2</v>
      </c>
      <c r="K2404" s="6">
        <v>2.89</v>
      </c>
    </row>
    <row r="2405" spans="1:11" x14ac:dyDescent="0.3">
      <c r="A2405" s="7">
        <v>42124</v>
      </c>
      <c r="B2405" s="4">
        <f>YEAR(SalesData[[#This Row],[Order Date]])</f>
        <v>2015</v>
      </c>
      <c r="C2405" s="4">
        <f>MONTH(SalesData[[#This Row],[Order Date]])</f>
        <v>4</v>
      </c>
      <c r="D2405" s="3" t="s">
        <v>533</v>
      </c>
      <c r="E2405" s="3" t="s">
        <v>15</v>
      </c>
      <c r="F2405" s="3" t="s">
        <v>34</v>
      </c>
      <c r="G2405" s="3" t="s">
        <v>35</v>
      </c>
      <c r="H2405" s="3" t="s">
        <v>187</v>
      </c>
      <c r="I2405" s="6">
        <v>213.12</v>
      </c>
      <c r="J2405" s="4">
        <v>5</v>
      </c>
      <c r="K2405" s="6">
        <v>-15.22</v>
      </c>
    </row>
    <row r="2406" spans="1:11" x14ac:dyDescent="0.3">
      <c r="A2406" s="7">
        <v>42124</v>
      </c>
      <c r="B2406" s="4">
        <f>YEAR(SalesData[[#This Row],[Order Date]])</f>
        <v>2015</v>
      </c>
      <c r="C2406" s="4">
        <f>MONTH(SalesData[[#This Row],[Order Date]])</f>
        <v>4</v>
      </c>
      <c r="D2406" s="3" t="s">
        <v>552</v>
      </c>
      <c r="E2406" s="3" t="s">
        <v>78</v>
      </c>
      <c r="F2406" s="3" t="s">
        <v>39</v>
      </c>
      <c r="G2406" s="3" t="s">
        <v>40</v>
      </c>
      <c r="H2406" s="3" t="s">
        <v>1100</v>
      </c>
      <c r="I2406" s="6">
        <v>1022.97</v>
      </c>
      <c r="J2406" s="4">
        <v>5</v>
      </c>
      <c r="K2406" s="6">
        <v>-255.74</v>
      </c>
    </row>
    <row r="2407" spans="1:11" x14ac:dyDescent="0.3">
      <c r="A2407" s="7">
        <v>42124</v>
      </c>
      <c r="B2407" s="4">
        <f>YEAR(SalesData[[#This Row],[Order Date]])</f>
        <v>2015</v>
      </c>
      <c r="C2407" s="4">
        <f>MONTH(SalesData[[#This Row],[Order Date]])</f>
        <v>4</v>
      </c>
      <c r="D2407" s="3" t="s">
        <v>452</v>
      </c>
      <c r="E2407" s="3" t="s">
        <v>27</v>
      </c>
      <c r="F2407" s="3" t="s">
        <v>11</v>
      </c>
      <c r="G2407" s="3" t="s">
        <v>24</v>
      </c>
      <c r="H2407" s="3" t="s">
        <v>1006</v>
      </c>
      <c r="I2407" s="6">
        <v>34.65</v>
      </c>
      <c r="J2407" s="4">
        <v>3</v>
      </c>
      <c r="K2407" s="6">
        <v>9.6999999999999993</v>
      </c>
    </row>
    <row r="2408" spans="1:11" x14ac:dyDescent="0.3">
      <c r="A2408" s="7">
        <v>42124</v>
      </c>
      <c r="B2408" s="4">
        <f>YEAR(SalesData[[#This Row],[Order Date]])</f>
        <v>2015</v>
      </c>
      <c r="C2408" s="4">
        <f>MONTH(SalesData[[#This Row],[Order Date]])</f>
        <v>4</v>
      </c>
      <c r="D2408" s="3" t="s">
        <v>452</v>
      </c>
      <c r="E2408" s="3" t="s">
        <v>27</v>
      </c>
      <c r="F2408" s="3" t="s">
        <v>39</v>
      </c>
      <c r="G2408" s="3" t="s">
        <v>40</v>
      </c>
      <c r="H2408" s="3" t="s">
        <v>1999</v>
      </c>
      <c r="I2408" s="6">
        <v>19.8</v>
      </c>
      <c r="J2408" s="4">
        <v>5</v>
      </c>
      <c r="K2408" s="6">
        <v>1.73</v>
      </c>
    </row>
    <row r="2409" spans="1:11" x14ac:dyDescent="0.3">
      <c r="A2409" s="7">
        <v>42124</v>
      </c>
      <c r="B2409" s="4">
        <f>YEAR(SalesData[[#This Row],[Order Date]])</f>
        <v>2015</v>
      </c>
      <c r="C2409" s="4">
        <f>MONTH(SalesData[[#This Row],[Order Date]])</f>
        <v>4</v>
      </c>
      <c r="D2409" s="3" t="s">
        <v>2048</v>
      </c>
      <c r="E2409" s="3" t="s">
        <v>434</v>
      </c>
      <c r="F2409" s="3" t="s">
        <v>34</v>
      </c>
      <c r="G2409" s="3" t="s">
        <v>47</v>
      </c>
      <c r="H2409" s="3" t="s">
        <v>1694</v>
      </c>
      <c r="I2409" s="6">
        <v>31.4</v>
      </c>
      <c r="J2409" s="4">
        <v>5</v>
      </c>
      <c r="K2409" s="6">
        <v>13.19</v>
      </c>
    </row>
    <row r="2410" spans="1:11" x14ac:dyDescent="0.3">
      <c r="A2410" s="7">
        <v>42124</v>
      </c>
      <c r="B2410" s="4">
        <f>YEAR(SalesData[[#This Row],[Order Date]])</f>
        <v>2015</v>
      </c>
      <c r="C2410" s="4">
        <f>MONTH(SalesData[[#This Row],[Order Date]])</f>
        <v>4</v>
      </c>
      <c r="D2410" s="3" t="s">
        <v>2048</v>
      </c>
      <c r="E2410" s="3" t="s">
        <v>434</v>
      </c>
      <c r="F2410" s="3" t="s">
        <v>34</v>
      </c>
      <c r="G2410" s="3" t="s">
        <v>47</v>
      </c>
      <c r="H2410" s="3" t="s">
        <v>2049</v>
      </c>
      <c r="I2410" s="6">
        <v>9.48</v>
      </c>
      <c r="J2410" s="4">
        <v>1</v>
      </c>
      <c r="K2410" s="6">
        <v>3.79</v>
      </c>
    </row>
    <row r="2411" spans="1:11" x14ac:dyDescent="0.3">
      <c r="A2411" s="7">
        <v>42124</v>
      </c>
      <c r="B2411" s="4">
        <f>YEAR(SalesData[[#This Row],[Order Date]])</f>
        <v>2015</v>
      </c>
      <c r="C2411" s="4">
        <f>MONTH(SalesData[[#This Row],[Order Date]])</f>
        <v>4</v>
      </c>
      <c r="D2411" s="3" t="s">
        <v>2048</v>
      </c>
      <c r="E2411" s="3" t="s">
        <v>434</v>
      </c>
      <c r="F2411" s="3" t="s">
        <v>39</v>
      </c>
      <c r="G2411" s="3" t="s">
        <v>40</v>
      </c>
      <c r="H2411" s="3" t="s">
        <v>2050</v>
      </c>
      <c r="I2411" s="6">
        <v>209.5</v>
      </c>
      <c r="J2411" s="4">
        <v>10</v>
      </c>
      <c r="K2411" s="6">
        <v>58.66</v>
      </c>
    </row>
    <row r="2412" spans="1:11" x14ac:dyDescent="0.3">
      <c r="A2412" s="7">
        <v>42124</v>
      </c>
      <c r="B2412" s="4">
        <f>YEAR(SalesData[[#This Row],[Order Date]])</f>
        <v>2015</v>
      </c>
      <c r="C2412" s="4">
        <f>MONTH(SalesData[[#This Row],[Order Date]])</f>
        <v>4</v>
      </c>
      <c r="D2412" s="3" t="s">
        <v>2048</v>
      </c>
      <c r="E2412" s="3" t="s">
        <v>434</v>
      </c>
      <c r="F2412" s="3" t="s">
        <v>34</v>
      </c>
      <c r="G2412" s="3" t="s">
        <v>47</v>
      </c>
      <c r="H2412" s="3" t="s">
        <v>2051</v>
      </c>
      <c r="I2412" s="6">
        <v>24.3</v>
      </c>
      <c r="J2412" s="4">
        <v>5</v>
      </c>
      <c r="K2412" s="6">
        <v>10.45</v>
      </c>
    </row>
    <row r="2413" spans="1:11" x14ac:dyDescent="0.3">
      <c r="A2413" s="7">
        <v>42124</v>
      </c>
      <c r="B2413" s="4">
        <f>YEAR(SalesData[[#This Row],[Order Date]])</f>
        <v>2015</v>
      </c>
      <c r="C2413" s="4">
        <f>MONTH(SalesData[[#This Row],[Order Date]])</f>
        <v>4</v>
      </c>
      <c r="D2413" s="3" t="s">
        <v>2048</v>
      </c>
      <c r="E2413" s="3" t="s">
        <v>434</v>
      </c>
      <c r="F2413" s="3" t="s">
        <v>11</v>
      </c>
      <c r="G2413" s="3" t="s">
        <v>12</v>
      </c>
      <c r="H2413" s="3" t="s">
        <v>640</v>
      </c>
      <c r="I2413" s="6">
        <v>6.48</v>
      </c>
      <c r="J2413" s="4">
        <v>1</v>
      </c>
      <c r="K2413" s="6">
        <v>3.11</v>
      </c>
    </row>
    <row r="2414" spans="1:11" x14ac:dyDescent="0.3">
      <c r="A2414" s="7">
        <v>42125</v>
      </c>
      <c r="B2414" s="4">
        <f>YEAR(SalesData[[#This Row],[Order Date]])</f>
        <v>2015</v>
      </c>
      <c r="C2414" s="4">
        <f>MONTH(SalesData[[#This Row],[Order Date]])</f>
        <v>5</v>
      </c>
      <c r="D2414" s="3" t="s">
        <v>1295</v>
      </c>
      <c r="E2414" s="3" t="s">
        <v>27</v>
      </c>
      <c r="F2414" s="3" t="s">
        <v>39</v>
      </c>
      <c r="G2414" s="3" t="s">
        <v>40</v>
      </c>
      <c r="H2414" s="3" t="s">
        <v>2052</v>
      </c>
      <c r="I2414" s="6">
        <v>88.75</v>
      </c>
      <c r="J2414" s="4">
        <v>3</v>
      </c>
      <c r="K2414" s="6">
        <v>11.09</v>
      </c>
    </row>
    <row r="2415" spans="1:11" x14ac:dyDescent="0.3">
      <c r="A2415" s="7">
        <v>42125</v>
      </c>
      <c r="B2415" s="4">
        <f>YEAR(SalesData[[#This Row],[Order Date]])</f>
        <v>2015</v>
      </c>
      <c r="C2415" s="4">
        <f>MONTH(SalesData[[#This Row],[Order Date]])</f>
        <v>5</v>
      </c>
      <c r="D2415" s="3" t="s">
        <v>2053</v>
      </c>
      <c r="E2415" s="3" t="s">
        <v>123</v>
      </c>
      <c r="F2415" s="3" t="s">
        <v>34</v>
      </c>
      <c r="G2415" s="3" t="s">
        <v>47</v>
      </c>
      <c r="H2415" s="3" t="s">
        <v>86</v>
      </c>
      <c r="I2415" s="6">
        <v>63.55</v>
      </c>
      <c r="J2415" s="4">
        <v>3</v>
      </c>
      <c r="K2415" s="6">
        <v>14.3</v>
      </c>
    </row>
    <row r="2416" spans="1:11" x14ac:dyDescent="0.3">
      <c r="A2416" s="7">
        <v>42125</v>
      </c>
      <c r="B2416" s="4">
        <f>YEAR(SalesData[[#This Row],[Order Date]])</f>
        <v>2015</v>
      </c>
      <c r="C2416" s="4">
        <f>MONTH(SalesData[[#This Row],[Order Date]])</f>
        <v>5</v>
      </c>
      <c r="D2416" s="3" t="s">
        <v>2053</v>
      </c>
      <c r="E2416" s="3" t="s">
        <v>123</v>
      </c>
      <c r="F2416" s="3" t="s">
        <v>11</v>
      </c>
      <c r="G2416" s="3" t="s">
        <v>200</v>
      </c>
      <c r="H2416" s="3" t="s">
        <v>2054</v>
      </c>
      <c r="I2416" s="6">
        <v>41.38</v>
      </c>
      <c r="J2416" s="4">
        <v>3</v>
      </c>
      <c r="K2416" s="6">
        <v>4.6500000000000004</v>
      </c>
    </row>
    <row r="2417" spans="1:11" x14ac:dyDescent="0.3">
      <c r="A2417" s="7">
        <v>42125</v>
      </c>
      <c r="B2417" s="4">
        <f>YEAR(SalesData[[#This Row],[Order Date]])</f>
        <v>2015</v>
      </c>
      <c r="C2417" s="4">
        <f>MONTH(SalesData[[#This Row],[Order Date]])</f>
        <v>5</v>
      </c>
      <c r="D2417" s="3" t="s">
        <v>2053</v>
      </c>
      <c r="E2417" s="3" t="s">
        <v>123</v>
      </c>
      <c r="F2417" s="3" t="s">
        <v>11</v>
      </c>
      <c r="G2417" s="3" t="s">
        <v>24</v>
      </c>
      <c r="H2417" s="3" t="s">
        <v>2055</v>
      </c>
      <c r="I2417" s="6">
        <v>172.7</v>
      </c>
      <c r="J2417" s="4">
        <v>6</v>
      </c>
      <c r="K2417" s="6">
        <v>10.79</v>
      </c>
    </row>
    <row r="2418" spans="1:11" x14ac:dyDescent="0.3">
      <c r="A2418" s="7">
        <v>42125</v>
      </c>
      <c r="B2418" s="4">
        <f>YEAR(SalesData[[#This Row],[Order Date]])</f>
        <v>2015</v>
      </c>
      <c r="C2418" s="4">
        <f>MONTH(SalesData[[#This Row],[Order Date]])</f>
        <v>5</v>
      </c>
      <c r="D2418" s="3" t="s">
        <v>1546</v>
      </c>
      <c r="E2418" s="3" t="s">
        <v>27</v>
      </c>
      <c r="F2418" s="3" t="s">
        <v>11</v>
      </c>
      <c r="G2418" s="3" t="s">
        <v>20</v>
      </c>
      <c r="H2418" s="3" t="s">
        <v>330</v>
      </c>
      <c r="I2418" s="6">
        <v>12.18</v>
      </c>
      <c r="J2418" s="4">
        <v>1</v>
      </c>
      <c r="K2418" s="6">
        <v>4.41</v>
      </c>
    </row>
    <row r="2419" spans="1:11" x14ac:dyDescent="0.3">
      <c r="A2419" s="7">
        <v>42125</v>
      </c>
      <c r="B2419" s="4">
        <f>YEAR(SalesData[[#This Row],[Order Date]])</f>
        <v>2015</v>
      </c>
      <c r="C2419" s="4">
        <f>MONTH(SalesData[[#This Row],[Order Date]])</f>
        <v>5</v>
      </c>
      <c r="D2419" s="3" t="s">
        <v>1546</v>
      </c>
      <c r="E2419" s="3" t="s">
        <v>27</v>
      </c>
      <c r="F2419" s="3" t="s">
        <v>11</v>
      </c>
      <c r="G2419" s="3" t="s">
        <v>18</v>
      </c>
      <c r="H2419" s="3" t="s">
        <v>516</v>
      </c>
      <c r="I2419" s="6">
        <v>37.32</v>
      </c>
      <c r="J2419" s="4">
        <v>3</v>
      </c>
      <c r="K2419" s="6">
        <v>10.45</v>
      </c>
    </row>
    <row r="2420" spans="1:11" x14ac:dyDescent="0.3">
      <c r="A2420" s="7">
        <v>42125</v>
      </c>
      <c r="B2420" s="4">
        <f>YEAR(SalesData[[#This Row],[Order Date]])</f>
        <v>2015</v>
      </c>
      <c r="C2420" s="4">
        <f>MONTH(SalesData[[#This Row],[Order Date]])</f>
        <v>5</v>
      </c>
      <c r="D2420" s="3" t="s">
        <v>1546</v>
      </c>
      <c r="E2420" s="3" t="s">
        <v>27</v>
      </c>
      <c r="F2420" s="3" t="s">
        <v>11</v>
      </c>
      <c r="G2420" s="3" t="s">
        <v>200</v>
      </c>
      <c r="H2420" s="3" t="s">
        <v>2056</v>
      </c>
      <c r="I2420" s="6">
        <v>35.06</v>
      </c>
      <c r="J2420" s="4">
        <v>2</v>
      </c>
      <c r="K2420" s="6">
        <v>10.52</v>
      </c>
    </row>
    <row r="2421" spans="1:11" x14ac:dyDescent="0.3">
      <c r="A2421" s="7">
        <v>42126</v>
      </c>
      <c r="B2421" s="4">
        <f>YEAR(SalesData[[#This Row],[Order Date]])</f>
        <v>2015</v>
      </c>
      <c r="C2421" s="4">
        <f>MONTH(SalesData[[#This Row],[Order Date]])</f>
        <v>5</v>
      </c>
      <c r="D2421" s="3" t="s">
        <v>1519</v>
      </c>
      <c r="E2421" s="3" t="s">
        <v>10</v>
      </c>
      <c r="F2421" s="3" t="s">
        <v>11</v>
      </c>
      <c r="G2421" s="3" t="s">
        <v>16</v>
      </c>
      <c r="H2421" s="3" t="s">
        <v>348</v>
      </c>
      <c r="I2421" s="6">
        <v>8.86</v>
      </c>
      <c r="J2421" s="4">
        <v>3</v>
      </c>
      <c r="K2421" s="6">
        <v>2.99</v>
      </c>
    </row>
    <row r="2422" spans="1:11" x14ac:dyDescent="0.3">
      <c r="A2422" s="7">
        <v>42126</v>
      </c>
      <c r="B2422" s="4">
        <f>YEAR(SalesData[[#This Row],[Order Date]])</f>
        <v>2015</v>
      </c>
      <c r="C2422" s="4">
        <f>MONTH(SalesData[[#This Row],[Order Date]])</f>
        <v>5</v>
      </c>
      <c r="D2422" s="3" t="s">
        <v>1519</v>
      </c>
      <c r="E2422" s="3" t="s">
        <v>10</v>
      </c>
      <c r="F2422" s="3" t="s">
        <v>39</v>
      </c>
      <c r="G2422" s="3" t="s">
        <v>40</v>
      </c>
      <c r="H2422" s="3" t="s">
        <v>1551</v>
      </c>
      <c r="I2422" s="6">
        <v>158.38</v>
      </c>
      <c r="J2422" s="4">
        <v>3</v>
      </c>
      <c r="K2422" s="6">
        <v>13.86</v>
      </c>
    </row>
    <row r="2423" spans="1:11" x14ac:dyDescent="0.3">
      <c r="A2423" s="7">
        <v>42127</v>
      </c>
      <c r="B2423" s="4">
        <f>YEAR(SalesData[[#This Row],[Order Date]])</f>
        <v>2015</v>
      </c>
      <c r="C2423" s="4">
        <f>MONTH(SalesData[[#This Row],[Order Date]])</f>
        <v>5</v>
      </c>
      <c r="D2423" s="3" t="s">
        <v>2057</v>
      </c>
      <c r="E2423" s="3" t="s">
        <v>27</v>
      </c>
      <c r="F2423" s="3" t="s">
        <v>34</v>
      </c>
      <c r="G2423" s="3" t="s">
        <v>47</v>
      </c>
      <c r="H2423" s="3" t="s">
        <v>190</v>
      </c>
      <c r="I2423" s="6">
        <v>665.88</v>
      </c>
      <c r="J2423" s="4">
        <v>6</v>
      </c>
      <c r="K2423" s="6">
        <v>106.54</v>
      </c>
    </row>
    <row r="2424" spans="1:11" x14ac:dyDescent="0.3">
      <c r="A2424" s="7">
        <v>42127</v>
      </c>
      <c r="B2424" s="4">
        <f>YEAR(SalesData[[#This Row],[Order Date]])</f>
        <v>2015</v>
      </c>
      <c r="C2424" s="4">
        <f>MONTH(SalesData[[#This Row],[Order Date]])</f>
        <v>5</v>
      </c>
      <c r="D2424" s="3" t="s">
        <v>523</v>
      </c>
      <c r="E2424" s="3" t="s">
        <v>23</v>
      </c>
      <c r="F2424" s="3" t="s">
        <v>11</v>
      </c>
      <c r="G2424" s="3" t="s">
        <v>24</v>
      </c>
      <c r="H2424" s="3" t="s">
        <v>2058</v>
      </c>
      <c r="I2424" s="6">
        <v>59.9</v>
      </c>
      <c r="J2424" s="4">
        <v>2</v>
      </c>
      <c r="K2424" s="6">
        <v>14.23</v>
      </c>
    </row>
    <row r="2425" spans="1:11" x14ac:dyDescent="0.3">
      <c r="A2425" s="7">
        <v>42127</v>
      </c>
      <c r="B2425" s="4">
        <f>YEAR(SalesData[[#This Row],[Order Date]])</f>
        <v>2015</v>
      </c>
      <c r="C2425" s="4">
        <f>MONTH(SalesData[[#This Row],[Order Date]])</f>
        <v>5</v>
      </c>
      <c r="D2425" s="3" t="s">
        <v>523</v>
      </c>
      <c r="E2425" s="3" t="s">
        <v>23</v>
      </c>
      <c r="F2425" s="3" t="s">
        <v>11</v>
      </c>
      <c r="G2425" s="3" t="s">
        <v>92</v>
      </c>
      <c r="H2425" s="3" t="s">
        <v>2059</v>
      </c>
      <c r="I2425" s="6">
        <v>23.7</v>
      </c>
      <c r="J2425" s="4">
        <v>2</v>
      </c>
      <c r="K2425" s="6">
        <v>6.52</v>
      </c>
    </row>
    <row r="2426" spans="1:11" x14ac:dyDescent="0.3">
      <c r="A2426" s="7">
        <v>42127</v>
      </c>
      <c r="B2426" s="4">
        <f>YEAR(SalesData[[#This Row],[Order Date]])</f>
        <v>2015</v>
      </c>
      <c r="C2426" s="4">
        <f>MONTH(SalesData[[#This Row],[Order Date]])</f>
        <v>5</v>
      </c>
      <c r="D2426" s="3" t="s">
        <v>523</v>
      </c>
      <c r="E2426" s="3" t="s">
        <v>23</v>
      </c>
      <c r="F2426" s="3" t="s">
        <v>11</v>
      </c>
      <c r="G2426" s="3" t="s">
        <v>12</v>
      </c>
      <c r="H2426" s="3" t="s">
        <v>981</v>
      </c>
      <c r="I2426" s="6">
        <v>7.97</v>
      </c>
      <c r="J2426" s="4">
        <v>2</v>
      </c>
      <c r="K2426" s="6">
        <v>2.89</v>
      </c>
    </row>
    <row r="2427" spans="1:11" x14ac:dyDescent="0.3">
      <c r="A2427" s="7">
        <v>42127</v>
      </c>
      <c r="B2427" s="4">
        <f>YEAR(SalesData[[#This Row],[Order Date]])</f>
        <v>2015</v>
      </c>
      <c r="C2427" s="4">
        <f>MONTH(SalesData[[#This Row],[Order Date]])</f>
        <v>5</v>
      </c>
      <c r="D2427" s="3" t="s">
        <v>523</v>
      </c>
      <c r="E2427" s="3" t="s">
        <v>23</v>
      </c>
      <c r="F2427" s="3" t="s">
        <v>11</v>
      </c>
      <c r="G2427" s="3" t="s">
        <v>92</v>
      </c>
      <c r="H2427" s="3" t="s">
        <v>1050</v>
      </c>
      <c r="I2427" s="6">
        <v>18.2</v>
      </c>
      <c r="J2427" s="4">
        <v>7</v>
      </c>
      <c r="K2427" s="6">
        <v>2.0499999999999998</v>
      </c>
    </row>
    <row r="2428" spans="1:11" x14ac:dyDescent="0.3">
      <c r="A2428" s="7">
        <v>42127</v>
      </c>
      <c r="B2428" s="4">
        <f>YEAR(SalesData[[#This Row],[Order Date]])</f>
        <v>2015</v>
      </c>
      <c r="C2428" s="4">
        <f>MONTH(SalesData[[#This Row],[Order Date]])</f>
        <v>5</v>
      </c>
      <c r="D2428" s="3" t="s">
        <v>523</v>
      </c>
      <c r="E2428" s="3" t="s">
        <v>23</v>
      </c>
      <c r="F2428" s="3" t="s">
        <v>39</v>
      </c>
      <c r="G2428" s="3" t="s">
        <v>52</v>
      </c>
      <c r="H2428" s="3" t="s">
        <v>1284</v>
      </c>
      <c r="I2428" s="6">
        <v>27.55</v>
      </c>
      <c r="J2428" s="4">
        <v>3</v>
      </c>
      <c r="K2428" s="6">
        <v>-0.34</v>
      </c>
    </row>
    <row r="2429" spans="1:11" x14ac:dyDescent="0.3">
      <c r="A2429" s="7">
        <v>42127</v>
      </c>
      <c r="B2429" s="4">
        <f>YEAR(SalesData[[#This Row],[Order Date]])</f>
        <v>2015</v>
      </c>
      <c r="C2429" s="4">
        <f>MONTH(SalesData[[#This Row],[Order Date]])</f>
        <v>5</v>
      </c>
      <c r="D2429" s="3" t="s">
        <v>523</v>
      </c>
      <c r="E2429" s="3" t="s">
        <v>23</v>
      </c>
      <c r="F2429" s="3" t="s">
        <v>34</v>
      </c>
      <c r="G2429" s="3" t="s">
        <v>35</v>
      </c>
      <c r="H2429" s="3" t="s">
        <v>430</v>
      </c>
      <c r="I2429" s="6">
        <v>844.12</v>
      </c>
      <c r="J2429" s="4">
        <v>6</v>
      </c>
      <c r="K2429" s="6">
        <v>-36.18</v>
      </c>
    </row>
    <row r="2430" spans="1:11" x14ac:dyDescent="0.3">
      <c r="A2430" s="7">
        <v>42127</v>
      </c>
      <c r="B2430" s="4">
        <f>YEAR(SalesData[[#This Row],[Order Date]])</f>
        <v>2015</v>
      </c>
      <c r="C2430" s="4">
        <f>MONTH(SalesData[[#This Row],[Order Date]])</f>
        <v>5</v>
      </c>
      <c r="D2430" s="3" t="s">
        <v>523</v>
      </c>
      <c r="E2430" s="3" t="s">
        <v>23</v>
      </c>
      <c r="F2430" s="3" t="s">
        <v>11</v>
      </c>
      <c r="G2430" s="3" t="s">
        <v>18</v>
      </c>
      <c r="H2430" s="3" t="s">
        <v>909</v>
      </c>
      <c r="I2430" s="6">
        <v>76.75</v>
      </c>
      <c r="J2430" s="4">
        <v>3</v>
      </c>
      <c r="K2430" s="6">
        <v>-9.59</v>
      </c>
    </row>
    <row r="2431" spans="1:11" x14ac:dyDescent="0.3">
      <c r="A2431" s="7">
        <v>42127</v>
      </c>
      <c r="B2431" s="4">
        <f>YEAR(SalesData[[#This Row],[Order Date]])</f>
        <v>2015</v>
      </c>
      <c r="C2431" s="4">
        <f>MONTH(SalesData[[#This Row],[Order Date]])</f>
        <v>5</v>
      </c>
      <c r="D2431" s="3" t="s">
        <v>2060</v>
      </c>
      <c r="E2431" s="3" t="s">
        <v>27</v>
      </c>
      <c r="F2431" s="3" t="s">
        <v>11</v>
      </c>
      <c r="G2431" s="3" t="s">
        <v>24</v>
      </c>
      <c r="H2431" s="3" t="s">
        <v>706</v>
      </c>
      <c r="I2431" s="6">
        <v>8.82</v>
      </c>
      <c r="J2431" s="4">
        <v>3</v>
      </c>
      <c r="K2431" s="6">
        <v>2.56</v>
      </c>
    </row>
    <row r="2432" spans="1:11" x14ac:dyDescent="0.3">
      <c r="A2432" s="7">
        <v>42127</v>
      </c>
      <c r="B2432" s="4">
        <f>YEAR(SalesData[[#This Row],[Order Date]])</f>
        <v>2015</v>
      </c>
      <c r="C2432" s="4">
        <f>MONTH(SalesData[[#This Row],[Order Date]])</f>
        <v>5</v>
      </c>
      <c r="D2432" s="3" t="s">
        <v>2060</v>
      </c>
      <c r="E2432" s="3" t="s">
        <v>27</v>
      </c>
      <c r="F2432" s="3" t="s">
        <v>11</v>
      </c>
      <c r="G2432" s="3" t="s">
        <v>20</v>
      </c>
      <c r="H2432" s="3" t="s">
        <v>2061</v>
      </c>
      <c r="I2432" s="6">
        <v>62.5</v>
      </c>
      <c r="J2432" s="4">
        <v>2</v>
      </c>
      <c r="K2432" s="6">
        <v>21.87</v>
      </c>
    </row>
    <row r="2433" spans="1:11" x14ac:dyDescent="0.3">
      <c r="A2433" s="7">
        <v>42127</v>
      </c>
      <c r="B2433" s="4">
        <f>YEAR(SalesData[[#This Row],[Order Date]])</f>
        <v>2015</v>
      </c>
      <c r="C2433" s="4">
        <f>MONTH(SalesData[[#This Row],[Order Date]])</f>
        <v>5</v>
      </c>
      <c r="D2433" s="3" t="s">
        <v>2060</v>
      </c>
      <c r="E2433" s="3" t="s">
        <v>27</v>
      </c>
      <c r="F2433" s="3" t="s">
        <v>39</v>
      </c>
      <c r="G2433" s="3" t="s">
        <v>52</v>
      </c>
      <c r="H2433" s="3" t="s">
        <v>1134</v>
      </c>
      <c r="I2433" s="6">
        <v>339.96</v>
      </c>
      <c r="J2433" s="4">
        <v>4</v>
      </c>
      <c r="K2433" s="6">
        <v>122.39</v>
      </c>
    </row>
    <row r="2434" spans="1:11" x14ac:dyDescent="0.3">
      <c r="A2434" s="7">
        <v>42127</v>
      </c>
      <c r="B2434" s="4">
        <f>YEAR(SalesData[[#This Row],[Order Date]])</f>
        <v>2015</v>
      </c>
      <c r="C2434" s="4">
        <f>MONTH(SalesData[[#This Row],[Order Date]])</f>
        <v>5</v>
      </c>
      <c r="D2434" s="3" t="s">
        <v>2060</v>
      </c>
      <c r="E2434" s="3" t="s">
        <v>27</v>
      </c>
      <c r="F2434" s="3" t="s">
        <v>11</v>
      </c>
      <c r="G2434" s="3" t="s">
        <v>20</v>
      </c>
      <c r="H2434" s="3" t="s">
        <v>88</v>
      </c>
      <c r="I2434" s="6">
        <v>49.57</v>
      </c>
      <c r="J2434" s="4">
        <v>2</v>
      </c>
      <c r="K2434" s="6">
        <v>17.350000000000001</v>
      </c>
    </row>
    <row r="2435" spans="1:11" x14ac:dyDescent="0.3">
      <c r="A2435" s="7">
        <v>42127</v>
      </c>
      <c r="B2435" s="4">
        <f>YEAR(SalesData[[#This Row],[Order Date]])</f>
        <v>2015</v>
      </c>
      <c r="C2435" s="4">
        <f>MONTH(SalesData[[#This Row],[Order Date]])</f>
        <v>5</v>
      </c>
      <c r="D2435" s="3" t="s">
        <v>545</v>
      </c>
      <c r="E2435" s="3" t="s">
        <v>27</v>
      </c>
      <c r="F2435" s="3" t="s">
        <v>11</v>
      </c>
      <c r="G2435" s="3" t="s">
        <v>20</v>
      </c>
      <c r="H2435" s="3" t="s">
        <v>1370</v>
      </c>
      <c r="I2435" s="6">
        <v>13.85</v>
      </c>
      <c r="J2435" s="4">
        <v>3</v>
      </c>
      <c r="K2435" s="6">
        <v>5.19</v>
      </c>
    </row>
    <row r="2436" spans="1:11" x14ac:dyDescent="0.3">
      <c r="A2436" s="7">
        <v>42128</v>
      </c>
      <c r="B2436" s="4">
        <f>YEAR(SalesData[[#This Row],[Order Date]])</f>
        <v>2015</v>
      </c>
      <c r="C2436" s="4">
        <f>MONTH(SalesData[[#This Row],[Order Date]])</f>
        <v>5</v>
      </c>
      <c r="D2436" s="3" t="s">
        <v>1478</v>
      </c>
      <c r="E2436" s="3" t="s">
        <v>149</v>
      </c>
      <c r="F2436" s="3" t="s">
        <v>34</v>
      </c>
      <c r="G2436" s="3" t="s">
        <v>47</v>
      </c>
      <c r="H2436" s="3" t="s">
        <v>2062</v>
      </c>
      <c r="I2436" s="6">
        <v>26.8</v>
      </c>
      <c r="J2436" s="4">
        <v>2</v>
      </c>
      <c r="K2436" s="6">
        <v>12.86</v>
      </c>
    </row>
    <row r="2437" spans="1:11" x14ac:dyDescent="0.3">
      <c r="A2437" s="7">
        <v>42128</v>
      </c>
      <c r="B2437" s="4">
        <f>YEAR(SalesData[[#This Row],[Order Date]])</f>
        <v>2015</v>
      </c>
      <c r="C2437" s="4">
        <f>MONTH(SalesData[[#This Row],[Order Date]])</f>
        <v>5</v>
      </c>
      <c r="D2437" s="3" t="s">
        <v>593</v>
      </c>
      <c r="E2437" s="3" t="s">
        <v>15</v>
      </c>
      <c r="F2437" s="3" t="s">
        <v>34</v>
      </c>
      <c r="G2437" s="3" t="s">
        <v>47</v>
      </c>
      <c r="H2437" s="3" t="s">
        <v>1015</v>
      </c>
      <c r="I2437" s="6">
        <v>22.29</v>
      </c>
      <c r="J2437" s="4">
        <v>7</v>
      </c>
      <c r="K2437" s="6">
        <v>-8.92</v>
      </c>
    </row>
    <row r="2438" spans="1:11" x14ac:dyDescent="0.3">
      <c r="A2438" s="7">
        <v>42128</v>
      </c>
      <c r="B2438" s="4">
        <f>YEAR(SalesData[[#This Row],[Order Date]])</f>
        <v>2015</v>
      </c>
      <c r="C2438" s="4">
        <f>MONTH(SalesData[[#This Row],[Order Date]])</f>
        <v>5</v>
      </c>
      <c r="D2438" s="3" t="s">
        <v>443</v>
      </c>
      <c r="E2438" s="3" t="s">
        <v>10</v>
      </c>
      <c r="F2438" s="3" t="s">
        <v>39</v>
      </c>
      <c r="G2438" s="3" t="s">
        <v>40</v>
      </c>
      <c r="H2438" s="3" t="s">
        <v>2063</v>
      </c>
      <c r="I2438" s="6">
        <v>946.34</v>
      </c>
      <c r="J2438" s="4">
        <v>7</v>
      </c>
      <c r="K2438" s="6">
        <v>118.29</v>
      </c>
    </row>
    <row r="2439" spans="1:11" x14ac:dyDescent="0.3">
      <c r="A2439" s="7">
        <v>42128</v>
      </c>
      <c r="B2439" s="4">
        <f>YEAR(SalesData[[#This Row],[Order Date]])</f>
        <v>2015</v>
      </c>
      <c r="C2439" s="4">
        <f>MONTH(SalesData[[#This Row],[Order Date]])</f>
        <v>5</v>
      </c>
      <c r="D2439" s="3" t="s">
        <v>2064</v>
      </c>
      <c r="E2439" s="3" t="s">
        <v>129</v>
      </c>
      <c r="F2439" s="3" t="s">
        <v>11</v>
      </c>
      <c r="G2439" s="3" t="s">
        <v>24</v>
      </c>
      <c r="H2439" s="3" t="s">
        <v>629</v>
      </c>
      <c r="I2439" s="6">
        <v>125.93</v>
      </c>
      <c r="J2439" s="4">
        <v>7</v>
      </c>
      <c r="K2439" s="6">
        <v>35.26</v>
      </c>
    </row>
    <row r="2440" spans="1:11" x14ac:dyDescent="0.3">
      <c r="A2440" s="7">
        <v>42131</v>
      </c>
      <c r="B2440" s="4">
        <f>YEAR(SalesData[[#This Row],[Order Date]])</f>
        <v>2015</v>
      </c>
      <c r="C2440" s="4">
        <f>MONTH(SalesData[[#This Row],[Order Date]])</f>
        <v>5</v>
      </c>
      <c r="D2440" s="3" t="s">
        <v>2065</v>
      </c>
      <c r="E2440" s="3" t="s">
        <v>10</v>
      </c>
      <c r="F2440" s="3" t="s">
        <v>34</v>
      </c>
      <c r="G2440" s="3" t="s">
        <v>145</v>
      </c>
      <c r="H2440" s="3" t="s">
        <v>2066</v>
      </c>
      <c r="I2440" s="6">
        <v>244.01</v>
      </c>
      <c r="J2440" s="4">
        <v>2</v>
      </c>
      <c r="K2440" s="6">
        <v>-31.37</v>
      </c>
    </row>
    <row r="2441" spans="1:11" x14ac:dyDescent="0.3">
      <c r="A2441" s="7">
        <v>42131</v>
      </c>
      <c r="B2441" s="4">
        <f>YEAR(SalesData[[#This Row],[Order Date]])</f>
        <v>2015</v>
      </c>
      <c r="C2441" s="4">
        <f>MONTH(SalesData[[#This Row],[Order Date]])</f>
        <v>5</v>
      </c>
      <c r="D2441" s="3" t="s">
        <v>2065</v>
      </c>
      <c r="E2441" s="3" t="s">
        <v>10</v>
      </c>
      <c r="F2441" s="3" t="s">
        <v>11</v>
      </c>
      <c r="G2441" s="3" t="s">
        <v>12</v>
      </c>
      <c r="H2441" s="3" t="s">
        <v>288</v>
      </c>
      <c r="I2441" s="6">
        <v>15.94</v>
      </c>
      <c r="J2441" s="4">
        <v>4</v>
      </c>
      <c r="K2441" s="6">
        <v>5.38</v>
      </c>
    </row>
    <row r="2442" spans="1:11" x14ac:dyDescent="0.3">
      <c r="A2442" s="7">
        <v>42131</v>
      </c>
      <c r="B2442" s="4">
        <f>YEAR(SalesData[[#This Row],[Order Date]])</f>
        <v>2015</v>
      </c>
      <c r="C2442" s="4">
        <f>MONTH(SalesData[[#This Row],[Order Date]])</f>
        <v>5</v>
      </c>
      <c r="D2442" s="3" t="s">
        <v>1271</v>
      </c>
      <c r="E2442" s="3" t="s">
        <v>33</v>
      </c>
      <c r="F2442" s="3" t="s">
        <v>11</v>
      </c>
      <c r="G2442" s="3" t="s">
        <v>12</v>
      </c>
      <c r="H2442" s="3" t="s">
        <v>821</v>
      </c>
      <c r="I2442" s="6">
        <v>45.68</v>
      </c>
      <c r="J2442" s="4">
        <v>2</v>
      </c>
      <c r="K2442" s="6">
        <v>21.01</v>
      </c>
    </row>
    <row r="2443" spans="1:11" x14ac:dyDescent="0.3">
      <c r="A2443" s="7">
        <v>42132</v>
      </c>
      <c r="B2443" s="4">
        <f>YEAR(SalesData[[#This Row],[Order Date]])</f>
        <v>2015</v>
      </c>
      <c r="C2443" s="4">
        <f>MONTH(SalesData[[#This Row],[Order Date]])</f>
        <v>5</v>
      </c>
      <c r="D2443" s="3" t="s">
        <v>1883</v>
      </c>
      <c r="E2443" s="3" t="s">
        <v>78</v>
      </c>
      <c r="F2443" s="3" t="s">
        <v>34</v>
      </c>
      <c r="G2443" s="3" t="s">
        <v>47</v>
      </c>
      <c r="H2443" s="3" t="s">
        <v>616</v>
      </c>
      <c r="I2443" s="6">
        <v>8.35</v>
      </c>
      <c r="J2443" s="4">
        <v>6</v>
      </c>
      <c r="K2443" s="6">
        <v>1.25</v>
      </c>
    </row>
    <row r="2444" spans="1:11" x14ac:dyDescent="0.3">
      <c r="A2444" s="7">
        <v>42132</v>
      </c>
      <c r="B2444" s="4">
        <f>YEAR(SalesData[[#This Row],[Order Date]])</f>
        <v>2015</v>
      </c>
      <c r="C2444" s="4">
        <f>MONTH(SalesData[[#This Row],[Order Date]])</f>
        <v>5</v>
      </c>
      <c r="D2444" s="3" t="s">
        <v>554</v>
      </c>
      <c r="E2444" s="3" t="s">
        <v>91</v>
      </c>
      <c r="F2444" s="3" t="s">
        <v>11</v>
      </c>
      <c r="G2444" s="3" t="s">
        <v>24</v>
      </c>
      <c r="H2444" s="3" t="s">
        <v>460</v>
      </c>
      <c r="I2444" s="6">
        <v>5.25</v>
      </c>
      <c r="J2444" s="4">
        <v>2</v>
      </c>
      <c r="K2444" s="6">
        <v>0.59</v>
      </c>
    </row>
    <row r="2445" spans="1:11" x14ac:dyDescent="0.3">
      <c r="A2445" s="7">
        <v>42132</v>
      </c>
      <c r="B2445" s="4">
        <f>YEAR(SalesData[[#This Row],[Order Date]])</f>
        <v>2015</v>
      </c>
      <c r="C2445" s="4">
        <f>MONTH(SalesData[[#This Row],[Order Date]])</f>
        <v>5</v>
      </c>
      <c r="D2445" s="3" t="s">
        <v>1267</v>
      </c>
      <c r="E2445" s="3" t="s">
        <v>315</v>
      </c>
      <c r="F2445" s="3" t="s">
        <v>11</v>
      </c>
      <c r="G2445" s="3" t="s">
        <v>20</v>
      </c>
      <c r="H2445" s="3" t="s">
        <v>627</v>
      </c>
      <c r="I2445" s="6">
        <v>43.98</v>
      </c>
      <c r="J2445" s="4">
        <v>2</v>
      </c>
      <c r="K2445" s="6">
        <v>21.99</v>
      </c>
    </row>
    <row r="2446" spans="1:11" x14ac:dyDescent="0.3">
      <c r="A2446" s="7">
        <v>42132</v>
      </c>
      <c r="B2446" s="4">
        <f>YEAR(SalesData[[#This Row],[Order Date]])</f>
        <v>2015</v>
      </c>
      <c r="C2446" s="4">
        <f>MONTH(SalesData[[#This Row],[Order Date]])</f>
        <v>5</v>
      </c>
      <c r="D2446" s="3" t="s">
        <v>1267</v>
      </c>
      <c r="E2446" s="3" t="s">
        <v>315</v>
      </c>
      <c r="F2446" s="3" t="s">
        <v>39</v>
      </c>
      <c r="G2446" s="3" t="s">
        <v>40</v>
      </c>
      <c r="H2446" s="3" t="s">
        <v>720</v>
      </c>
      <c r="I2446" s="6">
        <v>377.97</v>
      </c>
      <c r="J2446" s="4">
        <v>3</v>
      </c>
      <c r="K2446" s="6">
        <v>105.83</v>
      </c>
    </row>
    <row r="2447" spans="1:11" x14ac:dyDescent="0.3">
      <c r="A2447" s="7">
        <v>42132</v>
      </c>
      <c r="B2447" s="4">
        <f>YEAR(SalesData[[#This Row],[Order Date]])</f>
        <v>2015</v>
      </c>
      <c r="C2447" s="4">
        <f>MONTH(SalesData[[#This Row],[Order Date]])</f>
        <v>5</v>
      </c>
      <c r="D2447" s="3" t="s">
        <v>1267</v>
      </c>
      <c r="E2447" s="3" t="s">
        <v>315</v>
      </c>
      <c r="F2447" s="3" t="s">
        <v>34</v>
      </c>
      <c r="G2447" s="3" t="s">
        <v>47</v>
      </c>
      <c r="H2447" s="3" t="s">
        <v>654</v>
      </c>
      <c r="I2447" s="6">
        <v>123.96</v>
      </c>
      <c r="J2447" s="4">
        <v>3</v>
      </c>
      <c r="K2447" s="6">
        <v>11.16</v>
      </c>
    </row>
    <row r="2448" spans="1:11" x14ac:dyDescent="0.3">
      <c r="A2448" s="7">
        <v>42132</v>
      </c>
      <c r="B2448" s="4">
        <f>YEAR(SalesData[[#This Row],[Order Date]])</f>
        <v>2015</v>
      </c>
      <c r="C2448" s="4">
        <f>MONTH(SalesData[[#This Row],[Order Date]])</f>
        <v>5</v>
      </c>
      <c r="D2448" s="3" t="s">
        <v>1003</v>
      </c>
      <c r="E2448" s="3" t="s">
        <v>149</v>
      </c>
      <c r="F2448" s="3" t="s">
        <v>11</v>
      </c>
      <c r="G2448" s="3" t="s">
        <v>12</v>
      </c>
      <c r="H2448" s="3" t="s">
        <v>1583</v>
      </c>
      <c r="I2448" s="6">
        <v>37.94</v>
      </c>
      <c r="J2448" s="4">
        <v>2</v>
      </c>
      <c r="K2448" s="6">
        <v>18.21</v>
      </c>
    </row>
    <row r="2449" spans="1:11" x14ac:dyDescent="0.3">
      <c r="A2449" s="7">
        <v>42132</v>
      </c>
      <c r="B2449" s="4">
        <f>YEAR(SalesData[[#This Row],[Order Date]])</f>
        <v>2015</v>
      </c>
      <c r="C2449" s="4">
        <f>MONTH(SalesData[[#This Row],[Order Date]])</f>
        <v>5</v>
      </c>
      <c r="D2449" s="3" t="s">
        <v>848</v>
      </c>
      <c r="E2449" s="3" t="s">
        <v>149</v>
      </c>
      <c r="F2449" s="3" t="s">
        <v>34</v>
      </c>
      <c r="G2449" s="3" t="s">
        <v>47</v>
      </c>
      <c r="H2449" s="3" t="s">
        <v>86</v>
      </c>
      <c r="I2449" s="6">
        <v>79.44</v>
      </c>
      <c r="J2449" s="4">
        <v>3</v>
      </c>
      <c r="K2449" s="6">
        <v>30.19</v>
      </c>
    </row>
    <row r="2450" spans="1:11" x14ac:dyDescent="0.3">
      <c r="A2450" s="7">
        <v>42132</v>
      </c>
      <c r="B2450" s="4">
        <f>YEAR(SalesData[[#This Row],[Order Date]])</f>
        <v>2015</v>
      </c>
      <c r="C2450" s="4">
        <f>MONTH(SalesData[[#This Row],[Order Date]])</f>
        <v>5</v>
      </c>
      <c r="D2450" s="3" t="s">
        <v>848</v>
      </c>
      <c r="E2450" s="3" t="s">
        <v>149</v>
      </c>
      <c r="F2450" s="3" t="s">
        <v>11</v>
      </c>
      <c r="G2450" s="3" t="s">
        <v>200</v>
      </c>
      <c r="H2450" s="3" t="s">
        <v>201</v>
      </c>
      <c r="I2450" s="6">
        <v>357.93</v>
      </c>
      <c r="J2450" s="4">
        <v>3</v>
      </c>
      <c r="K2450" s="6">
        <v>7.16</v>
      </c>
    </row>
    <row r="2451" spans="1:11" x14ac:dyDescent="0.3">
      <c r="A2451" s="7">
        <v>42132</v>
      </c>
      <c r="B2451" s="4">
        <f>YEAR(SalesData[[#This Row],[Order Date]])</f>
        <v>2015</v>
      </c>
      <c r="C2451" s="4">
        <f>MONTH(SalesData[[#This Row],[Order Date]])</f>
        <v>5</v>
      </c>
      <c r="D2451" s="3" t="s">
        <v>848</v>
      </c>
      <c r="E2451" s="3" t="s">
        <v>149</v>
      </c>
      <c r="F2451" s="3" t="s">
        <v>34</v>
      </c>
      <c r="G2451" s="3" t="s">
        <v>35</v>
      </c>
      <c r="H2451" s="3" t="s">
        <v>793</v>
      </c>
      <c r="I2451" s="6">
        <v>127.76</v>
      </c>
      <c r="J2451" s="4">
        <v>2</v>
      </c>
      <c r="K2451" s="6">
        <v>21.29</v>
      </c>
    </row>
    <row r="2452" spans="1:11" x14ac:dyDescent="0.3">
      <c r="A2452" s="7">
        <v>42132</v>
      </c>
      <c r="B2452" s="4">
        <f>YEAR(SalesData[[#This Row],[Order Date]])</f>
        <v>2015</v>
      </c>
      <c r="C2452" s="4">
        <f>MONTH(SalesData[[#This Row],[Order Date]])</f>
        <v>5</v>
      </c>
      <c r="D2452" s="3" t="s">
        <v>848</v>
      </c>
      <c r="E2452" s="3" t="s">
        <v>149</v>
      </c>
      <c r="F2452" s="3" t="s">
        <v>39</v>
      </c>
      <c r="G2452" s="3" t="s">
        <v>603</v>
      </c>
      <c r="H2452" s="3" t="s">
        <v>1081</v>
      </c>
      <c r="I2452" s="6">
        <v>2799.94</v>
      </c>
      <c r="J2452" s="4">
        <v>7</v>
      </c>
      <c r="K2452" s="6">
        <v>1014.98</v>
      </c>
    </row>
    <row r="2453" spans="1:11" x14ac:dyDescent="0.3">
      <c r="A2453" s="7">
        <v>42132</v>
      </c>
      <c r="B2453" s="4">
        <f>YEAR(SalesData[[#This Row],[Order Date]])</f>
        <v>2015</v>
      </c>
      <c r="C2453" s="4">
        <f>MONTH(SalesData[[#This Row],[Order Date]])</f>
        <v>5</v>
      </c>
      <c r="D2453" s="3" t="s">
        <v>848</v>
      </c>
      <c r="E2453" s="3" t="s">
        <v>149</v>
      </c>
      <c r="F2453" s="3" t="s">
        <v>11</v>
      </c>
      <c r="G2453" s="3" t="s">
        <v>12</v>
      </c>
      <c r="H2453" s="3" t="s">
        <v>216</v>
      </c>
      <c r="I2453" s="6">
        <v>19.440000000000001</v>
      </c>
      <c r="J2453" s="4">
        <v>3</v>
      </c>
      <c r="K2453" s="6">
        <v>9.33</v>
      </c>
    </row>
    <row r="2454" spans="1:11" x14ac:dyDescent="0.3">
      <c r="A2454" s="7">
        <v>42133</v>
      </c>
      <c r="B2454" s="4">
        <f>YEAR(SalesData[[#This Row],[Order Date]])</f>
        <v>2015</v>
      </c>
      <c r="C2454" s="4">
        <f>MONTH(SalesData[[#This Row],[Order Date]])</f>
        <v>5</v>
      </c>
      <c r="D2454" s="3" t="s">
        <v>945</v>
      </c>
      <c r="E2454" s="3" t="s">
        <v>33</v>
      </c>
      <c r="F2454" s="3" t="s">
        <v>11</v>
      </c>
      <c r="G2454" s="3" t="s">
        <v>20</v>
      </c>
      <c r="H2454" s="3" t="s">
        <v>1567</v>
      </c>
      <c r="I2454" s="6">
        <v>48.81</v>
      </c>
      <c r="J2454" s="4">
        <v>3</v>
      </c>
      <c r="K2454" s="6">
        <v>23.92</v>
      </c>
    </row>
    <row r="2455" spans="1:11" x14ac:dyDescent="0.3">
      <c r="A2455" s="7">
        <v>42134</v>
      </c>
      <c r="B2455" s="4">
        <f>YEAR(SalesData[[#This Row],[Order Date]])</f>
        <v>2015</v>
      </c>
      <c r="C2455" s="4">
        <f>MONTH(SalesData[[#This Row],[Order Date]])</f>
        <v>5</v>
      </c>
      <c r="D2455" s="3" t="s">
        <v>910</v>
      </c>
      <c r="E2455" s="3" t="s">
        <v>15</v>
      </c>
      <c r="F2455" s="3" t="s">
        <v>11</v>
      </c>
      <c r="G2455" s="3" t="s">
        <v>92</v>
      </c>
      <c r="H2455" s="3" t="s">
        <v>2067</v>
      </c>
      <c r="I2455" s="6">
        <v>70.97</v>
      </c>
      <c r="J2455" s="4">
        <v>5</v>
      </c>
      <c r="K2455" s="6">
        <v>-191.62</v>
      </c>
    </row>
    <row r="2456" spans="1:11" x14ac:dyDescent="0.3">
      <c r="A2456" s="7">
        <v>42134</v>
      </c>
      <c r="B2456" s="4">
        <f>YEAR(SalesData[[#This Row],[Order Date]])</f>
        <v>2015</v>
      </c>
      <c r="C2456" s="4">
        <f>MONTH(SalesData[[#This Row],[Order Date]])</f>
        <v>5</v>
      </c>
      <c r="D2456" s="3" t="s">
        <v>910</v>
      </c>
      <c r="E2456" s="3" t="s">
        <v>15</v>
      </c>
      <c r="F2456" s="3" t="s">
        <v>11</v>
      </c>
      <c r="G2456" s="3" t="s">
        <v>24</v>
      </c>
      <c r="H2456" s="3" t="s">
        <v>1069</v>
      </c>
      <c r="I2456" s="6">
        <v>36.78</v>
      </c>
      <c r="J2456" s="4">
        <v>2</v>
      </c>
      <c r="K2456" s="6">
        <v>3.68</v>
      </c>
    </row>
    <row r="2457" spans="1:11" x14ac:dyDescent="0.3">
      <c r="A2457" s="7">
        <v>42134</v>
      </c>
      <c r="B2457" s="4">
        <f>YEAR(SalesData[[#This Row],[Order Date]])</f>
        <v>2015</v>
      </c>
      <c r="C2457" s="4">
        <f>MONTH(SalesData[[#This Row],[Order Date]])</f>
        <v>5</v>
      </c>
      <c r="D2457" s="3" t="s">
        <v>1633</v>
      </c>
      <c r="E2457" s="3" t="s">
        <v>278</v>
      </c>
      <c r="F2457" s="3" t="s">
        <v>39</v>
      </c>
      <c r="G2457" s="3" t="s">
        <v>52</v>
      </c>
      <c r="H2457" s="3" t="s">
        <v>1227</v>
      </c>
      <c r="I2457" s="6">
        <v>46.69</v>
      </c>
      <c r="J2457" s="4">
        <v>4</v>
      </c>
      <c r="K2457" s="6">
        <v>-2.92</v>
      </c>
    </row>
    <row r="2458" spans="1:11" x14ac:dyDescent="0.3">
      <c r="A2458" s="7">
        <v>42135</v>
      </c>
      <c r="B2458" s="4">
        <f>YEAR(SalesData[[#This Row],[Order Date]])</f>
        <v>2015</v>
      </c>
      <c r="C2458" s="4">
        <f>MONTH(SalesData[[#This Row],[Order Date]])</f>
        <v>5</v>
      </c>
      <c r="D2458" s="3" t="s">
        <v>533</v>
      </c>
      <c r="E2458" s="3" t="s">
        <v>95</v>
      </c>
      <c r="F2458" s="3" t="s">
        <v>34</v>
      </c>
      <c r="G2458" s="3" t="s">
        <v>35</v>
      </c>
      <c r="H2458" s="3" t="s">
        <v>2068</v>
      </c>
      <c r="I2458" s="6">
        <v>191.97</v>
      </c>
      <c r="J2458" s="4">
        <v>7</v>
      </c>
      <c r="K2458" s="6">
        <v>16.8</v>
      </c>
    </row>
    <row r="2459" spans="1:11" x14ac:dyDescent="0.3">
      <c r="A2459" s="7">
        <v>42136</v>
      </c>
      <c r="B2459" s="4">
        <f>YEAR(SalesData[[#This Row],[Order Date]])</f>
        <v>2015</v>
      </c>
      <c r="C2459" s="4">
        <f>MONTH(SalesData[[#This Row],[Order Date]])</f>
        <v>5</v>
      </c>
      <c r="D2459" s="3" t="s">
        <v>392</v>
      </c>
      <c r="E2459" s="3" t="s">
        <v>27</v>
      </c>
      <c r="F2459" s="3" t="s">
        <v>11</v>
      </c>
      <c r="G2459" s="3" t="s">
        <v>12</v>
      </c>
      <c r="H2459" s="3" t="s">
        <v>2069</v>
      </c>
      <c r="I2459" s="6">
        <v>12.84</v>
      </c>
      <c r="J2459" s="4">
        <v>3</v>
      </c>
      <c r="K2459" s="6">
        <v>5.78</v>
      </c>
    </row>
    <row r="2460" spans="1:11" x14ac:dyDescent="0.3">
      <c r="A2460" s="7">
        <v>42136</v>
      </c>
      <c r="B2460" s="4">
        <f>YEAR(SalesData[[#This Row],[Order Date]])</f>
        <v>2015</v>
      </c>
      <c r="C2460" s="4">
        <f>MONTH(SalesData[[#This Row],[Order Date]])</f>
        <v>5</v>
      </c>
      <c r="D2460" s="3" t="s">
        <v>392</v>
      </c>
      <c r="E2460" s="3" t="s">
        <v>27</v>
      </c>
      <c r="F2460" s="3" t="s">
        <v>11</v>
      </c>
      <c r="G2460" s="3" t="s">
        <v>12</v>
      </c>
      <c r="H2460" s="3" t="s">
        <v>2070</v>
      </c>
      <c r="I2460" s="6">
        <v>25.68</v>
      </c>
      <c r="J2460" s="4">
        <v>6</v>
      </c>
      <c r="K2460" s="6">
        <v>11.56</v>
      </c>
    </row>
    <row r="2461" spans="1:11" x14ac:dyDescent="0.3">
      <c r="A2461" s="7">
        <v>42136</v>
      </c>
      <c r="B2461" s="4">
        <f>YEAR(SalesData[[#This Row],[Order Date]])</f>
        <v>2015</v>
      </c>
      <c r="C2461" s="4">
        <f>MONTH(SalesData[[#This Row],[Order Date]])</f>
        <v>5</v>
      </c>
      <c r="D2461" s="3" t="s">
        <v>1200</v>
      </c>
      <c r="E2461" s="3" t="s">
        <v>278</v>
      </c>
      <c r="F2461" s="3" t="s">
        <v>39</v>
      </c>
      <c r="G2461" s="3" t="s">
        <v>40</v>
      </c>
      <c r="H2461" s="3" t="s">
        <v>720</v>
      </c>
      <c r="I2461" s="6">
        <v>201.58</v>
      </c>
      <c r="J2461" s="4">
        <v>2</v>
      </c>
      <c r="K2461" s="6">
        <v>20.16</v>
      </c>
    </row>
    <row r="2462" spans="1:11" x14ac:dyDescent="0.3">
      <c r="A2462" s="7">
        <v>42136</v>
      </c>
      <c r="B2462" s="4">
        <f>YEAR(SalesData[[#This Row],[Order Date]])</f>
        <v>2015</v>
      </c>
      <c r="C2462" s="4">
        <f>MONTH(SalesData[[#This Row],[Order Date]])</f>
        <v>5</v>
      </c>
      <c r="D2462" s="3" t="s">
        <v>325</v>
      </c>
      <c r="E2462" s="3" t="s">
        <v>149</v>
      </c>
      <c r="F2462" s="3" t="s">
        <v>11</v>
      </c>
      <c r="G2462" s="3" t="s">
        <v>18</v>
      </c>
      <c r="H2462" s="3" t="s">
        <v>1171</v>
      </c>
      <c r="I2462" s="6">
        <v>36.630000000000003</v>
      </c>
      <c r="J2462" s="4">
        <v>3</v>
      </c>
      <c r="K2462" s="6">
        <v>9.89</v>
      </c>
    </row>
    <row r="2463" spans="1:11" x14ac:dyDescent="0.3">
      <c r="A2463" s="7">
        <v>42136</v>
      </c>
      <c r="B2463" s="4">
        <f>YEAR(SalesData[[#This Row],[Order Date]])</f>
        <v>2015</v>
      </c>
      <c r="C2463" s="4">
        <f>MONTH(SalesData[[#This Row],[Order Date]])</f>
        <v>5</v>
      </c>
      <c r="D2463" s="3" t="s">
        <v>2071</v>
      </c>
      <c r="E2463" s="3" t="s">
        <v>164</v>
      </c>
      <c r="F2463" s="3" t="s">
        <v>11</v>
      </c>
      <c r="G2463" s="3" t="s">
        <v>20</v>
      </c>
      <c r="H2463" s="3" t="s">
        <v>1202</v>
      </c>
      <c r="I2463" s="6">
        <v>14.59</v>
      </c>
      <c r="J2463" s="4">
        <v>3</v>
      </c>
      <c r="K2463" s="6">
        <v>4.92</v>
      </c>
    </row>
    <row r="2464" spans="1:11" x14ac:dyDescent="0.3">
      <c r="A2464" s="7">
        <v>42136</v>
      </c>
      <c r="B2464" s="4">
        <f>YEAR(SalesData[[#This Row],[Order Date]])</f>
        <v>2015</v>
      </c>
      <c r="C2464" s="4">
        <f>MONTH(SalesData[[#This Row],[Order Date]])</f>
        <v>5</v>
      </c>
      <c r="D2464" s="3" t="s">
        <v>742</v>
      </c>
      <c r="E2464" s="3" t="s">
        <v>10</v>
      </c>
      <c r="F2464" s="3" t="s">
        <v>34</v>
      </c>
      <c r="G2464" s="3" t="s">
        <v>47</v>
      </c>
      <c r="H2464" s="3" t="s">
        <v>1607</v>
      </c>
      <c r="I2464" s="6">
        <v>21.97</v>
      </c>
      <c r="J2464" s="4">
        <v>4</v>
      </c>
      <c r="K2464" s="6">
        <v>-15.93</v>
      </c>
    </row>
    <row r="2465" spans="1:11" x14ac:dyDescent="0.3">
      <c r="A2465" s="7">
        <v>42136</v>
      </c>
      <c r="B2465" s="4">
        <f>YEAR(SalesData[[#This Row],[Order Date]])</f>
        <v>2015</v>
      </c>
      <c r="C2465" s="4">
        <f>MONTH(SalesData[[#This Row],[Order Date]])</f>
        <v>5</v>
      </c>
      <c r="D2465" s="3" t="s">
        <v>742</v>
      </c>
      <c r="E2465" s="3" t="s">
        <v>10</v>
      </c>
      <c r="F2465" s="3" t="s">
        <v>39</v>
      </c>
      <c r="G2465" s="3" t="s">
        <v>40</v>
      </c>
      <c r="H2465" s="3" t="s">
        <v>1518</v>
      </c>
      <c r="I2465" s="6">
        <v>619.15</v>
      </c>
      <c r="J2465" s="4">
        <v>6</v>
      </c>
      <c r="K2465" s="6">
        <v>69.650000000000006</v>
      </c>
    </row>
    <row r="2466" spans="1:11" x14ac:dyDescent="0.3">
      <c r="A2466" s="7">
        <v>42136</v>
      </c>
      <c r="B2466" s="4">
        <f>YEAR(SalesData[[#This Row],[Order Date]])</f>
        <v>2015</v>
      </c>
      <c r="C2466" s="4">
        <f>MONTH(SalesData[[#This Row],[Order Date]])</f>
        <v>5</v>
      </c>
      <c r="D2466" s="3" t="s">
        <v>742</v>
      </c>
      <c r="E2466" s="3" t="s">
        <v>10</v>
      </c>
      <c r="F2466" s="3" t="s">
        <v>11</v>
      </c>
      <c r="G2466" s="3" t="s">
        <v>12</v>
      </c>
      <c r="H2466" s="3" t="s">
        <v>1765</v>
      </c>
      <c r="I2466" s="6">
        <v>127.9</v>
      </c>
      <c r="J2466" s="4">
        <v>7</v>
      </c>
      <c r="K2466" s="6">
        <v>41.57</v>
      </c>
    </row>
    <row r="2467" spans="1:11" x14ac:dyDescent="0.3">
      <c r="A2467" s="7">
        <v>42137</v>
      </c>
      <c r="B2467" s="4">
        <f>YEAR(SalesData[[#This Row],[Order Date]])</f>
        <v>2015</v>
      </c>
      <c r="C2467" s="4">
        <f>MONTH(SalesData[[#This Row],[Order Date]])</f>
        <v>5</v>
      </c>
      <c r="D2467" s="3" t="s">
        <v>530</v>
      </c>
      <c r="E2467" s="3" t="s">
        <v>15</v>
      </c>
      <c r="F2467" s="3" t="s">
        <v>39</v>
      </c>
      <c r="G2467" s="3" t="s">
        <v>40</v>
      </c>
      <c r="H2467" s="3" t="s">
        <v>1580</v>
      </c>
      <c r="I2467" s="6">
        <v>222.38</v>
      </c>
      <c r="J2467" s="4">
        <v>2</v>
      </c>
      <c r="K2467" s="6">
        <v>16.68</v>
      </c>
    </row>
    <row r="2468" spans="1:11" x14ac:dyDescent="0.3">
      <c r="A2468" s="7">
        <v>42137</v>
      </c>
      <c r="B2468" s="4">
        <f>YEAR(SalesData[[#This Row],[Order Date]])</f>
        <v>2015</v>
      </c>
      <c r="C2468" s="4">
        <f>MONTH(SalesData[[#This Row],[Order Date]])</f>
        <v>5</v>
      </c>
      <c r="D2468" s="3" t="s">
        <v>530</v>
      </c>
      <c r="E2468" s="3" t="s">
        <v>15</v>
      </c>
      <c r="F2468" s="3" t="s">
        <v>11</v>
      </c>
      <c r="G2468" s="3" t="s">
        <v>43</v>
      </c>
      <c r="H2468" s="3" t="s">
        <v>1247</v>
      </c>
      <c r="I2468" s="6">
        <v>16</v>
      </c>
      <c r="J2468" s="4">
        <v>4</v>
      </c>
      <c r="K2468" s="6">
        <v>5.6</v>
      </c>
    </row>
    <row r="2469" spans="1:11" x14ac:dyDescent="0.3">
      <c r="A2469" s="7">
        <v>42138</v>
      </c>
      <c r="B2469" s="4">
        <f>YEAR(SalesData[[#This Row],[Order Date]])</f>
        <v>2015</v>
      </c>
      <c r="C2469" s="4">
        <f>MONTH(SalesData[[#This Row],[Order Date]])</f>
        <v>5</v>
      </c>
      <c r="D2469" s="3" t="s">
        <v>1957</v>
      </c>
      <c r="E2469" s="3" t="s">
        <v>23</v>
      </c>
      <c r="F2469" s="3" t="s">
        <v>11</v>
      </c>
      <c r="G2469" s="3" t="s">
        <v>24</v>
      </c>
      <c r="H2469" s="3" t="s">
        <v>1852</v>
      </c>
      <c r="I2469" s="6">
        <v>198.27</v>
      </c>
      <c r="J2469" s="4">
        <v>8</v>
      </c>
      <c r="K2469" s="6">
        <v>17.350000000000001</v>
      </c>
    </row>
    <row r="2470" spans="1:11" x14ac:dyDescent="0.3">
      <c r="A2470" s="7">
        <v>42138</v>
      </c>
      <c r="B2470" s="4">
        <f>YEAR(SalesData[[#This Row],[Order Date]])</f>
        <v>2015</v>
      </c>
      <c r="C2470" s="4">
        <f>MONTH(SalesData[[#This Row],[Order Date]])</f>
        <v>5</v>
      </c>
      <c r="D2470" s="3" t="s">
        <v>1957</v>
      </c>
      <c r="E2470" s="3" t="s">
        <v>23</v>
      </c>
      <c r="F2470" s="3" t="s">
        <v>11</v>
      </c>
      <c r="G2470" s="3" t="s">
        <v>16</v>
      </c>
      <c r="H2470" s="3" t="s">
        <v>409</v>
      </c>
      <c r="I2470" s="6">
        <v>47.36</v>
      </c>
      <c r="J2470" s="4">
        <v>4</v>
      </c>
      <c r="K2470" s="6">
        <v>17.760000000000002</v>
      </c>
    </row>
    <row r="2471" spans="1:11" x14ac:dyDescent="0.3">
      <c r="A2471" s="7">
        <v>42138</v>
      </c>
      <c r="B2471" s="4">
        <f>YEAR(SalesData[[#This Row],[Order Date]])</f>
        <v>2015</v>
      </c>
      <c r="C2471" s="4">
        <f>MONTH(SalesData[[#This Row],[Order Date]])</f>
        <v>5</v>
      </c>
      <c r="D2471" s="3" t="s">
        <v>1957</v>
      </c>
      <c r="E2471" s="3" t="s">
        <v>23</v>
      </c>
      <c r="F2471" s="3" t="s">
        <v>11</v>
      </c>
      <c r="G2471" s="3" t="s">
        <v>63</v>
      </c>
      <c r="H2471" s="3" t="s">
        <v>2072</v>
      </c>
      <c r="I2471" s="6">
        <v>200.98</v>
      </c>
      <c r="J2471" s="4">
        <v>7</v>
      </c>
      <c r="K2471" s="6">
        <v>62.81</v>
      </c>
    </row>
    <row r="2472" spans="1:11" x14ac:dyDescent="0.3">
      <c r="A2472" s="7">
        <v>42138</v>
      </c>
      <c r="B2472" s="4">
        <f>YEAR(SalesData[[#This Row],[Order Date]])</f>
        <v>2015</v>
      </c>
      <c r="C2472" s="4">
        <f>MONTH(SalesData[[#This Row],[Order Date]])</f>
        <v>5</v>
      </c>
      <c r="D2472" s="3" t="s">
        <v>1957</v>
      </c>
      <c r="E2472" s="3" t="s">
        <v>23</v>
      </c>
      <c r="F2472" s="3" t="s">
        <v>11</v>
      </c>
      <c r="G2472" s="3" t="s">
        <v>16</v>
      </c>
      <c r="H2472" s="3" t="s">
        <v>1500</v>
      </c>
      <c r="I2472" s="6">
        <v>97.7</v>
      </c>
      <c r="J2472" s="4">
        <v>4</v>
      </c>
      <c r="K2472" s="6">
        <v>31.75</v>
      </c>
    </row>
    <row r="2473" spans="1:11" x14ac:dyDescent="0.3">
      <c r="A2473" s="7">
        <v>42138</v>
      </c>
      <c r="B2473" s="4">
        <f>YEAR(SalesData[[#This Row],[Order Date]])</f>
        <v>2015</v>
      </c>
      <c r="C2473" s="4">
        <f>MONTH(SalesData[[#This Row],[Order Date]])</f>
        <v>5</v>
      </c>
      <c r="D2473" s="3" t="s">
        <v>1957</v>
      </c>
      <c r="E2473" s="3" t="s">
        <v>23</v>
      </c>
      <c r="F2473" s="3" t="s">
        <v>11</v>
      </c>
      <c r="G2473" s="3" t="s">
        <v>24</v>
      </c>
      <c r="H2473" s="3" t="s">
        <v>2073</v>
      </c>
      <c r="I2473" s="6">
        <v>2.7</v>
      </c>
      <c r="J2473" s="4">
        <v>1</v>
      </c>
      <c r="K2473" s="6">
        <v>0.81</v>
      </c>
    </row>
    <row r="2474" spans="1:11" x14ac:dyDescent="0.3">
      <c r="A2474" s="7">
        <v>42138</v>
      </c>
      <c r="B2474" s="4">
        <f>YEAR(SalesData[[#This Row],[Order Date]])</f>
        <v>2015</v>
      </c>
      <c r="C2474" s="4">
        <f>MONTH(SalesData[[#This Row],[Order Date]])</f>
        <v>5</v>
      </c>
      <c r="D2474" s="3" t="s">
        <v>1957</v>
      </c>
      <c r="E2474" s="3" t="s">
        <v>23</v>
      </c>
      <c r="F2474" s="3" t="s">
        <v>11</v>
      </c>
      <c r="G2474" s="3" t="s">
        <v>20</v>
      </c>
      <c r="H2474" s="3" t="s">
        <v>88</v>
      </c>
      <c r="I2474" s="6">
        <v>18.59</v>
      </c>
      <c r="J2474" s="4">
        <v>2</v>
      </c>
      <c r="K2474" s="6">
        <v>-13.63</v>
      </c>
    </row>
    <row r="2475" spans="1:11" x14ac:dyDescent="0.3">
      <c r="A2475" s="7">
        <v>42138</v>
      </c>
      <c r="B2475" s="4">
        <f>YEAR(SalesData[[#This Row],[Order Date]])</f>
        <v>2015</v>
      </c>
      <c r="C2475" s="4">
        <f>MONTH(SalesData[[#This Row],[Order Date]])</f>
        <v>5</v>
      </c>
      <c r="D2475" s="3" t="s">
        <v>1957</v>
      </c>
      <c r="E2475" s="3" t="s">
        <v>23</v>
      </c>
      <c r="F2475" s="3" t="s">
        <v>11</v>
      </c>
      <c r="G2475" s="3" t="s">
        <v>20</v>
      </c>
      <c r="H2475" s="3" t="s">
        <v>980</v>
      </c>
      <c r="I2475" s="6">
        <v>4.9000000000000004</v>
      </c>
      <c r="J2475" s="4">
        <v>3</v>
      </c>
      <c r="K2475" s="6">
        <v>-3.43</v>
      </c>
    </row>
    <row r="2476" spans="1:11" x14ac:dyDescent="0.3">
      <c r="A2476" s="7">
        <v>42138</v>
      </c>
      <c r="B2476" s="4">
        <f>YEAR(SalesData[[#This Row],[Order Date]])</f>
        <v>2015</v>
      </c>
      <c r="C2476" s="4">
        <f>MONTH(SalesData[[#This Row],[Order Date]])</f>
        <v>5</v>
      </c>
      <c r="D2476" s="3" t="s">
        <v>1467</v>
      </c>
      <c r="E2476" s="3" t="s">
        <v>27</v>
      </c>
      <c r="F2476" s="3" t="s">
        <v>11</v>
      </c>
      <c r="G2476" s="3" t="s">
        <v>18</v>
      </c>
      <c r="H2476" s="3" t="s">
        <v>795</v>
      </c>
      <c r="I2476" s="6">
        <v>1117.92</v>
      </c>
      <c r="J2476" s="4">
        <v>4</v>
      </c>
      <c r="K2476" s="6">
        <v>55.9</v>
      </c>
    </row>
    <row r="2477" spans="1:11" x14ac:dyDescent="0.3">
      <c r="A2477" s="7">
        <v>42138</v>
      </c>
      <c r="B2477" s="4">
        <f>YEAR(SalesData[[#This Row],[Order Date]])</f>
        <v>2015</v>
      </c>
      <c r="C2477" s="4">
        <f>MONTH(SalesData[[#This Row],[Order Date]])</f>
        <v>5</v>
      </c>
      <c r="D2477" s="3" t="s">
        <v>1883</v>
      </c>
      <c r="E2477" s="3" t="s">
        <v>27</v>
      </c>
      <c r="F2477" s="3" t="s">
        <v>34</v>
      </c>
      <c r="G2477" s="3" t="s">
        <v>74</v>
      </c>
      <c r="H2477" s="3" t="s">
        <v>1637</v>
      </c>
      <c r="I2477" s="6">
        <v>509.96</v>
      </c>
      <c r="J2477" s="4">
        <v>5</v>
      </c>
      <c r="K2477" s="6">
        <v>42</v>
      </c>
    </row>
    <row r="2478" spans="1:11" x14ac:dyDescent="0.3">
      <c r="A2478" s="7">
        <v>42138</v>
      </c>
      <c r="B2478" s="4">
        <f>YEAR(SalesData[[#This Row],[Order Date]])</f>
        <v>2015</v>
      </c>
      <c r="C2478" s="4">
        <f>MONTH(SalesData[[#This Row],[Order Date]])</f>
        <v>5</v>
      </c>
      <c r="D2478" s="3" t="s">
        <v>1883</v>
      </c>
      <c r="E2478" s="3" t="s">
        <v>27</v>
      </c>
      <c r="F2478" s="3" t="s">
        <v>34</v>
      </c>
      <c r="G2478" s="3" t="s">
        <v>47</v>
      </c>
      <c r="H2478" s="3" t="s">
        <v>1083</v>
      </c>
      <c r="I2478" s="6">
        <v>122.91</v>
      </c>
      <c r="J2478" s="4">
        <v>3</v>
      </c>
      <c r="K2478" s="6">
        <v>34.409999999999997</v>
      </c>
    </row>
    <row r="2479" spans="1:11" x14ac:dyDescent="0.3">
      <c r="A2479" s="7">
        <v>42138</v>
      </c>
      <c r="B2479" s="4">
        <f>YEAR(SalesData[[#This Row],[Order Date]])</f>
        <v>2015</v>
      </c>
      <c r="C2479" s="4">
        <f>MONTH(SalesData[[#This Row],[Order Date]])</f>
        <v>5</v>
      </c>
      <c r="D2479" s="3" t="s">
        <v>1883</v>
      </c>
      <c r="E2479" s="3" t="s">
        <v>27</v>
      </c>
      <c r="F2479" s="3" t="s">
        <v>34</v>
      </c>
      <c r="G2479" s="3" t="s">
        <v>35</v>
      </c>
      <c r="H2479" s="3" t="s">
        <v>1128</v>
      </c>
      <c r="I2479" s="6">
        <v>97.57</v>
      </c>
      <c r="J2479" s="4">
        <v>2</v>
      </c>
      <c r="K2479" s="6">
        <v>-6.1</v>
      </c>
    </row>
    <row r="2480" spans="1:11" x14ac:dyDescent="0.3">
      <c r="A2480" s="7">
        <v>42138</v>
      </c>
      <c r="B2480" s="4">
        <f>YEAR(SalesData[[#This Row],[Order Date]])</f>
        <v>2015</v>
      </c>
      <c r="C2480" s="4">
        <f>MONTH(SalesData[[#This Row],[Order Date]])</f>
        <v>5</v>
      </c>
      <c r="D2480" s="3" t="s">
        <v>1883</v>
      </c>
      <c r="E2480" s="3" t="s">
        <v>27</v>
      </c>
      <c r="F2480" s="3" t="s">
        <v>34</v>
      </c>
      <c r="G2480" s="3" t="s">
        <v>35</v>
      </c>
      <c r="H2480" s="3" t="s">
        <v>274</v>
      </c>
      <c r="I2480" s="6">
        <v>722.35</v>
      </c>
      <c r="J2480" s="4">
        <v>3</v>
      </c>
      <c r="K2480" s="6">
        <v>81.260000000000005</v>
      </c>
    </row>
    <row r="2481" spans="1:11" x14ac:dyDescent="0.3">
      <c r="A2481" s="7">
        <v>42139</v>
      </c>
      <c r="B2481" s="4">
        <f>YEAR(SalesData[[#This Row],[Order Date]])</f>
        <v>2015</v>
      </c>
      <c r="C2481" s="4">
        <f>MONTH(SalesData[[#This Row],[Order Date]])</f>
        <v>5</v>
      </c>
      <c r="D2481" s="3" t="s">
        <v>443</v>
      </c>
      <c r="E2481" s="3" t="s">
        <v>30</v>
      </c>
      <c r="F2481" s="3" t="s">
        <v>11</v>
      </c>
      <c r="G2481" s="3" t="s">
        <v>63</v>
      </c>
      <c r="H2481" s="3" t="s">
        <v>2074</v>
      </c>
      <c r="I2481" s="6">
        <v>17.940000000000001</v>
      </c>
      <c r="J2481" s="4">
        <v>3</v>
      </c>
      <c r="K2481" s="6">
        <v>8.7899999999999991</v>
      </c>
    </row>
    <row r="2482" spans="1:11" x14ac:dyDescent="0.3">
      <c r="A2482" s="7">
        <v>42139</v>
      </c>
      <c r="B2482" s="4">
        <f>YEAR(SalesData[[#This Row],[Order Date]])</f>
        <v>2015</v>
      </c>
      <c r="C2482" s="4">
        <f>MONTH(SalesData[[#This Row],[Order Date]])</f>
        <v>5</v>
      </c>
      <c r="D2482" s="3" t="s">
        <v>1446</v>
      </c>
      <c r="E2482" s="3" t="s">
        <v>23</v>
      </c>
      <c r="F2482" s="3" t="s">
        <v>11</v>
      </c>
      <c r="G2482" s="3" t="s">
        <v>18</v>
      </c>
      <c r="H2482" s="3" t="s">
        <v>192</v>
      </c>
      <c r="I2482" s="6">
        <v>51.97</v>
      </c>
      <c r="J2482" s="4">
        <v>2</v>
      </c>
      <c r="K2482" s="6">
        <v>-10.39</v>
      </c>
    </row>
    <row r="2483" spans="1:11" x14ac:dyDescent="0.3">
      <c r="A2483" s="7">
        <v>42140</v>
      </c>
      <c r="B2483" s="4">
        <f>YEAR(SalesData[[#This Row],[Order Date]])</f>
        <v>2015</v>
      </c>
      <c r="C2483" s="4">
        <f>MONTH(SalesData[[#This Row],[Order Date]])</f>
        <v>5</v>
      </c>
      <c r="D2483" s="3" t="s">
        <v>456</v>
      </c>
      <c r="E2483" s="3" t="s">
        <v>123</v>
      </c>
      <c r="F2483" s="3" t="s">
        <v>39</v>
      </c>
      <c r="G2483" s="3" t="s">
        <v>52</v>
      </c>
      <c r="H2483" s="3" t="s">
        <v>2002</v>
      </c>
      <c r="I2483" s="6">
        <v>255.97</v>
      </c>
      <c r="J2483" s="4">
        <v>4</v>
      </c>
      <c r="K2483" s="6">
        <v>32</v>
      </c>
    </row>
    <row r="2484" spans="1:11" x14ac:dyDescent="0.3">
      <c r="A2484" s="7">
        <v>42141</v>
      </c>
      <c r="B2484" s="4">
        <f>YEAR(SalesData[[#This Row],[Order Date]])</f>
        <v>2015</v>
      </c>
      <c r="C2484" s="4">
        <f>MONTH(SalesData[[#This Row],[Order Date]])</f>
        <v>5</v>
      </c>
      <c r="D2484" s="3" t="s">
        <v>1289</v>
      </c>
      <c r="E2484" s="3" t="s">
        <v>10</v>
      </c>
      <c r="F2484" s="3" t="s">
        <v>11</v>
      </c>
      <c r="G2484" s="3" t="s">
        <v>20</v>
      </c>
      <c r="H2484" s="3" t="s">
        <v>2075</v>
      </c>
      <c r="I2484" s="6">
        <v>33.28</v>
      </c>
      <c r="J2484" s="4">
        <v>5</v>
      </c>
      <c r="K2484" s="6">
        <v>-49.92</v>
      </c>
    </row>
    <row r="2485" spans="1:11" x14ac:dyDescent="0.3">
      <c r="A2485" s="7">
        <v>42141</v>
      </c>
      <c r="B2485" s="4">
        <f>YEAR(SalesData[[#This Row],[Order Date]])</f>
        <v>2015</v>
      </c>
      <c r="C2485" s="4">
        <f>MONTH(SalesData[[#This Row],[Order Date]])</f>
        <v>5</v>
      </c>
      <c r="D2485" s="3" t="s">
        <v>1289</v>
      </c>
      <c r="E2485" s="3" t="s">
        <v>10</v>
      </c>
      <c r="F2485" s="3" t="s">
        <v>11</v>
      </c>
      <c r="G2485" s="3" t="s">
        <v>12</v>
      </c>
      <c r="H2485" s="3" t="s">
        <v>2076</v>
      </c>
      <c r="I2485" s="6">
        <v>14.09</v>
      </c>
      <c r="J2485" s="4">
        <v>3</v>
      </c>
      <c r="K2485" s="6">
        <v>4.93</v>
      </c>
    </row>
    <row r="2486" spans="1:11" x14ac:dyDescent="0.3">
      <c r="A2486" s="7">
        <v>42141</v>
      </c>
      <c r="B2486" s="4">
        <f>YEAR(SalesData[[#This Row],[Order Date]])</f>
        <v>2015</v>
      </c>
      <c r="C2486" s="4">
        <f>MONTH(SalesData[[#This Row],[Order Date]])</f>
        <v>5</v>
      </c>
      <c r="D2486" s="3" t="s">
        <v>859</v>
      </c>
      <c r="E2486" s="3" t="s">
        <v>149</v>
      </c>
      <c r="F2486" s="3" t="s">
        <v>11</v>
      </c>
      <c r="G2486" s="3" t="s">
        <v>16</v>
      </c>
      <c r="H2486" s="3" t="s">
        <v>2077</v>
      </c>
      <c r="I2486" s="6">
        <v>31.5</v>
      </c>
      <c r="J2486" s="4">
        <v>10</v>
      </c>
      <c r="K2486" s="6">
        <v>15.12</v>
      </c>
    </row>
    <row r="2487" spans="1:11" x14ac:dyDescent="0.3">
      <c r="A2487" s="7">
        <v>42141</v>
      </c>
      <c r="B2487" s="4">
        <f>YEAR(SalesData[[#This Row],[Order Date]])</f>
        <v>2015</v>
      </c>
      <c r="C2487" s="4">
        <f>MONTH(SalesData[[#This Row],[Order Date]])</f>
        <v>5</v>
      </c>
      <c r="D2487" s="3" t="s">
        <v>859</v>
      </c>
      <c r="E2487" s="3" t="s">
        <v>149</v>
      </c>
      <c r="F2487" s="3" t="s">
        <v>11</v>
      </c>
      <c r="G2487" s="3" t="s">
        <v>200</v>
      </c>
      <c r="H2487" s="3" t="s">
        <v>1458</v>
      </c>
      <c r="I2487" s="6">
        <v>55.6</v>
      </c>
      <c r="J2487" s="4">
        <v>4</v>
      </c>
      <c r="K2487" s="6">
        <v>16.12</v>
      </c>
    </row>
    <row r="2488" spans="1:11" x14ac:dyDescent="0.3">
      <c r="A2488" s="7">
        <v>42142</v>
      </c>
      <c r="B2488" s="4">
        <f>YEAR(SalesData[[#This Row],[Order Date]])</f>
        <v>2015</v>
      </c>
      <c r="C2488" s="4">
        <f>MONTH(SalesData[[#This Row],[Order Date]])</f>
        <v>5</v>
      </c>
      <c r="D2488" s="3" t="s">
        <v>54</v>
      </c>
      <c r="E2488" s="3" t="s">
        <v>27</v>
      </c>
      <c r="F2488" s="3" t="s">
        <v>11</v>
      </c>
      <c r="G2488" s="3" t="s">
        <v>12</v>
      </c>
      <c r="H2488" s="3" t="s">
        <v>1337</v>
      </c>
      <c r="I2488" s="6">
        <v>10.86</v>
      </c>
      <c r="J2488" s="4">
        <v>2</v>
      </c>
      <c r="K2488" s="6">
        <v>5.32</v>
      </c>
    </row>
    <row r="2489" spans="1:11" x14ac:dyDescent="0.3">
      <c r="A2489" s="7">
        <v>42144</v>
      </c>
      <c r="B2489" s="4">
        <f>YEAR(SalesData[[#This Row],[Order Date]])</f>
        <v>2015</v>
      </c>
      <c r="C2489" s="4">
        <f>MONTH(SalesData[[#This Row],[Order Date]])</f>
        <v>5</v>
      </c>
      <c r="D2489" s="3" t="s">
        <v>1023</v>
      </c>
      <c r="E2489" s="3" t="s">
        <v>245</v>
      </c>
      <c r="F2489" s="3" t="s">
        <v>34</v>
      </c>
      <c r="G2489" s="3" t="s">
        <v>47</v>
      </c>
      <c r="H2489" s="3" t="s">
        <v>340</v>
      </c>
      <c r="I2489" s="6">
        <v>163.13999999999999</v>
      </c>
      <c r="J2489" s="4">
        <v>4</v>
      </c>
      <c r="K2489" s="6">
        <v>20.39</v>
      </c>
    </row>
    <row r="2490" spans="1:11" x14ac:dyDescent="0.3">
      <c r="A2490" s="7">
        <v>42144</v>
      </c>
      <c r="B2490" s="4">
        <f>YEAR(SalesData[[#This Row],[Order Date]])</f>
        <v>2015</v>
      </c>
      <c r="C2490" s="4">
        <f>MONTH(SalesData[[#This Row],[Order Date]])</f>
        <v>5</v>
      </c>
      <c r="D2490" s="3" t="s">
        <v>1023</v>
      </c>
      <c r="E2490" s="3" t="s">
        <v>245</v>
      </c>
      <c r="F2490" s="3" t="s">
        <v>11</v>
      </c>
      <c r="G2490" s="3" t="s">
        <v>20</v>
      </c>
      <c r="H2490" s="3" t="s">
        <v>203</v>
      </c>
      <c r="I2490" s="6">
        <v>6.41</v>
      </c>
      <c r="J2490" s="4">
        <v>4</v>
      </c>
      <c r="K2490" s="6">
        <v>-4.91</v>
      </c>
    </row>
    <row r="2491" spans="1:11" x14ac:dyDescent="0.3">
      <c r="A2491" s="7">
        <v>42145</v>
      </c>
      <c r="B2491" s="4">
        <f>YEAR(SalesData[[#This Row],[Order Date]])</f>
        <v>2015</v>
      </c>
      <c r="C2491" s="4">
        <f>MONTH(SalesData[[#This Row],[Order Date]])</f>
        <v>5</v>
      </c>
      <c r="D2491" s="3" t="s">
        <v>857</v>
      </c>
      <c r="E2491" s="3" t="s">
        <v>15</v>
      </c>
      <c r="F2491" s="3" t="s">
        <v>11</v>
      </c>
      <c r="G2491" s="3" t="s">
        <v>92</v>
      </c>
      <c r="H2491" s="3" t="s">
        <v>1349</v>
      </c>
      <c r="I2491" s="6">
        <v>20.77</v>
      </c>
      <c r="J2491" s="4">
        <v>8</v>
      </c>
      <c r="K2491" s="6">
        <v>-52.96</v>
      </c>
    </row>
    <row r="2492" spans="1:11" x14ac:dyDescent="0.3">
      <c r="A2492" s="7">
        <v>42145</v>
      </c>
      <c r="B2492" s="4">
        <f>YEAR(SalesData[[#This Row],[Order Date]])</f>
        <v>2015</v>
      </c>
      <c r="C2492" s="4">
        <f>MONTH(SalesData[[#This Row],[Order Date]])</f>
        <v>5</v>
      </c>
      <c r="D2492" s="3" t="s">
        <v>989</v>
      </c>
      <c r="E2492" s="3" t="s">
        <v>164</v>
      </c>
      <c r="F2492" s="3" t="s">
        <v>11</v>
      </c>
      <c r="G2492" s="3" t="s">
        <v>20</v>
      </c>
      <c r="H2492" s="3" t="s">
        <v>431</v>
      </c>
      <c r="I2492" s="6">
        <v>26.98</v>
      </c>
      <c r="J2492" s="4">
        <v>4</v>
      </c>
      <c r="K2492" s="6">
        <v>8.77</v>
      </c>
    </row>
    <row r="2493" spans="1:11" x14ac:dyDescent="0.3">
      <c r="A2493" s="7">
        <v>42145</v>
      </c>
      <c r="B2493" s="4">
        <f>YEAR(SalesData[[#This Row],[Order Date]])</f>
        <v>2015</v>
      </c>
      <c r="C2493" s="4">
        <f>MONTH(SalesData[[#This Row],[Order Date]])</f>
        <v>5</v>
      </c>
      <c r="D2493" s="3" t="s">
        <v>1343</v>
      </c>
      <c r="E2493" s="3" t="s">
        <v>23</v>
      </c>
      <c r="F2493" s="3" t="s">
        <v>11</v>
      </c>
      <c r="G2493" s="3" t="s">
        <v>20</v>
      </c>
      <c r="H2493" s="3" t="s">
        <v>362</v>
      </c>
      <c r="I2493" s="6">
        <v>24.59</v>
      </c>
      <c r="J2493" s="4">
        <v>2</v>
      </c>
      <c r="K2493" s="6">
        <v>-18.03</v>
      </c>
    </row>
    <row r="2494" spans="1:11" x14ac:dyDescent="0.3">
      <c r="A2494" s="7">
        <v>42146</v>
      </c>
      <c r="B2494" s="4">
        <f>YEAR(SalesData[[#This Row],[Order Date]])</f>
        <v>2015</v>
      </c>
      <c r="C2494" s="4">
        <f>MONTH(SalesData[[#This Row],[Order Date]])</f>
        <v>5</v>
      </c>
      <c r="D2494" s="3" t="s">
        <v>1341</v>
      </c>
      <c r="E2494" s="3" t="s">
        <v>27</v>
      </c>
      <c r="F2494" s="3" t="s">
        <v>11</v>
      </c>
      <c r="G2494" s="3" t="s">
        <v>16</v>
      </c>
      <c r="H2494" s="3" t="s">
        <v>377</v>
      </c>
      <c r="I2494" s="6">
        <v>8.26</v>
      </c>
      <c r="J2494" s="4">
        <v>2</v>
      </c>
      <c r="K2494" s="6">
        <v>3.8</v>
      </c>
    </row>
    <row r="2495" spans="1:11" x14ac:dyDescent="0.3">
      <c r="A2495" s="7">
        <v>42146</v>
      </c>
      <c r="B2495" s="4">
        <f>YEAR(SalesData[[#This Row],[Order Date]])</f>
        <v>2015</v>
      </c>
      <c r="C2495" s="4">
        <f>MONTH(SalesData[[#This Row],[Order Date]])</f>
        <v>5</v>
      </c>
      <c r="D2495" s="3" t="s">
        <v>1341</v>
      </c>
      <c r="E2495" s="3" t="s">
        <v>27</v>
      </c>
      <c r="F2495" s="3" t="s">
        <v>39</v>
      </c>
      <c r="G2495" s="3" t="s">
        <v>302</v>
      </c>
      <c r="H2495" s="3" t="s">
        <v>2078</v>
      </c>
      <c r="I2495" s="6">
        <v>2973.32</v>
      </c>
      <c r="J2495" s="4">
        <v>7</v>
      </c>
      <c r="K2495" s="6">
        <v>334.5</v>
      </c>
    </row>
    <row r="2496" spans="1:11" x14ac:dyDescent="0.3">
      <c r="A2496" s="7">
        <v>42146</v>
      </c>
      <c r="B2496" s="4">
        <f>YEAR(SalesData[[#This Row],[Order Date]])</f>
        <v>2015</v>
      </c>
      <c r="C2496" s="4">
        <f>MONTH(SalesData[[#This Row],[Order Date]])</f>
        <v>5</v>
      </c>
      <c r="D2496" s="3" t="s">
        <v>1341</v>
      </c>
      <c r="E2496" s="3" t="s">
        <v>27</v>
      </c>
      <c r="F2496" s="3" t="s">
        <v>11</v>
      </c>
      <c r="G2496" s="3" t="s">
        <v>18</v>
      </c>
      <c r="H2496" s="3" t="s">
        <v>1245</v>
      </c>
      <c r="I2496" s="6">
        <v>104.79</v>
      </c>
      <c r="J2496" s="4">
        <v>7</v>
      </c>
      <c r="K2496" s="6">
        <v>29.34</v>
      </c>
    </row>
    <row r="2497" spans="1:11" x14ac:dyDescent="0.3">
      <c r="A2497" s="7">
        <v>42146</v>
      </c>
      <c r="B2497" s="4">
        <f>YEAR(SalesData[[#This Row],[Order Date]])</f>
        <v>2015</v>
      </c>
      <c r="C2497" s="4">
        <f>MONTH(SalesData[[#This Row],[Order Date]])</f>
        <v>5</v>
      </c>
      <c r="D2497" s="3" t="s">
        <v>1341</v>
      </c>
      <c r="E2497" s="3" t="s">
        <v>27</v>
      </c>
      <c r="F2497" s="3" t="s">
        <v>39</v>
      </c>
      <c r="G2497" s="3" t="s">
        <v>40</v>
      </c>
      <c r="H2497" s="3" t="s">
        <v>173</v>
      </c>
      <c r="I2497" s="6">
        <v>775.73</v>
      </c>
      <c r="J2497" s="4">
        <v>6</v>
      </c>
      <c r="K2497" s="6">
        <v>58.18</v>
      </c>
    </row>
    <row r="2498" spans="1:11" x14ac:dyDescent="0.3">
      <c r="A2498" s="7">
        <v>42147</v>
      </c>
      <c r="B2498" s="4">
        <f>YEAR(SalesData[[#This Row],[Order Date]])</f>
        <v>2015</v>
      </c>
      <c r="C2498" s="4">
        <f>MONTH(SalesData[[#This Row],[Order Date]])</f>
        <v>5</v>
      </c>
      <c r="D2498" s="3" t="s">
        <v>1287</v>
      </c>
      <c r="E2498" s="3" t="s">
        <v>70</v>
      </c>
      <c r="F2498" s="3" t="s">
        <v>11</v>
      </c>
      <c r="G2498" s="3" t="s">
        <v>63</v>
      </c>
      <c r="H2498" s="3" t="s">
        <v>543</v>
      </c>
      <c r="I2498" s="6">
        <v>186.69</v>
      </c>
      <c r="J2498" s="4">
        <v>3</v>
      </c>
      <c r="K2498" s="6">
        <v>87.74</v>
      </c>
    </row>
    <row r="2499" spans="1:11" x14ac:dyDescent="0.3">
      <c r="A2499" s="7">
        <v>42147</v>
      </c>
      <c r="B2499" s="4">
        <f>YEAR(SalesData[[#This Row],[Order Date]])</f>
        <v>2015</v>
      </c>
      <c r="C2499" s="4">
        <f>MONTH(SalesData[[#This Row],[Order Date]])</f>
        <v>5</v>
      </c>
      <c r="D2499" s="3" t="s">
        <v>622</v>
      </c>
      <c r="E2499" s="3" t="s">
        <v>95</v>
      </c>
      <c r="F2499" s="3" t="s">
        <v>11</v>
      </c>
      <c r="G2499" s="3" t="s">
        <v>20</v>
      </c>
      <c r="H2499" s="3" t="s">
        <v>1565</v>
      </c>
      <c r="I2499" s="6">
        <v>19.190000000000001</v>
      </c>
      <c r="J2499" s="4">
        <v>7</v>
      </c>
      <c r="K2499" s="6">
        <v>-12.8</v>
      </c>
    </row>
    <row r="2500" spans="1:11" x14ac:dyDescent="0.3">
      <c r="A2500" s="7">
        <v>42147</v>
      </c>
      <c r="B2500" s="4">
        <f>YEAR(SalesData[[#This Row],[Order Date]])</f>
        <v>2015</v>
      </c>
      <c r="C2500" s="4">
        <f>MONTH(SalesData[[#This Row],[Order Date]])</f>
        <v>5</v>
      </c>
      <c r="D2500" s="3" t="s">
        <v>622</v>
      </c>
      <c r="E2500" s="3" t="s">
        <v>95</v>
      </c>
      <c r="F2500" s="3" t="s">
        <v>11</v>
      </c>
      <c r="G2500" s="3" t="s">
        <v>92</v>
      </c>
      <c r="H2500" s="3" t="s">
        <v>1080</v>
      </c>
      <c r="I2500" s="6">
        <v>121.79</v>
      </c>
      <c r="J2500" s="4">
        <v>4</v>
      </c>
      <c r="K2500" s="6">
        <v>13.7</v>
      </c>
    </row>
    <row r="2501" spans="1:11" x14ac:dyDescent="0.3">
      <c r="A2501" s="7">
        <v>42147</v>
      </c>
      <c r="B2501" s="4">
        <f>YEAR(SalesData[[#This Row],[Order Date]])</f>
        <v>2015</v>
      </c>
      <c r="C2501" s="4">
        <f>MONTH(SalesData[[#This Row],[Order Date]])</f>
        <v>5</v>
      </c>
      <c r="D2501" s="3" t="s">
        <v>357</v>
      </c>
      <c r="E2501" s="3" t="s">
        <v>1529</v>
      </c>
      <c r="F2501" s="3" t="s">
        <v>11</v>
      </c>
      <c r="G2501" s="3" t="s">
        <v>18</v>
      </c>
      <c r="H2501" s="3" t="s">
        <v>1847</v>
      </c>
      <c r="I2501" s="6">
        <v>51.45</v>
      </c>
      <c r="J2501" s="4">
        <v>3</v>
      </c>
      <c r="K2501" s="6">
        <v>13.89</v>
      </c>
    </row>
    <row r="2502" spans="1:11" x14ac:dyDescent="0.3">
      <c r="A2502" s="7">
        <v>42147</v>
      </c>
      <c r="B2502" s="4">
        <f>YEAR(SalesData[[#This Row],[Order Date]])</f>
        <v>2015</v>
      </c>
      <c r="C2502" s="4">
        <f>MONTH(SalesData[[#This Row],[Order Date]])</f>
        <v>5</v>
      </c>
      <c r="D2502" s="3" t="s">
        <v>180</v>
      </c>
      <c r="E2502" s="3" t="s">
        <v>110</v>
      </c>
      <c r="F2502" s="3" t="s">
        <v>11</v>
      </c>
      <c r="G2502" s="3" t="s">
        <v>92</v>
      </c>
      <c r="H2502" s="3" t="s">
        <v>715</v>
      </c>
      <c r="I2502" s="6">
        <v>850.5</v>
      </c>
      <c r="J2502" s="4">
        <v>5</v>
      </c>
      <c r="K2502" s="6">
        <v>245.7</v>
      </c>
    </row>
    <row r="2503" spans="1:11" x14ac:dyDescent="0.3">
      <c r="A2503" s="7">
        <v>42147</v>
      </c>
      <c r="B2503" s="4">
        <f>YEAR(SalesData[[#This Row],[Order Date]])</f>
        <v>2015</v>
      </c>
      <c r="C2503" s="4">
        <f>MONTH(SalesData[[#This Row],[Order Date]])</f>
        <v>5</v>
      </c>
      <c r="D2503" s="3" t="s">
        <v>180</v>
      </c>
      <c r="E2503" s="3" t="s">
        <v>110</v>
      </c>
      <c r="F2503" s="3" t="s">
        <v>34</v>
      </c>
      <c r="G2503" s="3" t="s">
        <v>47</v>
      </c>
      <c r="H2503" s="3" t="s">
        <v>975</v>
      </c>
      <c r="I2503" s="6">
        <v>75.33</v>
      </c>
      <c r="J2503" s="4">
        <v>9</v>
      </c>
      <c r="K2503" s="6">
        <v>19.59</v>
      </c>
    </row>
    <row r="2504" spans="1:11" x14ac:dyDescent="0.3">
      <c r="A2504" s="7">
        <v>42148</v>
      </c>
      <c r="B2504" s="4">
        <f>YEAR(SalesData[[#This Row],[Order Date]])</f>
        <v>2015</v>
      </c>
      <c r="C2504" s="4">
        <f>MONTH(SalesData[[#This Row],[Order Date]])</f>
        <v>5</v>
      </c>
      <c r="D2504" s="3" t="s">
        <v>46</v>
      </c>
      <c r="E2504" s="3" t="s">
        <v>15</v>
      </c>
      <c r="F2504" s="3" t="s">
        <v>34</v>
      </c>
      <c r="G2504" s="3" t="s">
        <v>35</v>
      </c>
      <c r="H2504" s="3" t="s">
        <v>919</v>
      </c>
      <c r="I2504" s="6">
        <v>602.65</v>
      </c>
      <c r="J2504" s="4">
        <v>7</v>
      </c>
      <c r="K2504" s="6">
        <v>-163.58000000000001</v>
      </c>
    </row>
    <row r="2505" spans="1:11" x14ac:dyDescent="0.3">
      <c r="A2505" s="7">
        <v>42148</v>
      </c>
      <c r="B2505" s="4">
        <f>YEAR(SalesData[[#This Row],[Order Date]])</f>
        <v>2015</v>
      </c>
      <c r="C2505" s="4">
        <f>MONTH(SalesData[[#This Row],[Order Date]])</f>
        <v>5</v>
      </c>
      <c r="D2505" s="3" t="s">
        <v>46</v>
      </c>
      <c r="E2505" s="3" t="s">
        <v>15</v>
      </c>
      <c r="F2505" s="3" t="s">
        <v>11</v>
      </c>
      <c r="G2505" s="3" t="s">
        <v>20</v>
      </c>
      <c r="H2505" s="3" t="s">
        <v>682</v>
      </c>
      <c r="I2505" s="6">
        <v>7.66</v>
      </c>
      <c r="J2505" s="4">
        <v>6</v>
      </c>
      <c r="K2505" s="6">
        <v>-13.02</v>
      </c>
    </row>
    <row r="2506" spans="1:11" x14ac:dyDescent="0.3">
      <c r="A2506" s="7">
        <v>42149</v>
      </c>
      <c r="B2506" s="4">
        <f>YEAR(SalesData[[#This Row],[Order Date]])</f>
        <v>2015</v>
      </c>
      <c r="C2506" s="4">
        <f>MONTH(SalesData[[#This Row],[Order Date]])</f>
        <v>5</v>
      </c>
      <c r="D2506" s="3" t="s">
        <v>2079</v>
      </c>
      <c r="E2506" s="3" t="s">
        <v>278</v>
      </c>
      <c r="F2506" s="3" t="s">
        <v>11</v>
      </c>
      <c r="G2506" s="3" t="s">
        <v>92</v>
      </c>
      <c r="H2506" s="3" t="s">
        <v>2007</v>
      </c>
      <c r="I2506" s="6">
        <v>845.73</v>
      </c>
      <c r="J2506" s="4">
        <v>13</v>
      </c>
      <c r="K2506" s="6">
        <v>84.57</v>
      </c>
    </row>
    <row r="2507" spans="1:11" x14ac:dyDescent="0.3">
      <c r="A2507" s="7">
        <v>42149</v>
      </c>
      <c r="B2507" s="4">
        <f>YEAR(SalesData[[#This Row],[Order Date]])</f>
        <v>2015</v>
      </c>
      <c r="C2507" s="4">
        <f>MONTH(SalesData[[#This Row],[Order Date]])</f>
        <v>5</v>
      </c>
      <c r="D2507" s="3" t="s">
        <v>268</v>
      </c>
      <c r="E2507" s="3" t="s">
        <v>27</v>
      </c>
      <c r="F2507" s="3" t="s">
        <v>34</v>
      </c>
      <c r="G2507" s="3" t="s">
        <v>47</v>
      </c>
      <c r="H2507" s="3" t="s">
        <v>117</v>
      </c>
      <c r="I2507" s="6">
        <v>14.73</v>
      </c>
      <c r="J2507" s="4">
        <v>3</v>
      </c>
      <c r="K2507" s="6">
        <v>4.8600000000000003</v>
      </c>
    </row>
    <row r="2508" spans="1:11" x14ac:dyDescent="0.3">
      <c r="A2508" s="7">
        <v>42149</v>
      </c>
      <c r="B2508" s="4">
        <f>YEAR(SalesData[[#This Row],[Order Date]])</f>
        <v>2015</v>
      </c>
      <c r="C2508" s="4">
        <f>MONTH(SalesData[[#This Row],[Order Date]])</f>
        <v>5</v>
      </c>
      <c r="D2508" s="3" t="s">
        <v>180</v>
      </c>
      <c r="E2508" s="3" t="s">
        <v>1283</v>
      </c>
      <c r="F2508" s="3" t="s">
        <v>11</v>
      </c>
      <c r="G2508" s="3" t="s">
        <v>24</v>
      </c>
      <c r="H2508" s="3" t="s">
        <v>1206</v>
      </c>
      <c r="I2508" s="6">
        <v>21.24</v>
      </c>
      <c r="J2508" s="4">
        <v>3</v>
      </c>
      <c r="K2508" s="6">
        <v>8.07</v>
      </c>
    </row>
    <row r="2509" spans="1:11" x14ac:dyDescent="0.3">
      <c r="A2509" s="7">
        <v>42149</v>
      </c>
      <c r="B2509" s="4">
        <f>YEAR(SalesData[[#This Row],[Order Date]])</f>
        <v>2015</v>
      </c>
      <c r="C2509" s="4">
        <f>MONTH(SalesData[[#This Row],[Order Date]])</f>
        <v>5</v>
      </c>
      <c r="D2509" s="3" t="s">
        <v>180</v>
      </c>
      <c r="E2509" s="3" t="s">
        <v>1283</v>
      </c>
      <c r="F2509" s="3" t="s">
        <v>11</v>
      </c>
      <c r="G2509" s="3" t="s">
        <v>20</v>
      </c>
      <c r="H2509" s="3" t="s">
        <v>1136</v>
      </c>
      <c r="I2509" s="6">
        <v>127.96</v>
      </c>
      <c r="J2509" s="4">
        <v>2</v>
      </c>
      <c r="K2509" s="6">
        <v>60.14</v>
      </c>
    </row>
    <row r="2510" spans="1:11" x14ac:dyDescent="0.3">
      <c r="A2510" s="7">
        <v>42149</v>
      </c>
      <c r="B2510" s="4">
        <f>YEAR(SalesData[[#This Row],[Order Date]])</f>
        <v>2015</v>
      </c>
      <c r="C2510" s="4">
        <f>MONTH(SalesData[[#This Row],[Order Date]])</f>
        <v>5</v>
      </c>
      <c r="D2510" s="3" t="s">
        <v>1776</v>
      </c>
      <c r="E2510" s="3" t="s">
        <v>120</v>
      </c>
      <c r="F2510" s="3" t="s">
        <v>39</v>
      </c>
      <c r="G2510" s="3" t="s">
        <v>40</v>
      </c>
      <c r="H2510" s="3" t="s">
        <v>1807</v>
      </c>
      <c r="I2510" s="6">
        <v>467.04</v>
      </c>
      <c r="J2510" s="4">
        <v>4</v>
      </c>
      <c r="K2510" s="6">
        <v>58.38</v>
      </c>
    </row>
    <row r="2511" spans="1:11" x14ac:dyDescent="0.3">
      <c r="A2511" s="7">
        <v>42149</v>
      </c>
      <c r="B2511" s="4">
        <f>YEAR(SalesData[[#This Row],[Order Date]])</f>
        <v>2015</v>
      </c>
      <c r="C2511" s="4">
        <f>MONTH(SalesData[[#This Row],[Order Date]])</f>
        <v>5</v>
      </c>
      <c r="D2511" s="3" t="s">
        <v>119</v>
      </c>
      <c r="E2511" s="3" t="s">
        <v>10</v>
      </c>
      <c r="F2511" s="3" t="s">
        <v>11</v>
      </c>
      <c r="G2511" s="3" t="s">
        <v>200</v>
      </c>
      <c r="H2511" s="3" t="s">
        <v>2080</v>
      </c>
      <c r="I2511" s="6">
        <v>22.37</v>
      </c>
      <c r="J2511" s="4">
        <v>2</v>
      </c>
      <c r="K2511" s="6">
        <v>1.68</v>
      </c>
    </row>
    <row r="2512" spans="1:11" x14ac:dyDescent="0.3">
      <c r="A2512" s="7">
        <v>42149</v>
      </c>
      <c r="B2512" s="4">
        <f>YEAR(SalesData[[#This Row],[Order Date]])</f>
        <v>2015</v>
      </c>
      <c r="C2512" s="4">
        <f>MONTH(SalesData[[#This Row],[Order Date]])</f>
        <v>5</v>
      </c>
      <c r="D2512" s="3" t="s">
        <v>119</v>
      </c>
      <c r="E2512" s="3" t="s">
        <v>10</v>
      </c>
      <c r="F2512" s="3" t="s">
        <v>11</v>
      </c>
      <c r="G2512" s="3" t="s">
        <v>12</v>
      </c>
      <c r="H2512" s="3" t="s">
        <v>1179</v>
      </c>
      <c r="I2512" s="6">
        <v>32.369999999999997</v>
      </c>
      <c r="J2512" s="4">
        <v>7</v>
      </c>
      <c r="K2512" s="6">
        <v>11.73</v>
      </c>
    </row>
    <row r="2513" spans="1:11" x14ac:dyDescent="0.3">
      <c r="A2513" s="7">
        <v>42149</v>
      </c>
      <c r="B2513" s="4">
        <f>YEAR(SalesData[[#This Row],[Order Date]])</f>
        <v>2015</v>
      </c>
      <c r="C2513" s="4">
        <f>MONTH(SalesData[[#This Row],[Order Date]])</f>
        <v>5</v>
      </c>
      <c r="D2513" s="3" t="s">
        <v>119</v>
      </c>
      <c r="E2513" s="3" t="s">
        <v>10</v>
      </c>
      <c r="F2513" s="3" t="s">
        <v>39</v>
      </c>
      <c r="G2513" s="3" t="s">
        <v>52</v>
      </c>
      <c r="H2513" s="3" t="s">
        <v>2081</v>
      </c>
      <c r="I2513" s="6">
        <v>207.98</v>
      </c>
      <c r="J2513" s="4">
        <v>2</v>
      </c>
      <c r="K2513" s="6">
        <v>36.4</v>
      </c>
    </row>
    <row r="2514" spans="1:11" x14ac:dyDescent="0.3">
      <c r="A2514" s="7">
        <v>42150</v>
      </c>
      <c r="B2514" s="4">
        <f>YEAR(SalesData[[#This Row],[Order Date]])</f>
        <v>2015</v>
      </c>
      <c r="C2514" s="4">
        <f>MONTH(SalesData[[#This Row],[Order Date]])</f>
        <v>5</v>
      </c>
      <c r="D2514" s="3" t="s">
        <v>530</v>
      </c>
      <c r="E2514" s="3" t="s">
        <v>245</v>
      </c>
      <c r="F2514" s="3" t="s">
        <v>11</v>
      </c>
      <c r="G2514" s="3" t="s">
        <v>12</v>
      </c>
      <c r="H2514" s="3" t="s">
        <v>1901</v>
      </c>
      <c r="I2514" s="6">
        <v>18.27</v>
      </c>
      <c r="J2514" s="4">
        <v>1</v>
      </c>
      <c r="K2514" s="6">
        <v>5.94</v>
      </c>
    </row>
    <row r="2515" spans="1:11" x14ac:dyDescent="0.3">
      <c r="A2515" s="7">
        <v>42150</v>
      </c>
      <c r="B2515" s="4">
        <f>YEAR(SalesData[[#This Row],[Order Date]])</f>
        <v>2015</v>
      </c>
      <c r="C2515" s="4">
        <f>MONTH(SalesData[[#This Row],[Order Date]])</f>
        <v>5</v>
      </c>
      <c r="D2515" s="3" t="s">
        <v>530</v>
      </c>
      <c r="E2515" s="3" t="s">
        <v>245</v>
      </c>
      <c r="F2515" s="3" t="s">
        <v>11</v>
      </c>
      <c r="G2515" s="3" t="s">
        <v>12</v>
      </c>
      <c r="H2515" s="3" t="s">
        <v>2082</v>
      </c>
      <c r="I2515" s="6">
        <v>153.72999999999999</v>
      </c>
      <c r="J2515" s="4">
        <v>4</v>
      </c>
      <c r="K2515" s="6">
        <v>53.8</v>
      </c>
    </row>
    <row r="2516" spans="1:11" x14ac:dyDescent="0.3">
      <c r="A2516" s="7">
        <v>42150</v>
      </c>
      <c r="B2516" s="4">
        <f>YEAR(SalesData[[#This Row],[Order Date]])</f>
        <v>2015</v>
      </c>
      <c r="C2516" s="4">
        <f>MONTH(SalesData[[#This Row],[Order Date]])</f>
        <v>5</v>
      </c>
      <c r="D2516" s="3" t="s">
        <v>530</v>
      </c>
      <c r="E2516" s="3" t="s">
        <v>245</v>
      </c>
      <c r="F2516" s="3" t="s">
        <v>11</v>
      </c>
      <c r="G2516" s="3" t="s">
        <v>63</v>
      </c>
      <c r="H2516" s="3" t="s">
        <v>770</v>
      </c>
      <c r="I2516" s="6">
        <v>12.22</v>
      </c>
      <c r="J2516" s="4">
        <v>2</v>
      </c>
      <c r="K2516" s="6">
        <v>4.43</v>
      </c>
    </row>
    <row r="2517" spans="1:11" x14ac:dyDescent="0.3">
      <c r="A2517" s="7">
        <v>42150</v>
      </c>
      <c r="B2517" s="4">
        <f>YEAR(SalesData[[#This Row],[Order Date]])</f>
        <v>2015</v>
      </c>
      <c r="C2517" s="4">
        <f>MONTH(SalesData[[#This Row],[Order Date]])</f>
        <v>5</v>
      </c>
      <c r="D2517" s="3" t="s">
        <v>530</v>
      </c>
      <c r="E2517" s="3" t="s">
        <v>245</v>
      </c>
      <c r="F2517" s="3" t="s">
        <v>39</v>
      </c>
      <c r="G2517" s="3" t="s">
        <v>52</v>
      </c>
      <c r="H2517" s="3" t="s">
        <v>84</v>
      </c>
      <c r="I2517" s="6">
        <v>167.94</v>
      </c>
      <c r="J2517" s="4">
        <v>7</v>
      </c>
      <c r="K2517" s="6">
        <v>50.38</v>
      </c>
    </row>
    <row r="2518" spans="1:11" x14ac:dyDescent="0.3">
      <c r="A2518" s="7">
        <v>42150</v>
      </c>
      <c r="B2518" s="4">
        <f>YEAR(SalesData[[#This Row],[Order Date]])</f>
        <v>2015</v>
      </c>
      <c r="C2518" s="4">
        <f>MONTH(SalesData[[#This Row],[Order Date]])</f>
        <v>5</v>
      </c>
      <c r="D2518" s="3" t="s">
        <v>465</v>
      </c>
      <c r="E2518" s="3" t="s">
        <v>164</v>
      </c>
      <c r="F2518" s="3" t="s">
        <v>34</v>
      </c>
      <c r="G2518" s="3" t="s">
        <v>47</v>
      </c>
      <c r="H2518" s="3" t="s">
        <v>1739</v>
      </c>
      <c r="I2518" s="6">
        <v>20.239999999999998</v>
      </c>
      <c r="J2518" s="4">
        <v>1</v>
      </c>
      <c r="K2518" s="6">
        <v>7.89</v>
      </c>
    </row>
    <row r="2519" spans="1:11" x14ac:dyDescent="0.3">
      <c r="A2519" s="7">
        <v>42150</v>
      </c>
      <c r="B2519" s="4">
        <f>YEAR(SalesData[[#This Row],[Order Date]])</f>
        <v>2015</v>
      </c>
      <c r="C2519" s="4">
        <f>MONTH(SalesData[[#This Row],[Order Date]])</f>
        <v>5</v>
      </c>
      <c r="D2519" s="3" t="s">
        <v>820</v>
      </c>
      <c r="E2519" s="3" t="s">
        <v>10</v>
      </c>
      <c r="F2519" s="3" t="s">
        <v>34</v>
      </c>
      <c r="G2519" s="3" t="s">
        <v>35</v>
      </c>
      <c r="H2519" s="3" t="s">
        <v>231</v>
      </c>
      <c r="I2519" s="6">
        <v>105.69</v>
      </c>
      <c r="J2519" s="4">
        <v>1</v>
      </c>
      <c r="K2519" s="6">
        <v>-28.69</v>
      </c>
    </row>
    <row r="2520" spans="1:11" x14ac:dyDescent="0.3">
      <c r="A2520" s="7">
        <v>42150</v>
      </c>
      <c r="B2520" s="4">
        <f>YEAR(SalesData[[#This Row],[Order Date]])</f>
        <v>2015</v>
      </c>
      <c r="C2520" s="4">
        <f>MONTH(SalesData[[#This Row],[Order Date]])</f>
        <v>5</v>
      </c>
      <c r="D2520" s="3" t="s">
        <v>820</v>
      </c>
      <c r="E2520" s="3" t="s">
        <v>10</v>
      </c>
      <c r="F2520" s="3" t="s">
        <v>39</v>
      </c>
      <c r="G2520" s="3" t="s">
        <v>302</v>
      </c>
      <c r="H2520" s="3" t="s">
        <v>1217</v>
      </c>
      <c r="I2520" s="6">
        <v>399.54</v>
      </c>
      <c r="J2520" s="4">
        <v>2</v>
      </c>
      <c r="K2520" s="6">
        <v>-79.91</v>
      </c>
    </row>
    <row r="2521" spans="1:11" x14ac:dyDescent="0.3">
      <c r="A2521" s="7">
        <v>42150</v>
      </c>
      <c r="B2521" s="4">
        <f>YEAR(SalesData[[#This Row],[Order Date]])</f>
        <v>2015</v>
      </c>
      <c r="C2521" s="4">
        <f>MONTH(SalesData[[#This Row],[Order Date]])</f>
        <v>5</v>
      </c>
      <c r="D2521" s="3" t="s">
        <v>820</v>
      </c>
      <c r="E2521" s="3" t="s">
        <v>10</v>
      </c>
      <c r="F2521" s="3" t="s">
        <v>34</v>
      </c>
      <c r="G2521" s="3" t="s">
        <v>35</v>
      </c>
      <c r="H2521" s="3" t="s">
        <v>1575</v>
      </c>
      <c r="I2521" s="6">
        <v>104.93</v>
      </c>
      <c r="J2521" s="4">
        <v>5</v>
      </c>
      <c r="K2521" s="6">
        <v>-4.5</v>
      </c>
    </row>
    <row r="2522" spans="1:11" x14ac:dyDescent="0.3">
      <c r="A2522" s="7">
        <v>42152</v>
      </c>
      <c r="B2522" s="4">
        <f>YEAR(SalesData[[#This Row],[Order Date]])</f>
        <v>2015</v>
      </c>
      <c r="C2522" s="4">
        <f>MONTH(SalesData[[#This Row],[Order Date]])</f>
        <v>5</v>
      </c>
      <c r="D2522" s="3" t="s">
        <v>2083</v>
      </c>
      <c r="E2522" s="3" t="s">
        <v>164</v>
      </c>
      <c r="F2522" s="3" t="s">
        <v>11</v>
      </c>
      <c r="G2522" s="3" t="s">
        <v>24</v>
      </c>
      <c r="H2522" s="3" t="s">
        <v>2084</v>
      </c>
      <c r="I2522" s="6">
        <v>6.63</v>
      </c>
      <c r="J2522" s="4">
        <v>3</v>
      </c>
      <c r="K2522" s="6">
        <v>1.79</v>
      </c>
    </row>
    <row r="2523" spans="1:11" x14ac:dyDescent="0.3">
      <c r="A2523" s="7">
        <v>42152</v>
      </c>
      <c r="B2523" s="4">
        <f>YEAR(SalesData[[#This Row],[Order Date]])</f>
        <v>2015</v>
      </c>
      <c r="C2523" s="4">
        <f>MONTH(SalesData[[#This Row],[Order Date]])</f>
        <v>5</v>
      </c>
      <c r="D2523" s="3" t="s">
        <v>1178</v>
      </c>
      <c r="E2523" s="3" t="s">
        <v>149</v>
      </c>
      <c r="F2523" s="3" t="s">
        <v>11</v>
      </c>
      <c r="G2523" s="3" t="s">
        <v>24</v>
      </c>
      <c r="H2523" s="3" t="s">
        <v>1322</v>
      </c>
      <c r="I2523" s="6">
        <v>47.82</v>
      </c>
      <c r="J2523" s="4">
        <v>3</v>
      </c>
      <c r="K2523" s="6">
        <v>14.35</v>
      </c>
    </row>
    <row r="2524" spans="1:11" x14ac:dyDescent="0.3">
      <c r="A2524" s="7">
        <v>42152</v>
      </c>
      <c r="B2524" s="4">
        <f>YEAR(SalesData[[#This Row],[Order Date]])</f>
        <v>2015</v>
      </c>
      <c r="C2524" s="4">
        <f>MONTH(SalesData[[#This Row],[Order Date]])</f>
        <v>5</v>
      </c>
      <c r="D2524" s="3" t="s">
        <v>1178</v>
      </c>
      <c r="E2524" s="3" t="s">
        <v>149</v>
      </c>
      <c r="F2524" s="3" t="s">
        <v>11</v>
      </c>
      <c r="G2524" s="3" t="s">
        <v>16</v>
      </c>
      <c r="H2524" s="3" t="s">
        <v>1098</v>
      </c>
      <c r="I2524" s="6">
        <v>13.05</v>
      </c>
      <c r="J2524" s="4">
        <v>5</v>
      </c>
      <c r="K2524" s="6">
        <v>6</v>
      </c>
    </row>
    <row r="2525" spans="1:11" x14ac:dyDescent="0.3">
      <c r="A2525" s="7">
        <v>42152</v>
      </c>
      <c r="B2525" s="4">
        <f>YEAR(SalesData[[#This Row],[Order Date]])</f>
        <v>2015</v>
      </c>
      <c r="C2525" s="4">
        <f>MONTH(SalesData[[#This Row],[Order Date]])</f>
        <v>5</v>
      </c>
      <c r="D2525" s="3" t="s">
        <v>902</v>
      </c>
      <c r="E2525" s="3" t="s">
        <v>149</v>
      </c>
      <c r="F2525" s="3" t="s">
        <v>39</v>
      </c>
      <c r="G2525" s="3" t="s">
        <v>40</v>
      </c>
      <c r="H2525" s="3" t="s">
        <v>863</v>
      </c>
      <c r="I2525" s="6">
        <v>45.99</v>
      </c>
      <c r="J2525" s="4">
        <v>1</v>
      </c>
      <c r="K2525" s="6">
        <v>13.34</v>
      </c>
    </row>
    <row r="2526" spans="1:11" x14ac:dyDescent="0.3">
      <c r="A2526" s="7">
        <v>42152</v>
      </c>
      <c r="B2526" s="4">
        <f>YEAR(SalesData[[#This Row],[Order Date]])</f>
        <v>2015</v>
      </c>
      <c r="C2526" s="4">
        <f>MONTH(SalesData[[#This Row],[Order Date]])</f>
        <v>5</v>
      </c>
      <c r="D2526" s="3" t="s">
        <v>902</v>
      </c>
      <c r="E2526" s="3" t="s">
        <v>149</v>
      </c>
      <c r="F2526" s="3" t="s">
        <v>11</v>
      </c>
      <c r="G2526" s="3" t="s">
        <v>18</v>
      </c>
      <c r="H2526" s="3" t="s">
        <v>308</v>
      </c>
      <c r="I2526" s="6">
        <v>535.41</v>
      </c>
      <c r="J2526" s="4">
        <v>3</v>
      </c>
      <c r="K2526" s="6">
        <v>160.62</v>
      </c>
    </row>
    <row r="2527" spans="1:11" x14ac:dyDescent="0.3">
      <c r="A2527" s="7">
        <v>42152</v>
      </c>
      <c r="B2527" s="4">
        <f>YEAR(SalesData[[#This Row],[Order Date]])</f>
        <v>2015</v>
      </c>
      <c r="C2527" s="4">
        <f>MONTH(SalesData[[#This Row],[Order Date]])</f>
        <v>5</v>
      </c>
      <c r="D2527" s="3" t="s">
        <v>902</v>
      </c>
      <c r="E2527" s="3" t="s">
        <v>149</v>
      </c>
      <c r="F2527" s="3" t="s">
        <v>11</v>
      </c>
      <c r="G2527" s="3" t="s">
        <v>20</v>
      </c>
      <c r="H2527" s="3" t="s">
        <v>113</v>
      </c>
      <c r="I2527" s="6">
        <v>6.1</v>
      </c>
      <c r="J2527" s="4">
        <v>2</v>
      </c>
      <c r="K2527" s="6">
        <v>2.06</v>
      </c>
    </row>
    <row r="2528" spans="1:11" x14ac:dyDescent="0.3">
      <c r="A2528" s="7">
        <v>42152</v>
      </c>
      <c r="B2528" s="4">
        <f>YEAR(SalesData[[#This Row],[Order Date]])</f>
        <v>2015</v>
      </c>
      <c r="C2528" s="4">
        <f>MONTH(SalesData[[#This Row],[Order Date]])</f>
        <v>5</v>
      </c>
      <c r="D2528" s="3" t="s">
        <v>902</v>
      </c>
      <c r="E2528" s="3" t="s">
        <v>149</v>
      </c>
      <c r="F2528" s="3" t="s">
        <v>11</v>
      </c>
      <c r="G2528" s="3" t="s">
        <v>12</v>
      </c>
      <c r="H2528" s="3" t="s">
        <v>2085</v>
      </c>
      <c r="I2528" s="6">
        <v>45.36</v>
      </c>
      <c r="J2528" s="4">
        <v>7</v>
      </c>
      <c r="K2528" s="6">
        <v>21.77</v>
      </c>
    </row>
    <row r="2529" spans="1:11" x14ac:dyDescent="0.3">
      <c r="A2529" s="7">
        <v>42152</v>
      </c>
      <c r="B2529" s="4">
        <f>YEAR(SalesData[[#This Row],[Order Date]])</f>
        <v>2015</v>
      </c>
      <c r="C2529" s="4">
        <f>MONTH(SalesData[[#This Row],[Order Date]])</f>
        <v>5</v>
      </c>
      <c r="D2529" s="3" t="s">
        <v>1077</v>
      </c>
      <c r="E2529" s="3" t="s">
        <v>613</v>
      </c>
      <c r="F2529" s="3" t="s">
        <v>11</v>
      </c>
      <c r="G2529" s="3" t="s">
        <v>18</v>
      </c>
      <c r="H2529" s="3" t="s">
        <v>179</v>
      </c>
      <c r="I2529" s="6">
        <v>16.239999999999998</v>
      </c>
      <c r="J2529" s="4">
        <v>1</v>
      </c>
      <c r="K2529" s="6">
        <v>2.44</v>
      </c>
    </row>
    <row r="2530" spans="1:11" x14ac:dyDescent="0.3">
      <c r="A2530" s="7">
        <v>42152</v>
      </c>
      <c r="B2530" s="4">
        <f>YEAR(SalesData[[#This Row],[Order Date]])</f>
        <v>2015</v>
      </c>
      <c r="C2530" s="4">
        <f>MONTH(SalesData[[#This Row],[Order Date]])</f>
        <v>5</v>
      </c>
      <c r="D2530" s="3" t="s">
        <v>1077</v>
      </c>
      <c r="E2530" s="3" t="s">
        <v>613</v>
      </c>
      <c r="F2530" s="3" t="s">
        <v>11</v>
      </c>
      <c r="G2530" s="3" t="s">
        <v>18</v>
      </c>
      <c r="H2530" s="3" t="s">
        <v>1611</v>
      </c>
      <c r="I2530" s="6">
        <v>77.55</v>
      </c>
      <c r="J2530" s="4">
        <v>5</v>
      </c>
      <c r="K2530" s="6">
        <v>21.71</v>
      </c>
    </row>
    <row r="2531" spans="1:11" x14ac:dyDescent="0.3">
      <c r="A2531" s="7">
        <v>42153</v>
      </c>
      <c r="B2531" s="4">
        <f>YEAR(SalesData[[#This Row],[Order Date]])</f>
        <v>2015</v>
      </c>
      <c r="C2531" s="4">
        <f>MONTH(SalesData[[#This Row],[Order Date]])</f>
        <v>5</v>
      </c>
      <c r="D2531" s="3" t="s">
        <v>1004</v>
      </c>
      <c r="E2531" s="3" t="s">
        <v>164</v>
      </c>
      <c r="F2531" s="3" t="s">
        <v>11</v>
      </c>
      <c r="G2531" s="3" t="s">
        <v>12</v>
      </c>
      <c r="H2531" s="3" t="s">
        <v>2086</v>
      </c>
      <c r="I2531" s="6">
        <v>32.4</v>
      </c>
      <c r="J2531" s="4">
        <v>5</v>
      </c>
      <c r="K2531" s="6">
        <v>15.55</v>
      </c>
    </row>
    <row r="2532" spans="1:11" x14ac:dyDescent="0.3">
      <c r="A2532" s="7">
        <v>42153</v>
      </c>
      <c r="B2532" s="4">
        <f>YEAR(SalesData[[#This Row],[Order Date]])</f>
        <v>2015</v>
      </c>
      <c r="C2532" s="4">
        <f>MONTH(SalesData[[#This Row],[Order Date]])</f>
        <v>5</v>
      </c>
      <c r="D2532" s="3" t="s">
        <v>1004</v>
      </c>
      <c r="E2532" s="3" t="s">
        <v>164</v>
      </c>
      <c r="F2532" s="3" t="s">
        <v>11</v>
      </c>
      <c r="G2532" s="3" t="s">
        <v>18</v>
      </c>
      <c r="H2532" s="3" t="s">
        <v>1757</v>
      </c>
      <c r="I2532" s="6">
        <v>540.57000000000005</v>
      </c>
      <c r="J2532" s="4">
        <v>3</v>
      </c>
      <c r="K2532" s="6">
        <v>140.55000000000001</v>
      </c>
    </row>
    <row r="2533" spans="1:11" x14ac:dyDescent="0.3">
      <c r="A2533" s="7">
        <v>42153</v>
      </c>
      <c r="B2533" s="4">
        <f>YEAR(SalesData[[#This Row],[Order Date]])</f>
        <v>2015</v>
      </c>
      <c r="C2533" s="4">
        <f>MONTH(SalesData[[#This Row],[Order Date]])</f>
        <v>5</v>
      </c>
      <c r="D2533" s="3" t="s">
        <v>1004</v>
      </c>
      <c r="E2533" s="3" t="s">
        <v>164</v>
      </c>
      <c r="F2533" s="3" t="s">
        <v>11</v>
      </c>
      <c r="G2533" s="3" t="s">
        <v>20</v>
      </c>
      <c r="H2533" s="3" t="s">
        <v>847</v>
      </c>
      <c r="I2533" s="6">
        <v>167.76</v>
      </c>
      <c r="J2533" s="4">
        <v>5</v>
      </c>
      <c r="K2533" s="6">
        <v>62.91</v>
      </c>
    </row>
    <row r="2534" spans="1:11" x14ac:dyDescent="0.3">
      <c r="A2534" s="7">
        <v>42153</v>
      </c>
      <c r="B2534" s="4">
        <f>YEAR(SalesData[[#This Row],[Order Date]])</f>
        <v>2015</v>
      </c>
      <c r="C2534" s="4">
        <f>MONTH(SalesData[[#This Row],[Order Date]])</f>
        <v>5</v>
      </c>
      <c r="D2534" s="3" t="s">
        <v>1214</v>
      </c>
      <c r="E2534" s="3" t="s">
        <v>78</v>
      </c>
      <c r="F2534" s="3" t="s">
        <v>34</v>
      </c>
      <c r="G2534" s="3" t="s">
        <v>47</v>
      </c>
      <c r="H2534" s="3" t="s">
        <v>2087</v>
      </c>
      <c r="I2534" s="6">
        <v>41.57</v>
      </c>
      <c r="J2534" s="4">
        <v>4</v>
      </c>
      <c r="K2534" s="6">
        <v>-4.16</v>
      </c>
    </row>
    <row r="2535" spans="1:11" x14ac:dyDescent="0.3">
      <c r="A2535" s="7">
        <v>42153</v>
      </c>
      <c r="B2535" s="4">
        <f>YEAR(SalesData[[#This Row],[Order Date]])</f>
        <v>2015</v>
      </c>
      <c r="C2535" s="4">
        <f>MONTH(SalesData[[#This Row],[Order Date]])</f>
        <v>5</v>
      </c>
      <c r="D2535" s="3" t="s">
        <v>1214</v>
      </c>
      <c r="E2535" s="3" t="s">
        <v>78</v>
      </c>
      <c r="F2535" s="3" t="s">
        <v>34</v>
      </c>
      <c r="G2535" s="3" t="s">
        <v>35</v>
      </c>
      <c r="H2535" s="3" t="s">
        <v>231</v>
      </c>
      <c r="I2535" s="6">
        <v>317.06</v>
      </c>
      <c r="J2535" s="4">
        <v>3</v>
      </c>
      <c r="K2535" s="6">
        <v>-86.06</v>
      </c>
    </row>
    <row r="2536" spans="1:11" x14ac:dyDescent="0.3">
      <c r="A2536" s="7">
        <v>42153</v>
      </c>
      <c r="B2536" s="4">
        <f>YEAR(SalesData[[#This Row],[Order Date]])</f>
        <v>2015</v>
      </c>
      <c r="C2536" s="4">
        <f>MONTH(SalesData[[#This Row],[Order Date]])</f>
        <v>5</v>
      </c>
      <c r="D2536" s="3" t="s">
        <v>1214</v>
      </c>
      <c r="E2536" s="3" t="s">
        <v>78</v>
      </c>
      <c r="F2536" s="3" t="s">
        <v>11</v>
      </c>
      <c r="G2536" s="3" t="s">
        <v>43</v>
      </c>
      <c r="H2536" s="3" t="s">
        <v>1246</v>
      </c>
      <c r="I2536" s="6">
        <v>8.0399999999999991</v>
      </c>
      <c r="J2536" s="4">
        <v>5</v>
      </c>
      <c r="K2536" s="6">
        <v>2.91</v>
      </c>
    </row>
    <row r="2537" spans="1:11" x14ac:dyDescent="0.3">
      <c r="A2537" s="7">
        <v>42153</v>
      </c>
      <c r="B2537" s="4">
        <f>YEAR(SalesData[[#This Row],[Order Date]])</f>
        <v>2015</v>
      </c>
      <c r="C2537" s="4">
        <f>MONTH(SalesData[[#This Row],[Order Date]])</f>
        <v>5</v>
      </c>
      <c r="D2537" s="3" t="s">
        <v>1178</v>
      </c>
      <c r="E2537" s="3" t="s">
        <v>129</v>
      </c>
      <c r="F2537" s="3" t="s">
        <v>11</v>
      </c>
      <c r="G2537" s="3" t="s">
        <v>16</v>
      </c>
      <c r="H2537" s="3" t="s">
        <v>377</v>
      </c>
      <c r="I2537" s="6">
        <v>12.39</v>
      </c>
      <c r="J2537" s="4">
        <v>3</v>
      </c>
      <c r="K2537" s="6">
        <v>5.7</v>
      </c>
    </row>
    <row r="2538" spans="1:11" x14ac:dyDescent="0.3">
      <c r="A2538" s="7">
        <v>42153</v>
      </c>
      <c r="B2538" s="4">
        <f>YEAR(SalesData[[#This Row],[Order Date]])</f>
        <v>2015</v>
      </c>
      <c r="C2538" s="4">
        <f>MONTH(SalesData[[#This Row],[Order Date]])</f>
        <v>5</v>
      </c>
      <c r="D2538" s="3" t="s">
        <v>1793</v>
      </c>
      <c r="E2538" s="3" t="s">
        <v>78</v>
      </c>
      <c r="F2538" s="3" t="s">
        <v>11</v>
      </c>
      <c r="G2538" s="3" t="s">
        <v>12</v>
      </c>
      <c r="H2538" s="3" t="s">
        <v>625</v>
      </c>
      <c r="I2538" s="6">
        <v>85.06</v>
      </c>
      <c r="J2538" s="4">
        <v>3</v>
      </c>
      <c r="K2538" s="6">
        <v>28.71</v>
      </c>
    </row>
    <row r="2539" spans="1:11" x14ac:dyDescent="0.3">
      <c r="A2539" s="7">
        <v>42154</v>
      </c>
      <c r="B2539" s="4">
        <f>YEAR(SalesData[[#This Row],[Order Date]])</f>
        <v>2015</v>
      </c>
      <c r="C2539" s="4">
        <f>MONTH(SalesData[[#This Row],[Order Date]])</f>
        <v>5</v>
      </c>
      <c r="D2539" s="3" t="s">
        <v>2088</v>
      </c>
      <c r="E2539" s="3" t="s">
        <v>149</v>
      </c>
      <c r="F2539" s="3" t="s">
        <v>39</v>
      </c>
      <c r="G2539" s="3" t="s">
        <v>40</v>
      </c>
      <c r="H2539" s="3" t="s">
        <v>2089</v>
      </c>
      <c r="I2539" s="6">
        <v>239.97</v>
      </c>
      <c r="J2539" s="4">
        <v>3</v>
      </c>
      <c r="K2539" s="6">
        <v>2.4</v>
      </c>
    </row>
    <row r="2540" spans="1:11" x14ac:dyDescent="0.3">
      <c r="A2540" s="7">
        <v>42154</v>
      </c>
      <c r="B2540" s="4">
        <f>YEAR(SalesData[[#This Row],[Order Date]])</f>
        <v>2015</v>
      </c>
      <c r="C2540" s="4">
        <f>MONTH(SalesData[[#This Row],[Order Date]])</f>
        <v>5</v>
      </c>
      <c r="D2540" s="3" t="s">
        <v>2088</v>
      </c>
      <c r="E2540" s="3" t="s">
        <v>149</v>
      </c>
      <c r="F2540" s="3" t="s">
        <v>11</v>
      </c>
      <c r="G2540" s="3" t="s">
        <v>92</v>
      </c>
      <c r="H2540" s="3" t="s">
        <v>2090</v>
      </c>
      <c r="I2540" s="6">
        <v>160.32</v>
      </c>
      <c r="J2540" s="4">
        <v>2</v>
      </c>
      <c r="K2540" s="6">
        <v>44.89</v>
      </c>
    </row>
    <row r="2541" spans="1:11" x14ac:dyDescent="0.3">
      <c r="A2541" s="7">
        <v>42154</v>
      </c>
      <c r="B2541" s="4">
        <f>YEAR(SalesData[[#This Row],[Order Date]])</f>
        <v>2015</v>
      </c>
      <c r="C2541" s="4">
        <f>MONTH(SalesData[[#This Row],[Order Date]])</f>
        <v>5</v>
      </c>
      <c r="D2541" s="3" t="s">
        <v>2088</v>
      </c>
      <c r="E2541" s="3" t="s">
        <v>149</v>
      </c>
      <c r="F2541" s="3" t="s">
        <v>39</v>
      </c>
      <c r="G2541" s="3" t="s">
        <v>40</v>
      </c>
      <c r="H2541" s="3" t="s">
        <v>1953</v>
      </c>
      <c r="I2541" s="6">
        <v>128.85</v>
      </c>
      <c r="J2541" s="4">
        <v>3</v>
      </c>
      <c r="K2541" s="6">
        <v>3.87</v>
      </c>
    </row>
    <row r="2542" spans="1:11" x14ac:dyDescent="0.3">
      <c r="A2542" s="7">
        <v>42154</v>
      </c>
      <c r="B2542" s="4">
        <f>YEAR(SalesData[[#This Row],[Order Date]])</f>
        <v>2015</v>
      </c>
      <c r="C2542" s="4">
        <f>MONTH(SalesData[[#This Row],[Order Date]])</f>
        <v>5</v>
      </c>
      <c r="D2542" s="3" t="s">
        <v>2091</v>
      </c>
      <c r="E2542" s="3" t="s">
        <v>55</v>
      </c>
      <c r="F2542" s="3" t="s">
        <v>39</v>
      </c>
      <c r="G2542" s="3" t="s">
        <v>52</v>
      </c>
      <c r="H2542" s="3" t="s">
        <v>1874</v>
      </c>
      <c r="I2542" s="6">
        <v>151.96</v>
      </c>
      <c r="J2542" s="4">
        <v>4</v>
      </c>
      <c r="K2542" s="6">
        <v>36.47</v>
      </c>
    </row>
    <row r="2543" spans="1:11" x14ac:dyDescent="0.3">
      <c r="A2543" s="7">
        <v>42155</v>
      </c>
      <c r="B2543" s="4">
        <f>YEAR(SalesData[[#This Row],[Order Date]])</f>
        <v>2015</v>
      </c>
      <c r="C2543" s="4">
        <f>MONTH(SalesData[[#This Row],[Order Date]])</f>
        <v>5</v>
      </c>
      <c r="D2543" s="3" t="s">
        <v>536</v>
      </c>
      <c r="E2543" s="3" t="s">
        <v>27</v>
      </c>
      <c r="F2543" s="3" t="s">
        <v>11</v>
      </c>
      <c r="G2543" s="3" t="s">
        <v>12</v>
      </c>
      <c r="H2543" s="3" t="s">
        <v>1978</v>
      </c>
      <c r="I2543" s="6">
        <v>58.38</v>
      </c>
      <c r="J2543" s="4">
        <v>7</v>
      </c>
      <c r="K2543" s="6">
        <v>26.27</v>
      </c>
    </row>
    <row r="2544" spans="1:11" x14ac:dyDescent="0.3">
      <c r="A2544" s="7">
        <v>42155</v>
      </c>
      <c r="B2544" s="4">
        <f>YEAR(SalesData[[#This Row],[Order Date]])</f>
        <v>2015</v>
      </c>
      <c r="C2544" s="4">
        <f>MONTH(SalesData[[#This Row],[Order Date]])</f>
        <v>5</v>
      </c>
      <c r="D2544" s="3" t="s">
        <v>536</v>
      </c>
      <c r="E2544" s="3" t="s">
        <v>27</v>
      </c>
      <c r="F2544" s="3" t="s">
        <v>11</v>
      </c>
      <c r="G2544" s="3" t="s">
        <v>12</v>
      </c>
      <c r="H2544" s="3" t="s">
        <v>1967</v>
      </c>
      <c r="I2544" s="6">
        <v>105.52</v>
      </c>
      <c r="J2544" s="4">
        <v>4</v>
      </c>
      <c r="K2544" s="6">
        <v>48.54</v>
      </c>
    </row>
    <row r="2545" spans="1:11" x14ac:dyDescent="0.3">
      <c r="A2545" s="7">
        <v>42155</v>
      </c>
      <c r="B2545" s="4">
        <f>YEAR(SalesData[[#This Row],[Order Date]])</f>
        <v>2015</v>
      </c>
      <c r="C2545" s="4">
        <f>MONTH(SalesData[[#This Row],[Order Date]])</f>
        <v>5</v>
      </c>
      <c r="D2545" s="3" t="s">
        <v>536</v>
      </c>
      <c r="E2545" s="3" t="s">
        <v>27</v>
      </c>
      <c r="F2545" s="3" t="s">
        <v>11</v>
      </c>
      <c r="G2545" s="3" t="s">
        <v>18</v>
      </c>
      <c r="H2545" s="3" t="s">
        <v>2092</v>
      </c>
      <c r="I2545" s="6">
        <v>80.88</v>
      </c>
      <c r="J2545" s="4">
        <v>6</v>
      </c>
      <c r="K2545" s="6">
        <v>21.03</v>
      </c>
    </row>
    <row r="2546" spans="1:11" x14ac:dyDescent="0.3">
      <c r="A2546" s="7">
        <v>42155</v>
      </c>
      <c r="B2546" s="4">
        <f>YEAR(SalesData[[#This Row],[Order Date]])</f>
        <v>2015</v>
      </c>
      <c r="C2546" s="4">
        <f>MONTH(SalesData[[#This Row],[Order Date]])</f>
        <v>5</v>
      </c>
      <c r="D2546" s="3" t="s">
        <v>343</v>
      </c>
      <c r="E2546" s="3" t="s">
        <v>613</v>
      </c>
      <c r="F2546" s="3" t="s">
        <v>34</v>
      </c>
      <c r="G2546" s="3" t="s">
        <v>47</v>
      </c>
      <c r="H2546" s="3" t="s">
        <v>761</v>
      </c>
      <c r="I2546" s="6">
        <v>22.2</v>
      </c>
      <c r="J2546" s="4">
        <v>6</v>
      </c>
      <c r="K2546" s="6">
        <v>9.1</v>
      </c>
    </row>
    <row r="2547" spans="1:11" x14ac:dyDescent="0.3">
      <c r="A2547" s="7">
        <v>42155</v>
      </c>
      <c r="B2547" s="4">
        <f>YEAR(SalesData[[#This Row],[Order Date]])</f>
        <v>2015</v>
      </c>
      <c r="C2547" s="4">
        <f>MONTH(SalesData[[#This Row],[Order Date]])</f>
        <v>5</v>
      </c>
      <c r="D2547" s="3" t="s">
        <v>217</v>
      </c>
      <c r="E2547" s="3" t="s">
        <v>296</v>
      </c>
      <c r="F2547" s="3" t="s">
        <v>34</v>
      </c>
      <c r="G2547" s="3" t="s">
        <v>74</v>
      </c>
      <c r="H2547" s="3" t="s">
        <v>2093</v>
      </c>
      <c r="I2547" s="6">
        <v>1406.86</v>
      </c>
      <c r="J2547" s="4">
        <v>7</v>
      </c>
      <c r="K2547" s="6">
        <v>140.69</v>
      </c>
    </row>
    <row r="2548" spans="1:11" x14ac:dyDescent="0.3">
      <c r="A2548" s="7">
        <v>42155</v>
      </c>
      <c r="B2548" s="4">
        <f>YEAR(SalesData[[#This Row],[Order Date]])</f>
        <v>2015</v>
      </c>
      <c r="C2548" s="4">
        <f>MONTH(SalesData[[#This Row],[Order Date]])</f>
        <v>5</v>
      </c>
      <c r="D2548" s="3" t="s">
        <v>217</v>
      </c>
      <c r="E2548" s="3" t="s">
        <v>296</v>
      </c>
      <c r="F2548" s="3" t="s">
        <v>11</v>
      </c>
      <c r="G2548" s="3" t="s">
        <v>16</v>
      </c>
      <c r="H2548" s="3" t="s">
        <v>2077</v>
      </c>
      <c r="I2548" s="6">
        <v>15.75</v>
      </c>
      <c r="J2548" s="4">
        <v>5</v>
      </c>
      <c r="K2548" s="6">
        <v>7.56</v>
      </c>
    </row>
    <row r="2549" spans="1:11" x14ac:dyDescent="0.3">
      <c r="A2549" s="7">
        <v>42155</v>
      </c>
      <c r="B2549" s="4">
        <f>YEAR(SalesData[[#This Row],[Order Date]])</f>
        <v>2015</v>
      </c>
      <c r="C2549" s="4">
        <f>MONTH(SalesData[[#This Row],[Order Date]])</f>
        <v>5</v>
      </c>
      <c r="D2549" s="3" t="s">
        <v>217</v>
      </c>
      <c r="E2549" s="3" t="s">
        <v>296</v>
      </c>
      <c r="F2549" s="3" t="s">
        <v>11</v>
      </c>
      <c r="G2549" s="3" t="s">
        <v>18</v>
      </c>
      <c r="H2549" s="3" t="s">
        <v>1410</v>
      </c>
      <c r="I2549" s="6">
        <v>323.10000000000002</v>
      </c>
      <c r="J2549" s="4">
        <v>2</v>
      </c>
      <c r="K2549" s="6">
        <v>61.39</v>
      </c>
    </row>
    <row r="2550" spans="1:11" x14ac:dyDescent="0.3">
      <c r="A2550" s="7">
        <v>42155</v>
      </c>
      <c r="B2550" s="4">
        <f>YEAR(SalesData[[#This Row],[Order Date]])</f>
        <v>2015</v>
      </c>
      <c r="C2550" s="4">
        <f>MONTH(SalesData[[#This Row],[Order Date]])</f>
        <v>5</v>
      </c>
      <c r="D2550" s="3" t="s">
        <v>2094</v>
      </c>
      <c r="E2550" s="3" t="s">
        <v>315</v>
      </c>
      <c r="F2550" s="3" t="s">
        <v>34</v>
      </c>
      <c r="G2550" s="3" t="s">
        <v>35</v>
      </c>
      <c r="H2550" s="3" t="s">
        <v>650</v>
      </c>
      <c r="I2550" s="6">
        <v>2567.84</v>
      </c>
      <c r="J2550" s="4">
        <v>8</v>
      </c>
      <c r="K2550" s="6">
        <v>770.35</v>
      </c>
    </row>
    <row r="2551" spans="1:11" x14ac:dyDescent="0.3">
      <c r="A2551" s="7">
        <v>42155</v>
      </c>
      <c r="B2551" s="4">
        <f>YEAR(SalesData[[#This Row],[Order Date]])</f>
        <v>2015</v>
      </c>
      <c r="C2551" s="4">
        <f>MONTH(SalesData[[#This Row],[Order Date]])</f>
        <v>5</v>
      </c>
      <c r="D2551" s="3" t="s">
        <v>2095</v>
      </c>
      <c r="E2551" s="3" t="s">
        <v>245</v>
      </c>
      <c r="F2551" s="3" t="s">
        <v>11</v>
      </c>
      <c r="G2551" s="3" t="s">
        <v>24</v>
      </c>
      <c r="H2551" s="3" t="s">
        <v>577</v>
      </c>
      <c r="I2551" s="6">
        <v>10.27</v>
      </c>
      <c r="J2551" s="4">
        <v>3</v>
      </c>
      <c r="K2551" s="6">
        <v>1.1599999999999999</v>
      </c>
    </row>
    <row r="2552" spans="1:11" x14ac:dyDescent="0.3">
      <c r="A2552" s="7">
        <v>42155</v>
      </c>
      <c r="B2552" s="4">
        <f>YEAR(SalesData[[#This Row],[Order Date]])</f>
        <v>2015</v>
      </c>
      <c r="C2552" s="4">
        <f>MONTH(SalesData[[#This Row],[Order Date]])</f>
        <v>5</v>
      </c>
      <c r="D2552" s="3" t="s">
        <v>803</v>
      </c>
      <c r="E2552" s="3" t="s">
        <v>149</v>
      </c>
      <c r="F2552" s="3" t="s">
        <v>11</v>
      </c>
      <c r="G2552" s="3" t="s">
        <v>43</v>
      </c>
      <c r="H2552" s="3" t="s">
        <v>2096</v>
      </c>
      <c r="I2552" s="6">
        <v>7.56</v>
      </c>
      <c r="J2552" s="4">
        <v>6</v>
      </c>
      <c r="K2552" s="6">
        <v>0.3</v>
      </c>
    </row>
    <row r="2553" spans="1:11" x14ac:dyDescent="0.3">
      <c r="A2553" s="7">
        <v>42155</v>
      </c>
      <c r="B2553" s="4">
        <f>YEAR(SalesData[[#This Row],[Order Date]])</f>
        <v>2015</v>
      </c>
      <c r="C2553" s="4">
        <f>MONTH(SalesData[[#This Row],[Order Date]])</f>
        <v>5</v>
      </c>
      <c r="D2553" s="3" t="s">
        <v>1167</v>
      </c>
      <c r="E2553" s="3" t="s">
        <v>15</v>
      </c>
      <c r="F2553" s="3" t="s">
        <v>11</v>
      </c>
      <c r="G2553" s="3" t="s">
        <v>16</v>
      </c>
      <c r="H2553" s="3" t="s">
        <v>348</v>
      </c>
      <c r="I2553" s="6">
        <v>5.9</v>
      </c>
      <c r="J2553" s="4">
        <v>2</v>
      </c>
      <c r="K2553" s="6">
        <v>1.99</v>
      </c>
    </row>
    <row r="2554" spans="1:11" x14ac:dyDescent="0.3">
      <c r="A2554" s="7">
        <v>42155</v>
      </c>
      <c r="B2554" s="4">
        <f>YEAR(SalesData[[#This Row],[Order Date]])</f>
        <v>2015</v>
      </c>
      <c r="C2554" s="4">
        <f>MONTH(SalesData[[#This Row],[Order Date]])</f>
        <v>5</v>
      </c>
      <c r="D2554" s="3" t="s">
        <v>1167</v>
      </c>
      <c r="E2554" s="3" t="s">
        <v>15</v>
      </c>
      <c r="F2554" s="3" t="s">
        <v>11</v>
      </c>
      <c r="G2554" s="3" t="s">
        <v>12</v>
      </c>
      <c r="H2554" s="3" t="s">
        <v>1158</v>
      </c>
      <c r="I2554" s="6">
        <v>173.49</v>
      </c>
      <c r="J2554" s="4">
        <v>7</v>
      </c>
      <c r="K2554" s="6">
        <v>54.22</v>
      </c>
    </row>
    <row r="2555" spans="1:11" x14ac:dyDescent="0.3">
      <c r="A2555" s="7">
        <v>42155</v>
      </c>
      <c r="B2555" s="4">
        <f>YEAR(SalesData[[#This Row],[Order Date]])</f>
        <v>2015</v>
      </c>
      <c r="C2555" s="4">
        <f>MONTH(SalesData[[#This Row],[Order Date]])</f>
        <v>5</v>
      </c>
      <c r="D2555" s="3" t="s">
        <v>1167</v>
      </c>
      <c r="E2555" s="3" t="s">
        <v>15</v>
      </c>
      <c r="F2555" s="3" t="s">
        <v>34</v>
      </c>
      <c r="G2555" s="3" t="s">
        <v>47</v>
      </c>
      <c r="H2555" s="3" t="s">
        <v>2097</v>
      </c>
      <c r="I2555" s="6">
        <v>51.56</v>
      </c>
      <c r="J2555" s="4">
        <v>2</v>
      </c>
      <c r="K2555" s="6">
        <v>-61.87</v>
      </c>
    </row>
    <row r="2556" spans="1:11" x14ac:dyDescent="0.3">
      <c r="A2556" s="7">
        <v>42155</v>
      </c>
      <c r="B2556" s="4">
        <f>YEAR(SalesData[[#This Row],[Order Date]])</f>
        <v>2015</v>
      </c>
      <c r="C2556" s="4">
        <f>MONTH(SalesData[[#This Row],[Order Date]])</f>
        <v>5</v>
      </c>
      <c r="D2556" s="3" t="s">
        <v>1167</v>
      </c>
      <c r="E2556" s="3" t="s">
        <v>15</v>
      </c>
      <c r="F2556" s="3" t="s">
        <v>11</v>
      </c>
      <c r="G2556" s="3" t="s">
        <v>20</v>
      </c>
      <c r="H2556" s="3" t="s">
        <v>118</v>
      </c>
      <c r="I2556" s="6">
        <v>3.56</v>
      </c>
      <c r="J2556" s="4">
        <v>3</v>
      </c>
      <c r="K2556" s="6">
        <v>-6.24</v>
      </c>
    </row>
    <row r="2557" spans="1:11" x14ac:dyDescent="0.3">
      <c r="A2557" s="7">
        <v>42155</v>
      </c>
      <c r="B2557" s="4">
        <f>YEAR(SalesData[[#This Row],[Order Date]])</f>
        <v>2015</v>
      </c>
      <c r="C2557" s="4">
        <f>MONTH(SalesData[[#This Row],[Order Date]])</f>
        <v>5</v>
      </c>
      <c r="D2557" s="3" t="s">
        <v>1741</v>
      </c>
      <c r="E2557" s="3" t="s">
        <v>177</v>
      </c>
      <c r="F2557" s="3" t="s">
        <v>11</v>
      </c>
      <c r="G2557" s="3" t="s">
        <v>12</v>
      </c>
      <c r="H2557" s="3" t="s">
        <v>312</v>
      </c>
      <c r="I2557" s="6">
        <v>274.8</v>
      </c>
      <c r="J2557" s="4">
        <v>5</v>
      </c>
      <c r="K2557" s="6">
        <v>134.65</v>
      </c>
    </row>
    <row r="2558" spans="1:11" x14ac:dyDescent="0.3">
      <c r="A2558" s="7">
        <v>42155</v>
      </c>
      <c r="B2558" s="4">
        <f>YEAR(SalesData[[#This Row],[Order Date]])</f>
        <v>2015</v>
      </c>
      <c r="C2558" s="4">
        <f>MONTH(SalesData[[#This Row],[Order Date]])</f>
        <v>5</v>
      </c>
      <c r="D2558" s="3" t="s">
        <v>1741</v>
      </c>
      <c r="E2558" s="3" t="s">
        <v>177</v>
      </c>
      <c r="F2558" s="3" t="s">
        <v>11</v>
      </c>
      <c r="G2558" s="3" t="s">
        <v>18</v>
      </c>
      <c r="H2558" s="3" t="s">
        <v>1400</v>
      </c>
      <c r="I2558" s="6">
        <v>62.18</v>
      </c>
      <c r="J2558" s="4">
        <v>1</v>
      </c>
      <c r="K2558" s="6">
        <v>16.79</v>
      </c>
    </row>
    <row r="2559" spans="1:11" x14ac:dyDescent="0.3">
      <c r="A2559" s="7">
        <v>42155</v>
      </c>
      <c r="B2559" s="4">
        <f>YEAR(SalesData[[#This Row],[Order Date]])</f>
        <v>2015</v>
      </c>
      <c r="C2559" s="4">
        <f>MONTH(SalesData[[#This Row],[Order Date]])</f>
        <v>5</v>
      </c>
      <c r="D2559" s="3" t="s">
        <v>1741</v>
      </c>
      <c r="E2559" s="3" t="s">
        <v>177</v>
      </c>
      <c r="F2559" s="3" t="s">
        <v>34</v>
      </c>
      <c r="G2559" s="3" t="s">
        <v>47</v>
      </c>
      <c r="H2559" s="3" t="s">
        <v>137</v>
      </c>
      <c r="I2559" s="6">
        <v>8.2799999999999994</v>
      </c>
      <c r="J2559" s="4">
        <v>2</v>
      </c>
      <c r="K2559" s="6">
        <v>2.98</v>
      </c>
    </row>
    <row r="2560" spans="1:11" x14ac:dyDescent="0.3">
      <c r="A2560" s="7">
        <v>42156</v>
      </c>
      <c r="B2560" s="4">
        <f>YEAR(SalesData[[#This Row],[Order Date]])</f>
        <v>2015</v>
      </c>
      <c r="C2560" s="4">
        <f>MONTH(SalesData[[#This Row],[Order Date]])</f>
        <v>6</v>
      </c>
      <c r="D2560" s="3" t="s">
        <v>445</v>
      </c>
      <c r="E2560" s="3" t="s">
        <v>10</v>
      </c>
      <c r="F2560" s="3" t="s">
        <v>11</v>
      </c>
      <c r="G2560" s="3" t="s">
        <v>20</v>
      </c>
      <c r="H2560" s="3" t="s">
        <v>1302</v>
      </c>
      <c r="I2560" s="6">
        <v>5.73</v>
      </c>
      <c r="J2560" s="4">
        <v>8</v>
      </c>
      <c r="K2560" s="6">
        <v>-9.16</v>
      </c>
    </row>
    <row r="2561" spans="1:11" x14ac:dyDescent="0.3">
      <c r="A2561" s="7">
        <v>42156</v>
      </c>
      <c r="B2561" s="4">
        <f>YEAR(SalesData[[#This Row],[Order Date]])</f>
        <v>2015</v>
      </c>
      <c r="C2561" s="4">
        <f>MONTH(SalesData[[#This Row],[Order Date]])</f>
        <v>6</v>
      </c>
      <c r="D2561" s="3" t="s">
        <v>445</v>
      </c>
      <c r="E2561" s="3" t="s">
        <v>10</v>
      </c>
      <c r="F2561" s="3" t="s">
        <v>11</v>
      </c>
      <c r="G2561" s="3" t="s">
        <v>12</v>
      </c>
      <c r="H2561" s="3" t="s">
        <v>2098</v>
      </c>
      <c r="I2561" s="6">
        <v>42.24</v>
      </c>
      <c r="J2561" s="4">
        <v>10</v>
      </c>
      <c r="K2561" s="6">
        <v>13.2</v>
      </c>
    </row>
    <row r="2562" spans="1:11" x14ac:dyDescent="0.3">
      <c r="A2562" s="7">
        <v>42156</v>
      </c>
      <c r="B2562" s="4">
        <f>YEAR(SalesData[[#This Row],[Order Date]])</f>
        <v>2015</v>
      </c>
      <c r="C2562" s="4">
        <f>MONTH(SalesData[[#This Row],[Order Date]])</f>
        <v>6</v>
      </c>
      <c r="D2562" s="3" t="s">
        <v>244</v>
      </c>
      <c r="E2562" s="3" t="s">
        <v>110</v>
      </c>
      <c r="F2562" s="3" t="s">
        <v>39</v>
      </c>
      <c r="G2562" s="3" t="s">
        <v>40</v>
      </c>
      <c r="H2562" s="3" t="s">
        <v>1352</v>
      </c>
      <c r="I2562" s="6">
        <v>299.98</v>
      </c>
      <c r="J2562" s="4">
        <v>2</v>
      </c>
      <c r="K2562" s="6">
        <v>83.99</v>
      </c>
    </row>
    <row r="2563" spans="1:11" x14ac:dyDescent="0.3">
      <c r="A2563" s="7">
        <v>42156</v>
      </c>
      <c r="B2563" s="4">
        <f>YEAR(SalesData[[#This Row],[Order Date]])</f>
        <v>2015</v>
      </c>
      <c r="C2563" s="4">
        <f>MONTH(SalesData[[#This Row],[Order Date]])</f>
        <v>6</v>
      </c>
      <c r="D2563" s="3" t="s">
        <v>244</v>
      </c>
      <c r="E2563" s="3" t="s">
        <v>110</v>
      </c>
      <c r="F2563" s="3" t="s">
        <v>11</v>
      </c>
      <c r="G2563" s="3" t="s">
        <v>20</v>
      </c>
      <c r="H2563" s="3" t="s">
        <v>269</v>
      </c>
      <c r="I2563" s="6">
        <v>403.68</v>
      </c>
      <c r="J2563" s="4">
        <v>6</v>
      </c>
      <c r="K2563" s="6">
        <v>181.66</v>
      </c>
    </row>
    <row r="2564" spans="1:11" x14ac:dyDescent="0.3">
      <c r="A2564" s="7">
        <v>42156</v>
      </c>
      <c r="B2564" s="4">
        <f>YEAR(SalesData[[#This Row],[Order Date]])</f>
        <v>2015</v>
      </c>
      <c r="C2564" s="4">
        <f>MONTH(SalesData[[#This Row],[Order Date]])</f>
        <v>6</v>
      </c>
      <c r="D2564" s="3" t="s">
        <v>244</v>
      </c>
      <c r="E2564" s="3" t="s">
        <v>110</v>
      </c>
      <c r="F2564" s="3" t="s">
        <v>39</v>
      </c>
      <c r="G2564" s="3" t="s">
        <v>40</v>
      </c>
      <c r="H2564" s="3" t="s">
        <v>2050</v>
      </c>
      <c r="I2564" s="6">
        <v>41.9</v>
      </c>
      <c r="J2564" s="4">
        <v>2</v>
      </c>
      <c r="K2564" s="6">
        <v>11.73</v>
      </c>
    </row>
    <row r="2565" spans="1:11" x14ac:dyDescent="0.3">
      <c r="A2565" s="7">
        <v>42156</v>
      </c>
      <c r="B2565" s="4">
        <f>YEAR(SalesData[[#This Row],[Order Date]])</f>
        <v>2015</v>
      </c>
      <c r="C2565" s="4">
        <f>MONTH(SalesData[[#This Row],[Order Date]])</f>
        <v>6</v>
      </c>
      <c r="D2565" s="3" t="s">
        <v>244</v>
      </c>
      <c r="E2565" s="3" t="s">
        <v>110</v>
      </c>
      <c r="F2565" s="3" t="s">
        <v>11</v>
      </c>
      <c r="G2565" s="3" t="s">
        <v>16</v>
      </c>
      <c r="H2565" s="3" t="s">
        <v>2099</v>
      </c>
      <c r="I2565" s="6">
        <v>28.91</v>
      </c>
      <c r="J2565" s="4">
        <v>7</v>
      </c>
      <c r="K2565" s="6">
        <v>13.3</v>
      </c>
    </row>
    <row r="2566" spans="1:11" x14ac:dyDescent="0.3">
      <c r="A2566" s="7">
        <v>42156</v>
      </c>
      <c r="B2566" s="4">
        <f>YEAR(SalesData[[#This Row],[Order Date]])</f>
        <v>2015</v>
      </c>
      <c r="C2566" s="4">
        <f>MONTH(SalesData[[#This Row],[Order Date]])</f>
        <v>6</v>
      </c>
      <c r="D2566" s="3" t="s">
        <v>2100</v>
      </c>
      <c r="E2566" s="3" t="s">
        <v>27</v>
      </c>
      <c r="F2566" s="3" t="s">
        <v>11</v>
      </c>
      <c r="G2566" s="3" t="s">
        <v>12</v>
      </c>
      <c r="H2566" s="3" t="s">
        <v>1418</v>
      </c>
      <c r="I2566" s="6">
        <v>11.76</v>
      </c>
      <c r="J2566" s="4">
        <v>2</v>
      </c>
      <c r="K2566" s="6">
        <v>5.76</v>
      </c>
    </row>
    <row r="2567" spans="1:11" x14ac:dyDescent="0.3">
      <c r="A2567" s="7">
        <v>42159</v>
      </c>
      <c r="B2567" s="4">
        <f>YEAR(SalesData[[#This Row],[Order Date]])</f>
        <v>2015</v>
      </c>
      <c r="C2567" s="4">
        <f>MONTH(SalesData[[#This Row],[Order Date]])</f>
        <v>6</v>
      </c>
      <c r="D2567" s="3" t="s">
        <v>590</v>
      </c>
      <c r="E2567" s="3" t="s">
        <v>164</v>
      </c>
      <c r="F2567" s="3" t="s">
        <v>11</v>
      </c>
      <c r="G2567" s="3" t="s">
        <v>16</v>
      </c>
      <c r="H2567" s="3" t="s">
        <v>348</v>
      </c>
      <c r="I2567" s="6">
        <v>7.38</v>
      </c>
      <c r="J2567" s="4">
        <v>2</v>
      </c>
      <c r="K2567" s="6">
        <v>3.47</v>
      </c>
    </row>
    <row r="2568" spans="1:11" x14ac:dyDescent="0.3">
      <c r="A2568" s="7">
        <v>42159</v>
      </c>
      <c r="B2568" s="4">
        <f>YEAR(SalesData[[#This Row],[Order Date]])</f>
        <v>2015</v>
      </c>
      <c r="C2568" s="4">
        <f>MONTH(SalesData[[#This Row],[Order Date]])</f>
        <v>6</v>
      </c>
      <c r="D2568" s="3" t="s">
        <v>590</v>
      </c>
      <c r="E2568" s="3" t="s">
        <v>164</v>
      </c>
      <c r="F2568" s="3" t="s">
        <v>11</v>
      </c>
      <c r="G2568" s="3" t="s">
        <v>24</v>
      </c>
      <c r="H2568" s="3" t="s">
        <v>353</v>
      </c>
      <c r="I2568" s="6">
        <v>9.26</v>
      </c>
      <c r="J2568" s="4">
        <v>2</v>
      </c>
      <c r="K2568" s="6">
        <v>3.06</v>
      </c>
    </row>
    <row r="2569" spans="1:11" x14ac:dyDescent="0.3">
      <c r="A2569" s="7">
        <v>42159</v>
      </c>
      <c r="B2569" s="4">
        <f>YEAR(SalesData[[#This Row],[Order Date]])</f>
        <v>2015</v>
      </c>
      <c r="C2569" s="4">
        <f>MONTH(SalesData[[#This Row],[Order Date]])</f>
        <v>6</v>
      </c>
      <c r="D2569" s="3" t="s">
        <v>1557</v>
      </c>
      <c r="E2569" s="3" t="s">
        <v>149</v>
      </c>
      <c r="F2569" s="3" t="s">
        <v>11</v>
      </c>
      <c r="G2569" s="3" t="s">
        <v>12</v>
      </c>
      <c r="H2569" s="3" t="s">
        <v>985</v>
      </c>
      <c r="I2569" s="6">
        <v>30.44</v>
      </c>
      <c r="J2569" s="4">
        <v>4</v>
      </c>
      <c r="K2569" s="6">
        <v>14.31</v>
      </c>
    </row>
    <row r="2570" spans="1:11" x14ac:dyDescent="0.3">
      <c r="A2570" s="7">
        <v>42159</v>
      </c>
      <c r="B2570" s="4">
        <f>YEAR(SalesData[[#This Row],[Order Date]])</f>
        <v>2015</v>
      </c>
      <c r="C2570" s="4">
        <f>MONTH(SalesData[[#This Row],[Order Date]])</f>
        <v>6</v>
      </c>
      <c r="D2570" s="3" t="s">
        <v>1557</v>
      </c>
      <c r="E2570" s="3" t="s">
        <v>149</v>
      </c>
      <c r="F2570" s="3" t="s">
        <v>34</v>
      </c>
      <c r="G2570" s="3" t="s">
        <v>47</v>
      </c>
      <c r="H2570" s="3" t="s">
        <v>1861</v>
      </c>
      <c r="I2570" s="6">
        <v>35.28</v>
      </c>
      <c r="J2570" s="4">
        <v>3</v>
      </c>
      <c r="K2570" s="6">
        <v>12</v>
      </c>
    </row>
    <row r="2571" spans="1:11" x14ac:dyDescent="0.3">
      <c r="A2571" s="7">
        <v>42159</v>
      </c>
      <c r="B2571" s="4">
        <f>YEAR(SalesData[[#This Row],[Order Date]])</f>
        <v>2015</v>
      </c>
      <c r="C2571" s="4">
        <f>MONTH(SalesData[[#This Row],[Order Date]])</f>
        <v>6</v>
      </c>
      <c r="D2571" s="3" t="s">
        <v>2101</v>
      </c>
      <c r="E2571" s="3" t="s">
        <v>27</v>
      </c>
      <c r="F2571" s="3" t="s">
        <v>39</v>
      </c>
      <c r="G2571" s="3" t="s">
        <v>52</v>
      </c>
      <c r="H2571" s="3" t="s">
        <v>508</v>
      </c>
      <c r="I2571" s="6">
        <v>119.98</v>
      </c>
      <c r="J2571" s="4">
        <v>2</v>
      </c>
      <c r="K2571" s="6">
        <v>35.99</v>
      </c>
    </row>
    <row r="2572" spans="1:11" x14ac:dyDescent="0.3">
      <c r="A2572" s="7">
        <v>42159</v>
      </c>
      <c r="B2572" s="4">
        <f>YEAR(SalesData[[#This Row],[Order Date]])</f>
        <v>2015</v>
      </c>
      <c r="C2572" s="4">
        <f>MONTH(SalesData[[#This Row],[Order Date]])</f>
        <v>6</v>
      </c>
      <c r="D2572" s="3" t="s">
        <v>2101</v>
      </c>
      <c r="E2572" s="3" t="s">
        <v>27</v>
      </c>
      <c r="F2572" s="3" t="s">
        <v>39</v>
      </c>
      <c r="G2572" s="3" t="s">
        <v>52</v>
      </c>
      <c r="H2572" s="3" t="s">
        <v>2102</v>
      </c>
      <c r="I2572" s="6">
        <v>989.97</v>
      </c>
      <c r="J2572" s="4">
        <v>3</v>
      </c>
      <c r="K2572" s="6">
        <v>395.99</v>
      </c>
    </row>
    <row r="2573" spans="1:11" x14ac:dyDescent="0.3">
      <c r="A2573" s="7">
        <v>42160</v>
      </c>
      <c r="B2573" s="4">
        <f>YEAR(SalesData[[#This Row],[Order Date]])</f>
        <v>2015</v>
      </c>
      <c r="C2573" s="4">
        <f>MONTH(SalesData[[#This Row],[Order Date]])</f>
        <v>6</v>
      </c>
      <c r="D2573" s="3" t="s">
        <v>1946</v>
      </c>
      <c r="E2573" s="3" t="s">
        <v>149</v>
      </c>
      <c r="F2573" s="3" t="s">
        <v>34</v>
      </c>
      <c r="G2573" s="3" t="s">
        <v>35</v>
      </c>
      <c r="H2573" s="3" t="s">
        <v>994</v>
      </c>
      <c r="I2573" s="6">
        <v>1522.64</v>
      </c>
      <c r="J2573" s="4">
        <v>9</v>
      </c>
      <c r="K2573" s="6">
        <v>169.18</v>
      </c>
    </row>
    <row r="2574" spans="1:11" x14ac:dyDescent="0.3">
      <c r="A2574" s="7">
        <v>42160</v>
      </c>
      <c r="B2574" s="4">
        <f>YEAR(SalesData[[#This Row],[Order Date]])</f>
        <v>2015</v>
      </c>
      <c r="C2574" s="4">
        <f>MONTH(SalesData[[#This Row],[Order Date]])</f>
        <v>6</v>
      </c>
      <c r="D2574" s="3" t="s">
        <v>2103</v>
      </c>
      <c r="E2574" s="3" t="s">
        <v>186</v>
      </c>
      <c r="F2574" s="3" t="s">
        <v>11</v>
      </c>
      <c r="G2574" s="3" t="s">
        <v>12</v>
      </c>
      <c r="H2574" s="3" t="s">
        <v>1857</v>
      </c>
      <c r="I2574" s="6">
        <v>10.56</v>
      </c>
      <c r="J2574" s="4">
        <v>2</v>
      </c>
      <c r="K2574" s="6">
        <v>4.75</v>
      </c>
    </row>
    <row r="2575" spans="1:11" x14ac:dyDescent="0.3">
      <c r="A2575" s="7">
        <v>42162</v>
      </c>
      <c r="B2575" s="4">
        <f>YEAR(SalesData[[#This Row],[Order Date]])</f>
        <v>2015</v>
      </c>
      <c r="C2575" s="4">
        <f>MONTH(SalesData[[#This Row],[Order Date]])</f>
        <v>6</v>
      </c>
      <c r="D2575" s="3" t="s">
        <v>2104</v>
      </c>
      <c r="E2575" s="3" t="s">
        <v>27</v>
      </c>
      <c r="F2575" s="3" t="s">
        <v>11</v>
      </c>
      <c r="G2575" s="3" t="s">
        <v>20</v>
      </c>
      <c r="H2575" s="3" t="s">
        <v>67</v>
      </c>
      <c r="I2575" s="6">
        <v>7.52</v>
      </c>
      <c r="J2575" s="4">
        <v>5</v>
      </c>
      <c r="K2575" s="6">
        <v>2.63</v>
      </c>
    </row>
    <row r="2576" spans="1:11" x14ac:dyDescent="0.3">
      <c r="A2576" s="7">
        <v>42162</v>
      </c>
      <c r="B2576" s="4">
        <f>YEAR(SalesData[[#This Row],[Order Date]])</f>
        <v>2015</v>
      </c>
      <c r="C2576" s="4">
        <f>MONTH(SalesData[[#This Row],[Order Date]])</f>
        <v>6</v>
      </c>
      <c r="D2576" s="3" t="s">
        <v>661</v>
      </c>
      <c r="E2576" s="3" t="s">
        <v>23</v>
      </c>
      <c r="F2576" s="3" t="s">
        <v>11</v>
      </c>
      <c r="G2576" s="3" t="s">
        <v>20</v>
      </c>
      <c r="H2576" s="3" t="s">
        <v>1993</v>
      </c>
      <c r="I2576" s="6">
        <v>18.309999999999999</v>
      </c>
      <c r="J2576" s="4">
        <v>4</v>
      </c>
      <c r="K2576" s="6">
        <v>-12.21</v>
      </c>
    </row>
    <row r="2577" spans="1:11" x14ac:dyDescent="0.3">
      <c r="A2577" s="7">
        <v>42162</v>
      </c>
      <c r="B2577" s="4">
        <f>YEAR(SalesData[[#This Row],[Order Date]])</f>
        <v>2015</v>
      </c>
      <c r="C2577" s="4">
        <f>MONTH(SalesData[[#This Row],[Order Date]])</f>
        <v>6</v>
      </c>
      <c r="D2577" s="3" t="s">
        <v>661</v>
      </c>
      <c r="E2577" s="3" t="s">
        <v>23</v>
      </c>
      <c r="F2577" s="3" t="s">
        <v>11</v>
      </c>
      <c r="G2577" s="3" t="s">
        <v>12</v>
      </c>
      <c r="H2577" s="3" t="s">
        <v>934</v>
      </c>
      <c r="I2577" s="6">
        <v>25.92</v>
      </c>
      <c r="J2577" s="4">
        <v>5</v>
      </c>
      <c r="K2577" s="6">
        <v>9.07</v>
      </c>
    </row>
    <row r="2578" spans="1:11" x14ac:dyDescent="0.3">
      <c r="A2578" s="7">
        <v>42162</v>
      </c>
      <c r="B2578" s="4">
        <f>YEAR(SalesData[[#This Row],[Order Date]])</f>
        <v>2015</v>
      </c>
      <c r="C2578" s="4">
        <f>MONTH(SalesData[[#This Row],[Order Date]])</f>
        <v>6</v>
      </c>
      <c r="D2578" s="3" t="s">
        <v>661</v>
      </c>
      <c r="E2578" s="3" t="s">
        <v>23</v>
      </c>
      <c r="F2578" s="3" t="s">
        <v>11</v>
      </c>
      <c r="G2578" s="3" t="s">
        <v>24</v>
      </c>
      <c r="H2578" s="3" t="s">
        <v>338</v>
      </c>
      <c r="I2578" s="6">
        <v>8.02</v>
      </c>
      <c r="J2578" s="4">
        <v>3</v>
      </c>
      <c r="K2578" s="6">
        <v>1</v>
      </c>
    </row>
    <row r="2579" spans="1:11" x14ac:dyDescent="0.3">
      <c r="A2579" s="7">
        <v>42163</v>
      </c>
      <c r="B2579" s="4">
        <f>YEAR(SalesData[[#This Row],[Order Date]])</f>
        <v>2015</v>
      </c>
      <c r="C2579" s="4">
        <f>MONTH(SalesData[[#This Row],[Order Date]])</f>
        <v>6</v>
      </c>
      <c r="D2579" s="3" t="s">
        <v>1842</v>
      </c>
      <c r="E2579" s="3" t="s">
        <v>15</v>
      </c>
      <c r="F2579" s="3" t="s">
        <v>39</v>
      </c>
      <c r="G2579" s="3" t="s">
        <v>52</v>
      </c>
      <c r="H2579" s="3" t="s">
        <v>1520</v>
      </c>
      <c r="I2579" s="6">
        <v>2.38</v>
      </c>
      <c r="J2579" s="4">
        <v>3</v>
      </c>
      <c r="K2579" s="6">
        <v>0.74</v>
      </c>
    </row>
    <row r="2580" spans="1:11" x14ac:dyDescent="0.3">
      <c r="A2580" s="7">
        <v>42163</v>
      </c>
      <c r="B2580" s="4">
        <f>YEAR(SalesData[[#This Row],[Order Date]])</f>
        <v>2015</v>
      </c>
      <c r="C2580" s="4">
        <f>MONTH(SalesData[[#This Row],[Order Date]])</f>
        <v>6</v>
      </c>
      <c r="D2580" s="3" t="s">
        <v>1842</v>
      </c>
      <c r="E2580" s="3" t="s">
        <v>15</v>
      </c>
      <c r="F2580" s="3" t="s">
        <v>11</v>
      </c>
      <c r="G2580" s="3" t="s">
        <v>92</v>
      </c>
      <c r="H2580" s="3" t="s">
        <v>1997</v>
      </c>
      <c r="I2580" s="6">
        <v>143.13</v>
      </c>
      <c r="J2580" s="4">
        <v>2</v>
      </c>
      <c r="K2580" s="6">
        <v>-393.6</v>
      </c>
    </row>
    <row r="2581" spans="1:11" x14ac:dyDescent="0.3">
      <c r="A2581" s="7">
        <v>42163</v>
      </c>
      <c r="B2581" s="4">
        <f>YEAR(SalesData[[#This Row],[Order Date]])</f>
        <v>2015</v>
      </c>
      <c r="C2581" s="4">
        <f>MONTH(SalesData[[#This Row],[Order Date]])</f>
        <v>6</v>
      </c>
      <c r="D2581" s="3" t="s">
        <v>1886</v>
      </c>
      <c r="E2581" s="3" t="s">
        <v>123</v>
      </c>
      <c r="F2581" s="3" t="s">
        <v>11</v>
      </c>
      <c r="G2581" s="3" t="s">
        <v>12</v>
      </c>
      <c r="H2581" s="3" t="s">
        <v>370</v>
      </c>
      <c r="I2581" s="6">
        <v>173.49</v>
      </c>
      <c r="J2581" s="4">
        <v>7</v>
      </c>
      <c r="K2581" s="6">
        <v>54.22</v>
      </c>
    </row>
    <row r="2582" spans="1:11" x14ac:dyDescent="0.3">
      <c r="A2582" s="7">
        <v>42163</v>
      </c>
      <c r="B2582" s="4">
        <f>YEAR(SalesData[[#This Row],[Order Date]])</f>
        <v>2015</v>
      </c>
      <c r="C2582" s="4">
        <f>MONTH(SalesData[[#This Row],[Order Date]])</f>
        <v>6</v>
      </c>
      <c r="D2582" s="3" t="s">
        <v>1886</v>
      </c>
      <c r="E2582" s="3" t="s">
        <v>123</v>
      </c>
      <c r="F2582" s="3" t="s">
        <v>11</v>
      </c>
      <c r="G2582" s="3" t="s">
        <v>18</v>
      </c>
      <c r="H2582" s="3" t="s">
        <v>1410</v>
      </c>
      <c r="I2582" s="6">
        <v>516.96</v>
      </c>
      <c r="J2582" s="4">
        <v>4</v>
      </c>
      <c r="K2582" s="6">
        <v>-6.46</v>
      </c>
    </row>
    <row r="2583" spans="1:11" x14ac:dyDescent="0.3">
      <c r="A2583" s="7">
        <v>42163</v>
      </c>
      <c r="B2583" s="4">
        <f>YEAR(SalesData[[#This Row],[Order Date]])</f>
        <v>2015</v>
      </c>
      <c r="C2583" s="4">
        <f>MONTH(SalesData[[#This Row],[Order Date]])</f>
        <v>6</v>
      </c>
      <c r="D2583" s="3" t="s">
        <v>1886</v>
      </c>
      <c r="E2583" s="3" t="s">
        <v>123</v>
      </c>
      <c r="F2583" s="3" t="s">
        <v>34</v>
      </c>
      <c r="G2583" s="3" t="s">
        <v>47</v>
      </c>
      <c r="H2583" s="3" t="s">
        <v>2105</v>
      </c>
      <c r="I2583" s="6">
        <v>173.21</v>
      </c>
      <c r="J2583" s="4">
        <v>7</v>
      </c>
      <c r="K2583" s="6">
        <v>45.47</v>
      </c>
    </row>
    <row r="2584" spans="1:11" x14ac:dyDescent="0.3">
      <c r="A2584" s="7">
        <v>42163</v>
      </c>
      <c r="B2584" s="4">
        <f>YEAR(SalesData[[#This Row],[Order Date]])</f>
        <v>2015</v>
      </c>
      <c r="C2584" s="4">
        <f>MONTH(SalesData[[#This Row],[Order Date]])</f>
        <v>6</v>
      </c>
      <c r="D2584" s="3" t="s">
        <v>1886</v>
      </c>
      <c r="E2584" s="3" t="s">
        <v>123</v>
      </c>
      <c r="F2584" s="3" t="s">
        <v>11</v>
      </c>
      <c r="G2584" s="3" t="s">
        <v>24</v>
      </c>
      <c r="H2584" s="3" t="s">
        <v>1949</v>
      </c>
      <c r="I2584" s="6">
        <v>4.45</v>
      </c>
      <c r="J2584" s="4">
        <v>2</v>
      </c>
      <c r="K2584" s="6">
        <v>0.33</v>
      </c>
    </row>
    <row r="2585" spans="1:11" x14ac:dyDescent="0.3">
      <c r="A2585" s="7">
        <v>42163</v>
      </c>
      <c r="B2585" s="4">
        <f>YEAR(SalesData[[#This Row],[Order Date]])</f>
        <v>2015</v>
      </c>
      <c r="C2585" s="4">
        <f>MONTH(SalesData[[#This Row],[Order Date]])</f>
        <v>6</v>
      </c>
      <c r="D2585" s="3" t="s">
        <v>1886</v>
      </c>
      <c r="E2585" s="3" t="s">
        <v>123</v>
      </c>
      <c r="F2585" s="3" t="s">
        <v>11</v>
      </c>
      <c r="G2585" s="3" t="s">
        <v>16</v>
      </c>
      <c r="H2585" s="3" t="s">
        <v>393</v>
      </c>
      <c r="I2585" s="6">
        <v>9</v>
      </c>
      <c r="J2585" s="4">
        <v>3</v>
      </c>
      <c r="K2585" s="6">
        <v>3.15</v>
      </c>
    </row>
    <row r="2586" spans="1:11" x14ac:dyDescent="0.3">
      <c r="A2586" s="7">
        <v>42163</v>
      </c>
      <c r="B2586" s="4">
        <f>YEAR(SalesData[[#This Row],[Order Date]])</f>
        <v>2015</v>
      </c>
      <c r="C2586" s="4">
        <f>MONTH(SalesData[[#This Row],[Order Date]])</f>
        <v>6</v>
      </c>
      <c r="D2586" s="3" t="s">
        <v>1886</v>
      </c>
      <c r="E2586" s="3" t="s">
        <v>123</v>
      </c>
      <c r="F2586" s="3" t="s">
        <v>11</v>
      </c>
      <c r="G2586" s="3" t="s">
        <v>12</v>
      </c>
      <c r="H2586" s="3" t="s">
        <v>304</v>
      </c>
      <c r="I2586" s="6">
        <v>42.24</v>
      </c>
      <c r="J2586" s="4">
        <v>10</v>
      </c>
      <c r="K2586" s="6">
        <v>13.2</v>
      </c>
    </row>
    <row r="2587" spans="1:11" x14ac:dyDescent="0.3">
      <c r="A2587" s="7">
        <v>42163</v>
      </c>
      <c r="B2587" s="4">
        <f>YEAR(SalesData[[#This Row],[Order Date]])</f>
        <v>2015</v>
      </c>
      <c r="C2587" s="4">
        <f>MONTH(SalesData[[#This Row],[Order Date]])</f>
        <v>6</v>
      </c>
      <c r="D2587" s="3" t="s">
        <v>1886</v>
      </c>
      <c r="E2587" s="3" t="s">
        <v>123</v>
      </c>
      <c r="F2587" s="3" t="s">
        <v>11</v>
      </c>
      <c r="G2587" s="3" t="s">
        <v>20</v>
      </c>
      <c r="H2587" s="3" t="s">
        <v>1281</v>
      </c>
      <c r="I2587" s="6">
        <v>18.260000000000002</v>
      </c>
      <c r="J2587" s="4">
        <v>2</v>
      </c>
      <c r="K2587" s="6">
        <v>-13.39</v>
      </c>
    </row>
    <row r="2588" spans="1:11" x14ac:dyDescent="0.3">
      <c r="A2588" s="7">
        <v>42164</v>
      </c>
      <c r="B2588" s="4">
        <f>YEAR(SalesData[[#This Row],[Order Date]])</f>
        <v>2015</v>
      </c>
      <c r="C2588" s="4">
        <f>MONTH(SalesData[[#This Row],[Order Date]])</f>
        <v>6</v>
      </c>
      <c r="D2588" s="3" t="s">
        <v>1312</v>
      </c>
      <c r="E2588" s="3" t="s">
        <v>55</v>
      </c>
      <c r="F2588" s="3" t="s">
        <v>11</v>
      </c>
      <c r="G2588" s="3" t="s">
        <v>20</v>
      </c>
      <c r="H2588" s="3" t="s">
        <v>911</v>
      </c>
      <c r="I2588" s="6">
        <v>113.1</v>
      </c>
      <c r="J2588" s="4">
        <v>3</v>
      </c>
      <c r="K2588" s="6">
        <v>56.55</v>
      </c>
    </row>
    <row r="2589" spans="1:11" x14ac:dyDescent="0.3">
      <c r="A2589" s="7">
        <v>42164</v>
      </c>
      <c r="B2589" s="4">
        <f>YEAR(SalesData[[#This Row],[Order Date]])</f>
        <v>2015</v>
      </c>
      <c r="C2589" s="4">
        <f>MONTH(SalesData[[#This Row],[Order Date]])</f>
        <v>6</v>
      </c>
      <c r="D2589" s="3" t="s">
        <v>607</v>
      </c>
      <c r="E2589" s="3" t="s">
        <v>110</v>
      </c>
      <c r="F2589" s="3" t="s">
        <v>11</v>
      </c>
      <c r="G2589" s="3" t="s">
        <v>12</v>
      </c>
      <c r="H2589" s="3" t="s">
        <v>880</v>
      </c>
      <c r="I2589" s="6">
        <v>12.96</v>
      </c>
      <c r="J2589" s="4">
        <v>2</v>
      </c>
      <c r="K2589" s="6">
        <v>6.22</v>
      </c>
    </row>
    <row r="2590" spans="1:11" x14ac:dyDescent="0.3">
      <c r="A2590" s="7">
        <v>42164</v>
      </c>
      <c r="B2590" s="4">
        <f>YEAR(SalesData[[#This Row],[Order Date]])</f>
        <v>2015</v>
      </c>
      <c r="C2590" s="4">
        <f>MONTH(SalesData[[#This Row],[Order Date]])</f>
        <v>6</v>
      </c>
      <c r="D2590" s="3" t="s">
        <v>429</v>
      </c>
      <c r="E2590" s="3" t="s">
        <v>510</v>
      </c>
      <c r="F2590" s="3" t="s">
        <v>34</v>
      </c>
      <c r="G2590" s="3" t="s">
        <v>47</v>
      </c>
      <c r="H2590" s="3" t="s">
        <v>444</v>
      </c>
      <c r="I2590" s="6">
        <v>355.36</v>
      </c>
      <c r="J2590" s="4">
        <v>4</v>
      </c>
      <c r="K2590" s="6">
        <v>92.39</v>
      </c>
    </row>
    <row r="2591" spans="1:11" x14ac:dyDescent="0.3">
      <c r="A2591" s="7">
        <v>42164</v>
      </c>
      <c r="B2591" s="4">
        <f>YEAR(SalesData[[#This Row],[Order Date]])</f>
        <v>2015</v>
      </c>
      <c r="C2591" s="4">
        <f>MONTH(SalesData[[#This Row],[Order Date]])</f>
        <v>6</v>
      </c>
      <c r="D2591" s="3" t="s">
        <v>429</v>
      </c>
      <c r="E2591" s="3" t="s">
        <v>510</v>
      </c>
      <c r="F2591" s="3" t="s">
        <v>39</v>
      </c>
      <c r="G2591" s="3" t="s">
        <v>40</v>
      </c>
      <c r="H2591" s="3" t="s">
        <v>2106</v>
      </c>
      <c r="I2591" s="6">
        <v>140.38</v>
      </c>
      <c r="J2591" s="4">
        <v>3</v>
      </c>
      <c r="K2591" s="6">
        <v>8.77</v>
      </c>
    </row>
    <row r="2592" spans="1:11" x14ac:dyDescent="0.3">
      <c r="A2592" s="7">
        <v>42164</v>
      </c>
      <c r="B2592" s="4">
        <f>YEAR(SalesData[[#This Row],[Order Date]])</f>
        <v>2015</v>
      </c>
      <c r="C2592" s="4">
        <f>MONTH(SalesData[[#This Row],[Order Date]])</f>
        <v>6</v>
      </c>
      <c r="D2592" s="3" t="s">
        <v>2107</v>
      </c>
      <c r="E2592" s="3" t="s">
        <v>123</v>
      </c>
      <c r="F2592" s="3" t="s">
        <v>11</v>
      </c>
      <c r="G2592" s="3" t="s">
        <v>20</v>
      </c>
      <c r="H2592" s="3" t="s">
        <v>737</v>
      </c>
      <c r="I2592" s="6">
        <v>64.2</v>
      </c>
      <c r="J2592" s="4">
        <v>5</v>
      </c>
      <c r="K2592" s="6">
        <v>-42.8</v>
      </c>
    </row>
    <row r="2593" spans="1:11" x14ac:dyDescent="0.3">
      <c r="A2593" s="7">
        <v>42164</v>
      </c>
      <c r="B2593" s="4">
        <f>YEAR(SalesData[[#This Row],[Order Date]])</f>
        <v>2015</v>
      </c>
      <c r="C2593" s="4">
        <f>MONTH(SalesData[[#This Row],[Order Date]])</f>
        <v>6</v>
      </c>
      <c r="D2593" s="3" t="s">
        <v>2107</v>
      </c>
      <c r="E2593" s="3" t="s">
        <v>123</v>
      </c>
      <c r="F2593" s="3" t="s">
        <v>11</v>
      </c>
      <c r="G2593" s="3" t="s">
        <v>20</v>
      </c>
      <c r="H2593" s="3" t="s">
        <v>1174</v>
      </c>
      <c r="I2593" s="6">
        <v>38.520000000000003</v>
      </c>
      <c r="J2593" s="4">
        <v>3</v>
      </c>
      <c r="K2593" s="6">
        <v>-26.96</v>
      </c>
    </row>
    <row r="2594" spans="1:11" x14ac:dyDescent="0.3">
      <c r="A2594" s="7">
        <v>42164</v>
      </c>
      <c r="B2594" s="4">
        <f>YEAR(SalesData[[#This Row],[Order Date]])</f>
        <v>2015</v>
      </c>
      <c r="C2594" s="4">
        <f>MONTH(SalesData[[#This Row],[Order Date]])</f>
        <v>6</v>
      </c>
      <c r="D2594" s="3" t="s">
        <v>2107</v>
      </c>
      <c r="E2594" s="3" t="s">
        <v>123</v>
      </c>
      <c r="F2594" s="3" t="s">
        <v>39</v>
      </c>
      <c r="G2594" s="3" t="s">
        <v>52</v>
      </c>
      <c r="H2594" s="3" t="s">
        <v>2023</v>
      </c>
      <c r="I2594" s="6">
        <v>72.599999999999994</v>
      </c>
      <c r="J2594" s="4">
        <v>5</v>
      </c>
      <c r="K2594" s="6">
        <v>-8.17</v>
      </c>
    </row>
    <row r="2595" spans="1:11" x14ac:dyDescent="0.3">
      <c r="A2595" s="7">
        <v>42166</v>
      </c>
      <c r="B2595" s="4">
        <f>YEAR(SalesData[[#This Row],[Order Date]])</f>
        <v>2015</v>
      </c>
      <c r="C2595" s="4">
        <f>MONTH(SalesData[[#This Row],[Order Date]])</f>
        <v>6</v>
      </c>
      <c r="D2595" s="3" t="s">
        <v>72</v>
      </c>
      <c r="E2595" s="3" t="s">
        <v>62</v>
      </c>
      <c r="F2595" s="3" t="s">
        <v>39</v>
      </c>
      <c r="G2595" s="3" t="s">
        <v>52</v>
      </c>
      <c r="H2595" s="3" t="s">
        <v>1422</v>
      </c>
      <c r="I2595" s="6">
        <v>53.7</v>
      </c>
      <c r="J2595" s="4">
        <v>6</v>
      </c>
      <c r="K2595" s="6">
        <v>10.199999999999999</v>
      </c>
    </row>
    <row r="2596" spans="1:11" x14ac:dyDescent="0.3">
      <c r="A2596" s="7">
        <v>42166</v>
      </c>
      <c r="B2596" s="4">
        <f>YEAR(SalesData[[#This Row],[Order Date]])</f>
        <v>2015</v>
      </c>
      <c r="C2596" s="4">
        <f>MONTH(SalesData[[#This Row],[Order Date]])</f>
        <v>6</v>
      </c>
      <c r="D2596" s="3" t="s">
        <v>72</v>
      </c>
      <c r="E2596" s="3" t="s">
        <v>62</v>
      </c>
      <c r="F2596" s="3" t="s">
        <v>11</v>
      </c>
      <c r="G2596" s="3" t="s">
        <v>20</v>
      </c>
      <c r="H2596" s="3" t="s">
        <v>1160</v>
      </c>
      <c r="I2596" s="6">
        <v>36.26</v>
      </c>
      <c r="J2596" s="4">
        <v>7</v>
      </c>
      <c r="K2596" s="6">
        <v>16.68</v>
      </c>
    </row>
    <row r="2597" spans="1:11" x14ac:dyDescent="0.3">
      <c r="A2597" s="7">
        <v>42166</v>
      </c>
      <c r="B2597" s="4">
        <f>YEAR(SalesData[[#This Row],[Order Date]])</f>
        <v>2015</v>
      </c>
      <c r="C2597" s="4">
        <f>MONTH(SalesData[[#This Row],[Order Date]])</f>
        <v>6</v>
      </c>
      <c r="D2597" s="3" t="s">
        <v>72</v>
      </c>
      <c r="E2597" s="3" t="s">
        <v>62</v>
      </c>
      <c r="F2597" s="3" t="s">
        <v>11</v>
      </c>
      <c r="G2597" s="3" t="s">
        <v>24</v>
      </c>
      <c r="H2597" s="3" t="s">
        <v>1600</v>
      </c>
      <c r="I2597" s="6">
        <v>56.3</v>
      </c>
      <c r="J2597" s="4">
        <v>2</v>
      </c>
      <c r="K2597" s="6">
        <v>15.76</v>
      </c>
    </row>
    <row r="2598" spans="1:11" x14ac:dyDescent="0.3">
      <c r="A2598" s="7">
        <v>42166</v>
      </c>
      <c r="B2598" s="4">
        <f>YEAR(SalesData[[#This Row],[Order Date]])</f>
        <v>2015</v>
      </c>
      <c r="C2598" s="4">
        <f>MONTH(SalesData[[#This Row],[Order Date]])</f>
        <v>6</v>
      </c>
      <c r="D2598" s="3" t="s">
        <v>72</v>
      </c>
      <c r="E2598" s="3" t="s">
        <v>62</v>
      </c>
      <c r="F2598" s="3" t="s">
        <v>11</v>
      </c>
      <c r="G2598" s="3" t="s">
        <v>12</v>
      </c>
      <c r="H2598" s="3" t="s">
        <v>2108</v>
      </c>
      <c r="I2598" s="6">
        <v>32.4</v>
      </c>
      <c r="J2598" s="4">
        <v>5</v>
      </c>
      <c r="K2598" s="6">
        <v>15.55</v>
      </c>
    </row>
    <row r="2599" spans="1:11" x14ac:dyDescent="0.3">
      <c r="A2599" s="7">
        <v>42166</v>
      </c>
      <c r="B2599" s="4">
        <f>YEAR(SalesData[[#This Row],[Order Date]])</f>
        <v>2015</v>
      </c>
      <c r="C2599" s="4">
        <f>MONTH(SalesData[[#This Row],[Order Date]])</f>
        <v>6</v>
      </c>
      <c r="D2599" s="3" t="s">
        <v>72</v>
      </c>
      <c r="E2599" s="3" t="s">
        <v>62</v>
      </c>
      <c r="F2599" s="3" t="s">
        <v>34</v>
      </c>
      <c r="G2599" s="3" t="s">
        <v>47</v>
      </c>
      <c r="H2599" s="3" t="s">
        <v>1028</v>
      </c>
      <c r="I2599" s="6">
        <v>29.16</v>
      </c>
      <c r="J2599" s="4">
        <v>2</v>
      </c>
      <c r="K2599" s="6">
        <v>10.79</v>
      </c>
    </row>
    <row r="2600" spans="1:11" x14ac:dyDescent="0.3">
      <c r="B2600" s="3"/>
      <c r="C2600" s="3"/>
      <c r="I2600" s="3"/>
      <c r="J2600" s="3"/>
      <c r="K2600" s="3"/>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F9B9C-03D6-4FAF-A0BF-443CBE5FEDEC}">
  <dimension ref="A3:E20"/>
  <sheetViews>
    <sheetView workbookViewId="0">
      <selection activeCell="G6" sqref="G6"/>
    </sheetView>
  </sheetViews>
  <sheetFormatPr defaultRowHeight="14.4" x14ac:dyDescent="0.3"/>
  <cols>
    <col min="1" max="1" width="12.5546875" bestFit="1" customWidth="1"/>
    <col min="2" max="2" width="11.6640625" bestFit="1" customWidth="1"/>
  </cols>
  <sheetData>
    <row r="3" spans="1:5" x14ac:dyDescent="0.3">
      <c r="A3" s="2" t="s">
        <v>2111</v>
      </c>
      <c r="B3" t="s">
        <v>2113</v>
      </c>
    </row>
    <row r="4" spans="1:5" x14ac:dyDescent="0.3">
      <c r="A4" s="3" t="s">
        <v>35</v>
      </c>
      <c r="B4" s="1">
        <v>97883.300000000047</v>
      </c>
      <c r="D4" t="str">
        <f>A4</f>
        <v>Chairs</v>
      </c>
      <c r="E4" s="1">
        <f>B4</f>
        <v>97883.300000000047</v>
      </c>
    </row>
    <row r="5" spans="1:5" x14ac:dyDescent="0.3">
      <c r="A5" s="3" t="s">
        <v>40</v>
      </c>
      <c r="B5" s="1">
        <v>95417.98</v>
      </c>
      <c r="D5" t="str">
        <f t="shared" ref="D5:D20" si="0">A5</f>
        <v>Phones</v>
      </c>
      <c r="E5" s="1">
        <f t="shared" ref="E5:E20" si="1">B5</f>
        <v>95417.98</v>
      </c>
    </row>
    <row r="6" spans="1:5" x14ac:dyDescent="0.3">
      <c r="A6" s="3" t="s">
        <v>302</v>
      </c>
      <c r="B6" s="1">
        <v>69956.12000000001</v>
      </c>
      <c r="D6" t="str">
        <f t="shared" si="0"/>
        <v>Machines</v>
      </c>
      <c r="E6" s="1">
        <f t="shared" si="1"/>
        <v>69956.12000000001</v>
      </c>
    </row>
    <row r="7" spans="1:5" x14ac:dyDescent="0.3">
      <c r="A7" s="3" t="s">
        <v>18</v>
      </c>
      <c r="B7" s="1">
        <v>61214.349999999955</v>
      </c>
      <c r="D7" t="str">
        <f t="shared" si="0"/>
        <v>Storage</v>
      </c>
      <c r="E7" s="1">
        <f t="shared" si="1"/>
        <v>61214.349999999955</v>
      </c>
    </row>
    <row r="8" spans="1:5" x14ac:dyDescent="0.3">
      <c r="A8" s="3" t="s">
        <v>20</v>
      </c>
      <c r="B8" s="1">
        <v>60876.160000000033</v>
      </c>
      <c r="D8" t="str">
        <f t="shared" si="0"/>
        <v>Binders</v>
      </c>
      <c r="E8" s="1">
        <f t="shared" si="1"/>
        <v>60876.160000000033</v>
      </c>
    </row>
    <row r="9" spans="1:5" x14ac:dyDescent="0.3">
      <c r="A9" s="3" t="s">
        <v>145</v>
      </c>
      <c r="B9" s="1">
        <v>58968.4</v>
      </c>
      <c r="D9" t="str">
        <f t="shared" si="0"/>
        <v>Tables</v>
      </c>
      <c r="E9" s="1">
        <f t="shared" si="1"/>
        <v>58968.4</v>
      </c>
    </row>
    <row r="10" spans="1:5" x14ac:dyDescent="0.3">
      <c r="A10" s="3" t="s">
        <v>52</v>
      </c>
      <c r="B10" s="1">
        <v>32247.699999999986</v>
      </c>
      <c r="D10" t="str">
        <f t="shared" si="0"/>
        <v>Accessories</v>
      </c>
      <c r="E10" s="1">
        <f t="shared" si="1"/>
        <v>32247.699999999986</v>
      </c>
    </row>
    <row r="11" spans="1:5" x14ac:dyDescent="0.3">
      <c r="A11" s="3" t="s">
        <v>74</v>
      </c>
      <c r="B11" s="1">
        <v>27543.430000000004</v>
      </c>
      <c r="D11" t="str">
        <f t="shared" si="0"/>
        <v>Bookcases</v>
      </c>
      <c r="E11" s="1">
        <f t="shared" si="1"/>
        <v>27543.430000000004</v>
      </c>
    </row>
    <row r="12" spans="1:5" x14ac:dyDescent="0.3">
      <c r="A12" s="3" t="s">
        <v>92</v>
      </c>
      <c r="B12" s="1">
        <v>24044.19000000001</v>
      </c>
      <c r="D12" t="str">
        <f t="shared" si="0"/>
        <v>Appliances</v>
      </c>
      <c r="E12" s="1">
        <f t="shared" si="1"/>
        <v>24044.19000000001</v>
      </c>
    </row>
    <row r="13" spans="1:5" x14ac:dyDescent="0.3">
      <c r="A13" s="3" t="s">
        <v>47</v>
      </c>
      <c r="B13" s="1">
        <v>21856.81</v>
      </c>
      <c r="D13" t="str">
        <f t="shared" si="0"/>
        <v>Furnishings</v>
      </c>
      <c r="E13" s="1">
        <f t="shared" si="1"/>
        <v>21856.81</v>
      </c>
    </row>
    <row r="14" spans="1:5" x14ac:dyDescent="0.3">
      <c r="A14" s="3" t="s">
        <v>603</v>
      </c>
      <c r="B14" s="1">
        <v>20599.559999999998</v>
      </c>
      <c r="D14" t="str">
        <f t="shared" si="0"/>
        <v>Copiers</v>
      </c>
      <c r="E14" s="1">
        <f t="shared" si="1"/>
        <v>20599.559999999998</v>
      </c>
    </row>
    <row r="15" spans="1:5" x14ac:dyDescent="0.3">
      <c r="A15" s="3" t="s">
        <v>12</v>
      </c>
      <c r="B15" s="1">
        <v>19286.419999999998</v>
      </c>
      <c r="D15" t="str">
        <f t="shared" si="0"/>
        <v>Paper</v>
      </c>
      <c r="E15" s="1">
        <f t="shared" si="1"/>
        <v>19286.419999999998</v>
      </c>
    </row>
    <row r="16" spans="1:5" x14ac:dyDescent="0.3">
      <c r="A16" s="3" t="s">
        <v>200</v>
      </c>
      <c r="B16" s="1">
        <v>15047.429999999995</v>
      </c>
      <c r="D16" t="str">
        <f t="shared" si="0"/>
        <v>Supplies</v>
      </c>
      <c r="E16" s="1">
        <f t="shared" si="1"/>
        <v>15047.429999999995</v>
      </c>
    </row>
    <row r="17" spans="1:5" x14ac:dyDescent="0.3">
      <c r="A17" s="3" t="s">
        <v>24</v>
      </c>
      <c r="B17" s="1">
        <v>8009.770000000005</v>
      </c>
      <c r="D17" t="str">
        <f t="shared" si="0"/>
        <v>Art</v>
      </c>
      <c r="E17" s="1">
        <f t="shared" si="1"/>
        <v>8009.770000000005</v>
      </c>
    </row>
    <row r="18" spans="1:5" x14ac:dyDescent="0.3">
      <c r="A18" s="3" t="s">
        <v>63</v>
      </c>
      <c r="B18" s="1">
        <v>5073.2099999999991</v>
      </c>
      <c r="D18" t="str">
        <f t="shared" si="0"/>
        <v>Envelopes</v>
      </c>
      <c r="E18" s="1">
        <f t="shared" si="1"/>
        <v>5073.2099999999991</v>
      </c>
    </row>
    <row r="19" spans="1:5" x14ac:dyDescent="0.3">
      <c r="A19" s="3" t="s">
        <v>16</v>
      </c>
      <c r="B19" s="1">
        <v>4030.1800000000007</v>
      </c>
      <c r="D19" t="str">
        <f t="shared" si="0"/>
        <v>Labels</v>
      </c>
      <c r="E19" s="1">
        <f t="shared" si="1"/>
        <v>4030.1800000000007</v>
      </c>
    </row>
    <row r="20" spans="1:5" x14ac:dyDescent="0.3">
      <c r="A20" s="3" t="s">
        <v>43</v>
      </c>
      <c r="B20" s="1">
        <v>797.42999999999984</v>
      </c>
      <c r="D20" t="str">
        <f t="shared" si="0"/>
        <v>Fasteners</v>
      </c>
      <c r="E20" s="1">
        <f t="shared" si="1"/>
        <v>797.42999999999984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A3D3B-0C3F-409A-8F64-A9C7501A2BE5}">
  <dimension ref="A3:D6"/>
  <sheetViews>
    <sheetView workbookViewId="0">
      <selection activeCell="I10" sqref="I10"/>
    </sheetView>
  </sheetViews>
  <sheetFormatPr defaultRowHeight="14.4" x14ac:dyDescent="0.3"/>
  <cols>
    <col min="1" max="1" width="12.5546875" bestFit="1" customWidth="1"/>
    <col min="2" max="2" width="15.5546875" bestFit="1" customWidth="1"/>
    <col min="3" max="3" width="13.5546875" bestFit="1" customWidth="1"/>
    <col min="4" max="5" width="10.77734375" bestFit="1" customWidth="1"/>
  </cols>
  <sheetData>
    <row r="3" spans="1:4" x14ac:dyDescent="0.3">
      <c r="A3" s="2" t="s">
        <v>2114</v>
      </c>
      <c r="B3" s="2" t="s">
        <v>2115</v>
      </c>
    </row>
    <row r="4" spans="1:4" x14ac:dyDescent="0.3">
      <c r="A4" s="2" t="s">
        <v>2111</v>
      </c>
      <c r="B4" t="s">
        <v>34</v>
      </c>
      <c r="C4" t="s">
        <v>11</v>
      </c>
      <c r="D4" t="s">
        <v>39</v>
      </c>
    </row>
    <row r="5" spans="1:4" x14ac:dyDescent="0.3">
      <c r="A5" s="4">
        <v>2014</v>
      </c>
      <c r="B5" s="1">
        <v>5469.7699999999977</v>
      </c>
      <c r="C5" s="1">
        <v>22593.399999999965</v>
      </c>
      <c r="D5" s="1">
        <v>21492.950000000008</v>
      </c>
    </row>
    <row r="6" spans="1:4" x14ac:dyDescent="0.3">
      <c r="A6" s="4">
        <v>2015</v>
      </c>
      <c r="B6" s="1">
        <v>404.80000000000047</v>
      </c>
      <c r="C6" s="1">
        <v>10950.090000000007</v>
      </c>
      <c r="D6" s="1">
        <v>7563.7699999999977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13425-3CA3-40C8-816F-778ADC4EAF54}">
  <dimension ref="A3:B16"/>
  <sheetViews>
    <sheetView workbookViewId="0">
      <selection activeCell="E28" sqref="E28:E29"/>
    </sheetView>
  </sheetViews>
  <sheetFormatPr defaultRowHeight="14.4" x14ac:dyDescent="0.3"/>
  <cols>
    <col min="1" max="1" width="12.5546875" bestFit="1" customWidth="1"/>
    <col min="2" max="2" width="11.6640625" bestFit="1" customWidth="1"/>
  </cols>
  <sheetData>
    <row r="3" spans="1:2" x14ac:dyDescent="0.3">
      <c r="A3" s="2" t="s">
        <v>2111</v>
      </c>
      <c r="B3" t="s">
        <v>2113</v>
      </c>
    </row>
    <row r="4" spans="1:2" x14ac:dyDescent="0.3">
      <c r="A4" s="4">
        <v>1</v>
      </c>
      <c r="B4" s="1">
        <v>32410.979999999992</v>
      </c>
    </row>
    <row r="5" spans="1:2" x14ac:dyDescent="0.3">
      <c r="A5" s="4">
        <v>2</v>
      </c>
      <c r="B5" s="1">
        <v>16471.32</v>
      </c>
    </row>
    <row r="6" spans="1:2" x14ac:dyDescent="0.3">
      <c r="A6" s="4">
        <v>3</v>
      </c>
      <c r="B6" s="1">
        <v>94417.300000000105</v>
      </c>
    </row>
    <row r="7" spans="1:2" x14ac:dyDescent="0.3">
      <c r="A7" s="4">
        <v>4</v>
      </c>
      <c r="B7" s="1">
        <v>62209.23000000001</v>
      </c>
    </row>
    <row r="8" spans="1:2" x14ac:dyDescent="0.3">
      <c r="A8" s="4">
        <v>5</v>
      </c>
      <c r="B8" s="1">
        <v>53779.999999999985</v>
      </c>
    </row>
    <row r="9" spans="1:2" x14ac:dyDescent="0.3">
      <c r="A9" s="4">
        <v>6</v>
      </c>
      <c r="B9" s="1">
        <v>40302.679999999993</v>
      </c>
    </row>
    <row r="10" spans="1:2" x14ac:dyDescent="0.3">
      <c r="A10" s="4">
        <v>7</v>
      </c>
      <c r="B10" s="1">
        <v>33946.369999999995</v>
      </c>
    </row>
    <row r="11" spans="1:2" x14ac:dyDescent="0.3">
      <c r="A11" s="4">
        <v>8</v>
      </c>
      <c r="B11" s="1">
        <v>27909.469999999979</v>
      </c>
    </row>
    <row r="12" spans="1:2" x14ac:dyDescent="0.3">
      <c r="A12" s="4">
        <v>9</v>
      </c>
      <c r="B12" s="1">
        <v>81777.340000000026</v>
      </c>
    </row>
    <row r="13" spans="1:2" x14ac:dyDescent="0.3">
      <c r="A13" s="4">
        <v>10</v>
      </c>
      <c r="B13" s="1">
        <v>31453.369999999992</v>
      </c>
    </row>
    <row r="14" spans="1:2" x14ac:dyDescent="0.3">
      <c r="A14" s="4">
        <v>11</v>
      </c>
      <c r="B14" s="1">
        <v>78628.739999999991</v>
      </c>
    </row>
    <row r="15" spans="1:2" x14ac:dyDescent="0.3">
      <c r="A15" s="4">
        <v>12</v>
      </c>
      <c r="B15" s="1">
        <v>69545.640000000029</v>
      </c>
    </row>
    <row r="16" spans="1:2" x14ac:dyDescent="0.3">
      <c r="A16" s="4" t="s">
        <v>2112</v>
      </c>
      <c r="B16" s="1">
        <v>622852.44000000006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9CB54-C0AD-419A-AC3C-70B34DA85992}">
  <dimension ref="A1:E657"/>
  <sheetViews>
    <sheetView workbookViewId="0">
      <selection activeCell="J25" sqref="J25"/>
    </sheetView>
  </sheetViews>
  <sheetFormatPr defaultRowHeight="14.4" x14ac:dyDescent="0.3"/>
  <cols>
    <col min="1" max="1" width="20.44140625" bestFit="1" customWidth="1"/>
    <col min="2" max="2" width="12.109375" bestFit="1" customWidth="1"/>
    <col min="4" max="4" width="18.33203125" customWidth="1"/>
  </cols>
  <sheetData>
    <row r="1" spans="1:5" x14ac:dyDescent="0.3">
      <c r="A1" s="2" t="s">
        <v>2111</v>
      </c>
      <c r="B1" t="s">
        <v>2114</v>
      </c>
    </row>
    <row r="2" spans="1:5" x14ac:dyDescent="0.3">
      <c r="A2" s="3" t="s">
        <v>193</v>
      </c>
      <c r="B2" s="1">
        <v>5462.59</v>
      </c>
      <c r="D2" t="str">
        <f>A2</f>
        <v>Sanjit Chand</v>
      </c>
      <c r="E2" s="1">
        <f>B2</f>
        <v>5462.59</v>
      </c>
    </row>
    <row r="3" spans="1:5" x14ac:dyDescent="0.3">
      <c r="A3" s="3" t="s">
        <v>1948</v>
      </c>
      <c r="B3" s="1">
        <v>3192.08</v>
      </c>
      <c r="D3" t="str">
        <f t="shared" ref="D3:D6" si="0">A3</f>
        <v>Christopher Martinez</v>
      </c>
      <c r="E3" s="1">
        <f t="shared" ref="E3:E6" si="1">B3</f>
        <v>3192.08</v>
      </c>
    </row>
    <row r="4" spans="1:5" x14ac:dyDescent="0.3">
      <c r="A4" s="3" t="s">
        <v>180</v>
      </c>
      <c r="B4" s="1">
        <v>2747.34</v>
      </c>
      <c r="D4" t="str">
        <f t="shared" si="0"/>
        <v>Nathan Mautz</v>
      </c>
      <c r="E4" s="1">
        <f t="shared" si="1"/>
        <v>2747.34</v>
      </c>
    </row>
    <row r="5" spans="1:5" x14ac:dyDescent="0.3">
      <c r="A5" s="3" t="s">
        <v>122</v>
      </c>
      <c r="B5" s="1">
        <v>2567.64</v>
      </c>
      <c r="D5" t="str">
        <f t="shared" si="0"/>
        <v>Tom Boeckenhauer</v>
      </c>
      <c r="E5" s="1">
        <f t="shared" si="1"/>
        <v>2567.64</v>
      </c>
    </row>
    <row r="6" spans="1:5" x14ac:dyDescent="0.3">
      <c r="A6" s="3" t="s">
        <v>131</v>
      </c>
      <c r="B6" s="1">
        <v>2070.7600000000002</v>
      </c>
      <c r="D6" t="str">
        <f t="shared" si="0"/>
        <v>Shirley Daniels</v>
      </c>
      <c r="E6" s="1">
        <f t="shared" si="1"/>
        <v>2070.7600000000002</v>
      </c>
    </row>
    <row r="7" spans="1:5" x14ac:dyDescent="0.3">
      <c r="A7" s="3" t="s">
        <v>1495</v>
      </c>
      <c r="B7" s="1">
        <v>1758.01</v>
      </c>
    </row>
    <row r="8" spans="1:5" x14ac:dyDescent="0.3">
      <c r="A8" s="3" t="s">
        <v>709</v>
      </c>
      <c r="B8" s="1">
        <v>1712.96</v>
      </c>
    </row>
    <row r="9" spans="1:5" x14ac:dyDescent="0.3">
      <c r="A9" s="3" t="s">
        <v>1303</v>
      </c>
      <c r="B9" s="1">
        <v>1599.6900000000003</v>
      </c>
    </row>
    <row r="10" spans="1:5" x14ac:dyDescent="0.3">
      <c r="A10" s="3" t="s">
        <v>692</v>
      </c>
      <c r="B10" s="1">
        <v>1449.52</v>
      </c>
    </row>
    <row r="11" spans="1:5" x14ac:dyDescent="0.3">
      <c r="A11" s="3" t="s">
        <v>32</v>
      </c>
      <c r="B11" s="1">
        <v>1343.4799999999998</v>
      </c>
    </row>
    <row r="12" spans="1:5" x14ac:dyDescent="0.3">
      <c r="A12" s="3" t="s">
        <v>1661</v>
      </c>
      <c r="B12" s="1">
        <v>1228.18</v>
      </c>
    </row>
    <row r="13" spans="1:5" x14ac:dyDescent="0.3">
      <c r="A13" s="3" t="s">
        <v>1172</v>
      </c>
      <c r="B13" s="1">
        <v>1204.76</v>
      </c>
    </row>
    <row r="14" spans="1:5" x14ac:dyDescent="0.3">
      <c r="A14" s="3" t="s">
        <v>1643</v>
      </c>
      <c r="B14" s="1">
        <v>1178.42</v>
      </c>
    </row>
    <row r="15" spans="1:5" x14ac:dyDescent="0.3">
      <c r="A15" s="3" t="s">
        <v>752</v>
      </c>
      <c r="B15" s="1">
        <v>1154.67</v>
      </c>
    </row>
    <row r="16" spans="1:5" x14ac:dyDescent="0.3">
      <c r="A16" s="3" t="s">
        <v>826</v>
      </c>
      <c r="B16" s="1">
        <v>1073.1399999999999</v>
      </c>
    </row>
    <row r="17" spans="1:2" x14ac:dyDescent="0.3">
      <c r="A17" s="3" t="s">
        <v>357</v>
      </c>
      <c r="B17" s="1">
        <v>1052.4600000000003</v>
      </c>
    </row>
    <row r="18" spans="1:2" x14ac:dyDescent="0.3">
      <c r="A18" s="3" t="s">
        <v>973</v>
      </c>
      <c r="B18" s="1">
        <v>955.86</v>
      </c>
    </row>
    <row r="19" spans="1:2" x14ac:dyDescent="0.3">
      <c r="A19" s="3" t="s">
        <v>1341</v>
      </c>
      <c r="B19" s="1">
        <v>839.90000000000009</v>
      </c>
    </row>
    <row r="20" spans="1:2" x14ac:dyDescent="0.3">
      <c r="A20" s="3" t="s">
        <v>1638</v>
      </c>
      <c r="B20" s="1">
        <v>833.77</v>
      </c>
    </row>
    <row r="21" spans="1:2" x14ac:dyDescent="0.3">
      <c r="A21" s="3" t="s">
        <v>1004</v>
      </c>
      <c r="B21" s="1">
        <v>817.85</v>
      </c>
    </row>
    <row r="22" spans="1:2" x14ac:dyDescent="0.3">
      <c r="A22" s="3" t="s">
        <v>450</v>
      </c>
      <c r="B22" s="1">
        <v>787.05000000000007</v>
      </c>
    </row>
    <row r="23" spans="1:2" x14ac:dyDescent="0.3">
      <c r="A23" s="3" t="s">
        <v>498</v>
      </c>
      <c r="B23" s="1">
        <v>776.48</v>
      </c>
    </row>
    <row r="24" spans="1:2" x14ac:dyDescent="0.3">
      <c r="A24" s="3" t="s">
        <v>343</v>
      </c>
      <c r="B24" s="1">
        <v>773.63</v>
      </c>
    </row>
    <row r="25" spans="1:2" x14ac:dyDescent="0.3">
      <c r="A25" s="3" t="s">
        <v>2094</v>
      </c>
      <c r="B25" s="1">
        <v>770.35</v>
      </c>
    </row>
    <row r="26" spans="1:2" x14ac:dyDescent="0.3">
      <c r="A26" s="3" t="s">
        <v>1669</v>
      </c>
      <c r="B26" s="1">
        <v>760.08</v>
      </c>
    </row>
    <row r="27" spans="1:2" x14ac:dyDescent="0.3">
      <c r="A27" s="3" t="s">
        <v>1346</v>
      </c>
      <c r="B27" s="1">
        <v>734.7</v>
      </c>
    </row>
    <row r="28" spans="1:2" x14ac:dyDescent="0.3">
      <c r="A28" s="3" t="s">
        <v>848</v>
      </c>
      <c r="B28" s="1">
        <v>695.49000000000012</v>
      </c>
    </row>
    <row r="29" spans="1:2" x14ac:dyDescent="0.3">
      <c r="A29" s="3" t="s">
        <v>1009</v>
      </c>
      <c r="B29" s="1">
        <v>690.95</v>
      </c>
    </row>
    <row r="30" spans="1:2" x14ac:dyDescent="0.3">
      <c r="A30" s="3" t="s">
        <v>1467</v>
      </c>
      <c r="B30" s="1">
        <v>672.36</v>
      </c>
    </row>
    <row r="31" spans="1:2" x14ac:dyDescent="0.3">
      <c r="A31" s="3" t="s">
        <v>680</v>
      </c>
      <c r="B31" s="1">
        <v>648.26</v>
      </c>
    </row>
    <row r="32" spans="1:2" x14ac:dyDescent="0.3">
      <c r="A32" s="3" t="s">
        <v>1811</v>
      </c>
      <c r="B32" s="1">
        <v>643.83000000000004</v>
      </c>
    </row>
    <row r="33" spans="1:2" x14ac:dyDescent="0.3">
      <c r="A33" s="3" t="s">
        <v>1079</v>
      </c>
      <c r="B33" s="1">
        <v>604.57999999999993</v>
      </c>
    </row>
    <row r="34" spans="1:2" x14ac:dyDescent="0.3">
      <c r="A34" s="3" t="s">
        <v>1941</v>
      </c>
      <c r="B34" s="1">
        <v>596.72</v>
      </c>
    </row>
    <row r="35" spans="1:2" x14ac:dyDescent="0.3">
      <c r="A35" s="3" t="s">
        <v>1055</v>
      </c>
      <c r="B35" s="1">
        <v>592.13</v>
      </c>
    </row>
    <row r="36" spans="1:2" x14ac:dyDescent="0.3">
      <c r="A36" s="3" t="s">
        <v>738</v>
      </c>
      <c r="B36" s="1">
        <v>574.5</v>
      </c>
    </row>
    <row r="37" spans="1:2" x14ac:dyDescent="0.3">
      <c r="A37" s="3" t="s">
        <v>1088</v>
      </c>
      <c r="B37" s="1">
        <v>562.61</v>
      </c>
    </row>
    <row r="38" spans="1:2" x14ac:dyDescent="0.3">
      <c r="A38" s="3" t="s">
        <v>490</v>
      </c>
      <c r="B38" s="1">
        <v>552</v>
      </c>
    </row>
    <row r="39" spans="1:2" x14ac:dyDescent="0.3">
      <c r="A39" s="3" t="s">
        <v>1260</v>
      </c>
      <c r="B39" s="1">
        <v>543.56999999999994</v>
      </c>
    </row>
    <row r="40" spans="1:2" x14ac:dyDescent="0.3">
      <c r="A40" s="3" t="s">
        <v>590</v>
      </c>
      <c r="B40" s="1">
        <v>515.29999999999995</v>
      </c>
    </row>
    <row r="41" spans="1:2" x14ac:dyDescent="0.3">
      <c r="A41" s="3" t="s">
        <v>669</v>
      </c>
      <c r="B41" s="1">
        <v>503.26000000000005</v>
      </c>
    </row>
    <row r="42" spans="1:2" x14ac:dyDescent="0.3">
      <c r="A42" s="3" t="s">
        <v>1817</v>
      </c>
      <c r="B42" s="1">
        <v>498.52000000000004</v>
      </c>
    </row>
    <row r="43" spans="1:2" x14ac:dyDescent="0.3">
      <c r="A43" s="3" t="s">
        <v>915</v>
      </c>
      <c r="B43" s="1">
        <v>498.40999999999997</v>
      </c>
    </row>
    <row r="44" spans="1:2" x14ac:dyDescent="0.3">
      <c r="A44" s="3" t="s">
        <v>197</v>
      </c>
      <c r="B44" s="1">
        <v>486.5800000000001</v>
      </c>
    </row>
    <row r="45" spans="1:2" x14ac:dyDescent="0.3">
      <c r="A45" s="3" t="s">
        <v>61</v>
      </c>
      <c r="B45" s="1">
        <v>482.61999999999995</v>
      </c>
    </row>
    <row r="46" spans="1:2" x14ac:dyDescent="0.3">
      <c r="A46" s="3" t="s">
        <v>1186</v>
      </c>
      <c r="B46" s="1">
        <v>481.45000000000005</v>
      </c>
    </row>
    <row r="47" spans="1:2" x14ac:dyDescent="0.3">
      <c r="A47" s="3" t="s">
        <v>742</v>
      </c>
      <c r="B47" s="1">
        <v>473.98999999999995</v>
      </c>
    </row>
    <row r="48" spans="1:2" x14ac:dyDescent="0.3">
      <c r="A48" s="3" t="s">
        <v>593</v>
      </c>
      <c r="B48" s="1">
        <v>473.65</v>
      </c>
    </row>
    <row r="49" spans="1:2" x14ac:dyDescent="0.3">
      <c r="A49" s="3" t="s">
        <v>1181</v>
      </c>
      <c r="B49" s="1">
        <v>472.39</v>
      </c>
    </row>
    <row r="50" spans="1:2" x14ac:dyDescent="0.3">
      <c r="A50" s="3" t="s">
        <v>1528</v>
      </c>
      <c r="B50" s="1">
        <v>472.09000000000003</v>
      </c>
    </row>
    <row r="51" spans="1:2" x14ac:dyDescent="0.3">
      <c r="A51" s="3" t="s">
        <v>355</v>
      </c>
      <c r="B51" s="1">
        <v>471.77</v>
      </c>
    </row>
    <row r="52" spans="1:2" x14ac:dyDescent="0.3">
      <c r="A52" s="3" t="s">
        <v>599</v>
      </c>
      <c r="B52" s="1">
        <v>464.14000000000004</v>
      </c>
    </row>
    <row r="53" spans="1:2" x14ac:dyDescent="0.3">
      <c r="A53" s="3" t="s">
        <v>1478</v>
      </c>
      <c r="B53" s="1">
        <v>457.55</v>
      </c>
    </row>
    <row r="54" spans="1:2" x14ac:dyDescent="0.3">
      <c r="A54" s="3" t="s">
        <v>100</v>
      </c>
      <c r="B54" s="1">
        <v>448.03</v>
      </c>
    </row>
    <row r="55" spans="1:2" x14ac:dyDescent="0.3">
      <c r="A55" s="3" t="s">
        <v>1405</v>
      </c>
      <c r="B55" s="1">
        <v>445.89</v>
      </c>
    </row>
    <row r="56" spans="1:2" x14ac:dyDescent="0.3">
      <c r="A56" s="3" t="s">
        <v>2101</v>
      </c>
      <c r="B56" s="1">
        <v>431.98</v>
      </c>
    </row>
    <row r="57" spans="1:2" x14ac:dyDescent="0.3">
      <c r="A57" s="3" t="s">
        <v>743</v>
      </c>
      <c r="B57" s="1">
        <v>423.59</v>
      </c>
    </row>
    <row r="58" spans="1:2" x14ac:dyDescent="0.3">
      <c r="A58" s="3" t="s">
        <v>1152</v>
      </c>
      <c r="B58" s="1">
        <v>420.59000000000009</v>
      </c>
    </row>
    <row r="59" spans="1:2" x14ac:dyDescent="0.3">
      <c r="A59" s="3" t="s">
        <v>1286</v>
      </c>
      <c r="B59" s="1">
        <v>420.59</v>
      </c>
    </row>
    <row r="60" spans="1:2" x14ac:dyDescent="0.3">
      <c r="A60" s="3" t="s">
        <v>72</v>
      </c>
      <c r="B60" s="1">
        <v>411.90000000000003</v>
      </c>
    </row>
    <row r="61" spans="1:2" x14ac:dyDescent="0.3">
      <c r="A61" s="3" t="s">
        <v>227</v>
      </c>
      <c r="B61" s="1">
        <v>409.76</v>
      </c>
    </row>
    <row r="62" spans="1:2" x14ac:dyDescent="0.3">
      <c r="A62" s="3" t="s">
        <v>530</v>
      </c>
      <c r="B62" s="1">
        <v>402.96999999999997</v>
      </c>
    </row>
    <row r="63" spans="1:2" x14ac:dyDescent="0.3">
      <c r="A63" s="3" t="s">
        <v>1471</v>
      </c>
      <c r="B63" s="1">
        <v>402.54000000000008</v>
      </c>
    </row>
    <row r="64" spans="1:2" x14ac:dyDescent="0.3">
      <c r="A64" s="3" t="s">
        <v>437</v>
      </c>
      <c r="B64" s="1">
        <v>399.90999999999997</v>
      </c>
    </row>
    <row r="65" spans="1:2" x14ac:dyDescent="0.3">
      <c r="A65" s="3" t="s">
        <v>904</v>
      </c>
      <c r="B65" s="1">
        <v>395.76</v>
      </c>
    </row>
    <row r="66" spans="1:2" x14ac:dyDescent="0.3">
      <c r="A66" s="3" t="s">
        <v>1012</v>
      </c>
      <c r="B66" s="1">
        <v>395.6</v>
      </c>
    </row>
    <row r="67" spans="1:2" x14ac:dyDescent="0.3">
      <c r="A67" s="3" t="s">
        <v>978</v>
      </c>
      <c r="B67" s="1">
        <v>376.59</v>
      </c>
    </row>
    <row r="68" spans="1:2" x14ac:dyDescent="0.3">
      <c r="A68" s="3" t="s">
        <v>1662</v>
      </c>
      <c r="B68" s="1">
        <v>359.83000000000004</v>
      </c>
    </row>
    <row r="69" spans="1:2" x14ac:dyDescent="0.3">
      <c r="A69" s="3" t="s">
        <v>1042</v>
      </c>
      <c r="B69" s="1">
        <v>357.46000000000004</v>
      </c>
    </row>
    <row r="70" spans="1:2" x14ac:dyDescent="0.3">
      <c r="A70" s="3" t="s">
        <v>468</v>
      </c>
      <c r="B70" s="1">
        <v>343.9</v>
      </c>
    </row>
    <row r="71" spans="1:2" x14ac:dyDescent="0.3">
      <c r="A71" s="3" t="s">
        <v>417</v>
      </c>
      <c r="B71" s="1">
        <v>337.44</v>
      </c>
    </row>
    <row r="72" spans="1:2" x14ac:dyDescent="0.3">
      <c r="A72" s="3" t="s">
        <v>301</v>
      </c>
      <c r="B72" s="1">
        <v>336.96</v>
      </c>
    </row>
    <row r="73" spans="1:2" x14ac:dyDescent="0.3">
      <c r="A73" s="3" t="s">
        <v>677</v>
      </c>
      <c r="B73" s="1">
        <v>326.55</v>
      </c>
    </row>
    <row r="74" spans="1:2" x14ac:dyDescent="0.3">
      <c r="A74" s="3" t="s">
        <v>293</v>
      </c>
      <c r="B74" s="1">
        <v>326.42</v>
      </c>
    </row>
    <row r="75" spans="1:2" x14ac:dyDescent="0.3">
      <c r="A75" s="3" t="s">
        <v>217</v>
      </c>
      <c r="B75" s="1">
        <v>322.21999999999997</v>
      </c>
    </row>
    <row r="76" spans="1:2" x14ac:dyDescent="0.3">
      <c r="A76" s="3" t="s">
        <v>1070</v>
      </c>
      <c r="B76" s="1">
        <v>318.93</v>
      </c>
    </row>
    <row r="77" spans="1:2" x14ac:dyDescent="0.3">
      <c r="A77" s="3" t="s">
        <v>512</v>
      </c>
      <c r="B77" s="1">
        <v>316.15000000000003</v>
      </c>
    </row>
    <row r="78" spans="1:2" x14ac:dyDescent="0.3">
      <c r="A78" s="3" t="s">
        <v>696</v>
      </c>
      <c r="B78" s="1">
        <v>314.30999999999995</v>
      </c>
    </row>
    <row r="79" spans="1:2" x14ac:dyDescent="0.3">
      <c r="A79" s="3" t="s">
        <v>667</v>
      </c>
      <c r="B79" s="1">
        <v>314.17</v>
      </c>
    </row>
    <row r="80" spans="1:2" x14ac:dyDescent="0.3">
      <c r="A80" s="3" t="s">
        <v>560</v>
      </c>
      <c r="B80" s="1">
        <v>309.79000000000002</v>
      </c>
    </row>
    <row r="81" spans="1:2" x14ac:dyDescent="0.3">
      <c r="A81" s="3" t="s">
        <v>156</v>
      </c>
      <c r="B81" s="1">
        <v>309.08999999999997</v>
      </c>
    </row>
    <row r="82" spans="1:2" x14ac:dyDescent="0.3">
      <c r="A82" s="3" t="s">
        <v>749</v>
      </c>
      <c r="B82" s="1">
        <v>303.88000000000005</v>
      </c>
    </row>
    <row r="83" spans="1:2" x14ac:dyDescent="0.3">
      <c r="A83" s="3" t="s">
        <v>545</v>
      </c>
      <c r="B83" s="1">
        <v>300.34000000000003</v>
      </c>
    </row>
    <row r="84" spans="1:2" x14ac:dyDescent="0.3">
      <c r="A84" s="3" t="s">
        <v>587</v>
      </c>
      <c r="B84" s="1">
        <v>297.57</v>
      </c>
    </row>
    <row r="85" spans="1:2" x14ac:dyDescent="0.3">
      <c r="A85" s="3" t="s">
        <v>483</v>
      </c>
      <c r="B85" s="1">
        <v>297.18</v>
      </c>
    </row>
    <row r="86" spans="1:2" x14ac:dyDescent="0.3">
      <c r="A86" s="3" t="s">
        <v>244</v>
      </c>
      <c r="B86" s="1">
        <v>294.08000000000004</v>
      </c>
    </row>
    <row r="87" spans="1:2" x14ac:dyDescent="0.3">
      <c r="A87" s="3" t="s">
        <v>569</v>
      </c>
      <c r="B87" s="1">
        <v>290.89</v>
      </c>
    </row>
    <row r="88" spans="1:2" x14ac:dyDescent="0.3">
      <c r="A88" s="3" t="s">
        <v>1211</v>
      </c>
      <c r="B88" s="1">
        <v>286.36</v>
      </c>
    </row>
    <row r="89" spans="1:2" x14ac:dyDescent="0.3">
      <c r="A89" s="3" t="s">
        <v>630</v>
      </c>
      <c r="B89" s="1">
        <v>285.7</v>
      </c>
    </row>
    <row r="90" spans="1:2" x14ac:dyDescent="0.3">
      <c r="A90" s="3" t="s">
        <v>380</v>
      </c>
      <c r="B90" s="1">
        <v>284.98</v>
      </c>
    </row>
    <row r="91" spans="1:2" x14ac:dyDescent="0.3">
      <c r="A91" s="3" t="s">
        <v>1138</v>
      </c>
      <c r="B91" s="1">
        <v>282.08999999999997</v>
      </c>
    </row>
    <row r="92" spans="1:2" x14ac:dyDescent="0.3">
      <c r="A92" s="3" t="s">
        <v>712</v>
      </c>
      <c r="B92" s="1">
        <v>281.56000000000006</v>
      </c>
    </row>
    <row r="93" spans="1:2" x14ac:dyDescent="0.3">
      <c r="A93" s="3" t="s">
        <v>419</v>
      </c>
      <c r="B93" s="1">
        <v>280.7</v>
      </c>
    </row>
    <row r="94" spans="1:2" x14ac:dyDescent="0.3">
      <c r="A94" s="3" t="s">
        <v>413</v>
      </c>
      <c r="B94" s="1">
        <v>279.86</v>
      </c>
    </row>
    <row r="95" spans="1:2" x14ac:dyDescent="0.3">
      <c r="A95" s="3" t="s">
        <v>218</v>
      </c>
      <c r="B95" s="1">
        <v>275.14</v>
      </c>
    </row>
    <row r="96" spans="1:2" x14ac:dyDescent="0.3">
      <c r="A96" s="3" t="s">
        <v>1251</v>
      </c>
      <c r="B96" s="1">
        <v>274.98</v>
      </c>
    </row>
    <row r="97" spans="1:2" x14ac:dyDescent="0.3">
      <c r="A97" s="3" t="s">
        <v>128</v>
      </c>
      <c r="B97" s="1">
        <v>274.84999999999997</v>
      </c>
    </row>
    <row r="98" spans="1:2" x14ac:dyDescent="0.3">
      <c r="A98" s="3" t="s">
        <v>971</v>
      </c>
      <c r="B98" s="1">
        <v>273.62</v>
      </c>
    </row>
    <row r="99" spans="1:2" x14ac:dyDescent="0.3">
      <c r="A99" s="3" t="s">
        <v>1635</v>
      </c>
      <c r="B99" s="1">
        <v>267.73</v>
      </c>
    </row>
    <row r="100" spans="1:2" x14ac:dyDescent="0.3">
      <c r="A100" s="3" t="s">
        <v>809</v>
      </c>
      <c r="B100" s="1">
        <v>265.47000000000003</v>
      </c>
    </row>
    <row r="101" spans="1:2" x14ac:dyDescent="0.3">
      <c r="A101" s="3" t="s">
        <v>259</v>
      </c>
      <c r="B101" s="1">
        <v>261.2</v>
      </c>
    </row>
    <row r="102" spans="1:2" x14ac:dyDescent="0.3">
      <c r="A102" s="3" t="s">
        <v>433</v>
      </c>
      <c r="B102" s="1">
        <v>260.87</v>
      </c>
    </row>
    <row r="103" spans="1:2" x14ac:dyDescent="0.3">
      <c r="A103" s="3" t="s">
        <v>1705</v>
      </c>
      <c r="B103" s="1">
        <v>260.38</v>
      </c>
    </row>
    <row r="104" spans="1:2" x14ac:dyDescent="0.3">
      <c r="A104" s="3" t="s">
        <v>1616</v>
      </c>
      <c r="B104" s="1">
        <v>254.24</v>
      </c>
    </row>
    <row r="105" spans="1:2" x14ac:dyDescent="0.3">
      <c r="A105" s="3" t="s">
        <v>1046</v>
      </c>
      <c r="B105" s="1">
        <v>248.03000000000003</v>
      </c>
    </row>
    <row r="106" spans="1:2" x14ac:dyDescent="0.3">
      <c r="A106" s="3" t="s">
        <v>1741</v>
      </c>
      <c r="B106" s="1">
        <v>246.45999999999998</v>
      </c>
    </row>
    <row r="107" spans="1:2" x14ac:dyDescent="0.3">
      <c r="A107" s="3" t="s">
        <v>796</v>
      </c>
      <c r="B107" s="1">
        <v>243.64000000000004</v>
      </c>
    </row>
    <row r="108" spans="1:2" x14ac:dyDescent="0.3">
      <c r="A108" s="3" t="s">
        <v>1966</v>
      </c>
      <c r="B108" s="1">
        <v>242.51</v>
      </c>
    </row>
    <row r="109" spans="1:2" x14ac:dyDescent="0.3">
      <c r="A109" s="3" t="s">
        <v>889</v>
      </c>
      <c r="B109" s="1">
        <v>241.91000000000003</v>
      </c>
    </row>
    <row r="110" spans="1:2" x14ac:dyDescent="0.3">
      <c r="A110" s="3" t="s">
        <v>813</v>
      </c>
      <c r="B110" s="1">
        <v>240.86</v>
      </c>
    </row>
    <row r="111" spans="1:2" x14ac:dyDescent="0.3">
      <c r="A111" s="3" t="s">
        <v>1803</v>
      </c>
      <c r="B111" s="1">
        <v>240.59999999999997</v>
      </c>
    </row>
    <row r="112" spans="1:2" x14ac:dyDescent="0.3">
      <c r="A112" s="3" t="s">
        <v>1547</v>
      </c>
      <c r="B112" s="1">
        <v>239.98</v>
      </c>
    </row>
    <row r="113" spans="1:2" x14ac:dyDescent="0.3">
      <c r="A113" s="3" t="s">
        <v>760</v>
      </c>
      <c r="B113" s="1">
        <v>238.4</v>
      </c>
    </row>
    <row r="114" spans="1:2" x14ac:dyDescent="0.3">
      <c r="A114" s="3" t="s">
        <v>1475</v>
      </c>
      <c r="B114" s="1">
        <v>230.60000000000002</v>
      </c>
    </row>
    <row r="115" spans="1:2" x14ac:dyDescent="0.3">
      <c r="A115" s="3" t="s">
        <v>2039</v>
      </c>
      <c r="B115" s="1">
        <v>228.9</v>
      </c>
    </row>
    <row r="116" spans="1:2" x14ac:dyDescent="0.3">
      <c r="A116" s="3" t="s">
        <v>285</v>
      </c>
      <c r="B116" s="1">
        <v>228.76999999999998</v>
      </c>
    </row>
    <row r="117" spans="1:2" x14ac:dyDescent="0.3">
      <c r="A117" s="3" t="s">
        <v>1459</v>
      </c>
      <c r="B117" s="1">
        <v>222.04</v>
      </c>
    </row>
    <row r="118" spans="1:2" x14ac:dyDescent="0.3">
      <c r="A118" s="3" t="s">
        <v>1696</v>
      </c>
      <c r="B118" s="1">
        <v>219.08</v>
      </c>
    </row>
    <row r="119" spans="1:2" x14ac:dyDescent="0.3">
      <c r="A119" s="3" t="s">
        <v>646</v>
      </c>
      <c r="B119" s="1">
        <v>214.53</v>
      </c>
    </row>
    <row r="120" spans="1:2" x14ac:dyDescent="0.3">
      <c r="A120" s="3" t="s">
        <v>509</v>
      </c>
      <c r="B120" s="1">
        <v>213.73</v>
      </c>
    </row>
    <row r="121" spans="1:2" x14ac:dyDescent="0.3">
      <c r="A121" s="3" t="s">
        <v>405</v>
      </c>
      <c r="B121" s="1">
        <v>213.7</v>
      </c>
    </row>
    <row r="122" spans="1:2" x14ac:dyDescent="0.3">
      <c r="A122" s="3" t="s">
        <v>452</v>
      </c>
      <c r="B122" s="1">
        <v>212.03999999999996</v>
      </c>
    </row>
    <row r="123" spans="1:2" x14ac:dyDescent="0.3">
      <c r="A123" s="3" t="s">
        <v>615</v>
      </c>
      <c r="B123" s="1">
        <v>210.7</v>
      </c>
    </row>
    <row r="124" spans="1:2" x14ac:dyDescent="0.3">
      <c r="A124" s="3" t="s">
        <v>1145</v>
      </c>
      <c r="B124" s="1">
        <v>204.42</v>
      </c>
    </row>
    <row r="125" spans="1:2" x14ac:dyDescent="0.3">
      <c r="A125" s="3" t="s">
        <v>1625</v>
      </c>
      <c r="B125" s="1">
        <v>204.07</v>
      </c>
    </row>
    <row r="126" spans="1:2" x14ac:dyDescent="0.3">
      <c r="A126" s="3" t="s">
        <v>363</v>
      </c>
      <c r="B126" s="1">
        <v>202.78</v>
      </c>
    </row>
    <row r="127" spans="1:2" x14ac:dyDescent="0.3">
      <c r="A127" s="3" t="s">
        <v>109</v>
      </c>
      <c r="B127" s="1">
        <v>202.31</v>
      </c>
    </row>
    <row r="128" spans="1:2" x14ac:dyDescent="0.3">
      <c r="A128" s="3" t="s">
        <v>567</v>
      </c>
      <c r="B128" s="1">
        <v>201.07</v>
      </c>
    </row>
    <row r="129" spans="1:2" x14ac:dyDescent="0.3">
      <c r="A129" s="3" t="s">
        <v>853</v>
      </c>
      <c r="B129" s="1">
        <v>200.14999999999998</v>
      </c>
    </row>
    <row r="130" spans="1:2" x14ac:dyDescent="0.3">
      <c r="A130" s="3" t="s">
        <v>1620</v>
      </c>
      <c r="B130" s="1">
        <v>200.12</v>
      </c>
    </row>
    <row r="131" spans="1:2" x14ac:dyDescent="0.3">
      <c r="A131" s="3" t="s">
        <v>289</v>
      </c>
      <c r="B131" s="1">
        <v>199.93</v>
      </c>
    </row>
    <row r="132" spans="1:2" x14ac:dyDescent="0.3">
      <c r="A132" s="3" t="s">
        <v>256</v>
      </c>
      <c r="B132" s="1">
        <v>199.76999999999998</v>
      </c>
    </row>
    <row r="133" spans="1:2" x14ac:dyDescent="0.3">
      <c r="A133" s="3" t="s">
        <v>1871</v>
      </c>
      <c r="B133" s="1">
        <v>196.69</v>
      </c>
    </row>
    <row r="134" spans="1:2" x14ac:dyDescent="0.3">
      <c r="A134" s="3" t="s">
        <v>465</v>
      </c>
      <c r="B134" s="1">
        <v>195.58999999999997</v>
      </c>
    </row>
    <row r="135" spans="1:2" x14ac:dyDescent="0.3">
      <c r="A135" s="3" t="s">
        <v>429</v>
      </c>
      <c r="B135" s="1">
        <v>190.58</v>
      </c>
    </row>
    <row r="136" spans="1:2" x14ac:dyDescent="0.3">
      <c r="A136" s="3" t="s">
        <v>558</v>
      </c>
      <c r="B136" s="1">
        <v>188.28</v>
      </c>
    </row>
    <row r="137" spans="1:2" x14ac:dyDescent="0.3">
      <c r="A137" s="3" t="s">
        <v>1131</v>
      </c>
      <c r="B137" s="1">
        <v>187.74</v>
      </c>
    </row>
    <row r="138" spans="1:2" x14ac:dyDescent="0.3">
      <c r="A138" s="3" t="s">
        <v>1883</v>
      </c>
      <c r="B138" s="1">
        <v>187.34</v>
      </c>
    </row>
    <row r="139" spans="1:2" x14ac:dyDescent="0.3">
      <c r="A139" s="3" t="s">
        <v>182</v>
      </c>
      <c r="B139" s="1">
        <v>186.74</v>
      </c>
    </row>
    <row r="140" spans="1:2" x14ac:dyDescent="0.3">
      <c r="A140" s="3" t="s">
        <v>1438</v>
      </c>
      <c r="B140" s="1">
        <v>186.57999999999998</v>
      </c>
    </row>
    <row r="141" spans="1:2" x14ac:dyDescent="0.3">
      <c r="A141" s="3" t="s">
        <v>239</v>
      </c>
      <c r="B141" s="1">
        <v>186</v>
      </c>
    </row>
    <row r="142" spans="1:2" x14ac:dyDescent="0.3">
      <c r="A142" s="3" t="s">
        <v>314</v>
      </c>
      <c r="B142" s="1">
        <v>185.36999999999998</v>
      </c>
    </row>
    <row r="143" spans="1:2" x14ac:dyDescent="0.3">
      <c r="A143" s="3" t="s">
        <v>1023</v>
      </c>
      <c r="B143" s="1">
        <v>181.16</v>
      </c>
    </row>
    <row r="144" spans="1:2" x14ac:dyDescent="0.3">
      <c r="A144" s="3" t="s">
        <v>1282</v>
      </c>
      <c r="B144" s="1">
        <v>180.42999999999998</v>
      </c>
    </row>
    <row r="145" spans="1:2" x14ac:dyDescent="0.3">
      <c r="A145" s="3" t="s">
        <v>1339</v>
      </c>
      <c r="B145" s="1">
        <v>179.71999999999997</v>
      </c>
    </row>
    <row r="146" spans="1:2" x14ac:dyDescent="0.3">
      <c r="A146" s="3" t="s">
        <v>1576</v>
      </c>
      <c r="B146" s="1">
        <v>178.64999999999998</v>
      </c>
    </row>
    <row r="147" spans="1:2" x14ac:dyDescent="0.3">
      <c r="A147" s="3" t="s">
        <v>1946</v>
      </c>
      <c r="B147" s="1">
        <v>177.41</v>
      </c>
    </row>
    <row r="148" spans="1:2" x14ac:dyDescent="0.3">
      <c r="A148" s="3" t="s">
        <v>270</v>
      </c>
      <c r="B148" s="1">
        <v>176.32000000000002</v>
      </c>
    </row>
    <row r="149" spans="1:2" x14ac:dyDescent="0.3">
      <c r="A149" s="3" t="s">
        <v>443</v>
      </c>
      <c r="B149" s="1">
        <v>173.28</v>
      </c>
    </row>
    <row r="150" spans="1:2" x14ac:dyDescent="0.3">
      <c r="A150" s="3" t="s">
        <v>1485</v>
      </c>
      <c r="B150" s="1">
        <v>172.7</v>
      </c>
    </row>
    <row r="151" spans="1:2" x14ac:dyDescent="0.3">
      <c r="A151" s="3" t="s">
        <v>1793</v>
      </c>
      <c r="B151" s="1">
        <v>171.56</v>
      </c>
    </row>
    <row r="152" spans="1:2" x14ac:dyDescent="0.3">
      <c r="A152" s="3" t="s">
        <v>523</v>
      </c>
      <c r="B152" s="1">
        <v>168.70999999999998</v>
      </c>
    </row>
    <row r="153" spans="1:2" x14ac:dyDescent="0.3">
      <c r="A153" s="3" t="s">
        <v>1448</v>
      </c>
      <c r="B153" s="1">
        <v>168.54000000000002</v>
      </c>
    </row>
    <row r="154" spans="1:2" x14ac:dyDescent="0.3">
      <c r="A154" s="3" t="s">
        <v>536</v>
      </c>
      <c r="B154" s="1">
        <v>168.23999999999998</v>
      </c>
    </row>
    <row r="155" spans="1:2" x14ac:dyDescent="0.3">
      <c r="A155" s="3" t="s">
        <v>953</v>
      </c>
      <c r="B155" s="1">
        <v>168.18</v>
      </c>
    </row>
    <row r="156" spans="1:2" x14ac:dyDescent="0.3">
      <c r="A156" s="3" t="s">
        <v>1483</v>
      </c>
      <c r="B156" s="1">
        <v>167.72</v>
      </c>
    </row>
    <row r="157" spans="1:2" x14ac:dyDescent="0.3">
      <c r="A157" s="3" t="s">
        <v>1886</v>
      </c>
      <c r="B157" s="1">
        <v>165.72000000000003</v>
      </c>
    </row>
    <row r="158" spans="1:2" x14ac:dyDescent="0.3">
      <c r="A158" s="3" t="s">
        <v>445</v>
      </c>
      <c r="B158" s="1">
        <v>165.67</v>
      </c>
    </row>
    <row r="159" spans="1:2" x14ac:dyDescent="0.3">
      <c r="A159" s="3" t="s">
        <v>1933</v>
      </c>
      <c r="B159" s="1">
        <v>165.38</v>
      </c>
    </row>
    <row r="160" spans="1:2" x14ac:dyDescent="0.3">
      <c r="A160" s="3" t="s">
        <v>2060</v>
      </c>
      <c r="B160" s="1">
        <v>164.17</v>
      </c>
    </row>
    <row r="161" spans="1:2" x14ac:dyDescent="0.3">
      <c r="A161" s="3" t="s">
        <v>394</v>
      </c>
      <c r="B161" s="1">
        <v>163.49</v>
      </c>
    </row>
    <row r="162" spans="1:2" x14ac:dyDescent="0.3">
      <c r="A162" s="3" t="s">
        <v>1846</v>
      </c>
      <c r="B162" s="1">
        <v>161.97</v>
      </c>
    </row>
    <row r="163" spans="1:2" x14ac:dyDescent="0.3">
      <c r="A163" s="3" t="s">
        <v>1408</v>
      </c>
      <c r="B163" s="1">
        <v>156.77999999999997</v>
      </c>
    </row>
    <row r="164" spans="1:2" x14ac:dyDescent="0.3">
      <c r="A164" s="3" t="s">
        <v>1357</v>
      </c>
      <c r="B164" s="1">
        <v>153.53</v>
      </c>
    </row>
    <row r="165" spans="1:2" x14ac:dyDescent="0.3">
      <c r="A165" s="3" t="s">
        <v>1957</v>
      </c>
      <c r="B165" s="1">
        <v>153.11000000000001</v>
      </c>
    </row>
    <row r="166" spans="1:2" x14ac:dyDescent="0.3">
      <c r="A166" s="3" t="s">
        <v>788</v>
      </c>
      <c r="B166" s="1">
        <v>148.39000000000001</v>
      </c>
    </row>
    <row r="167" spans="1:2" x14ac:dyDescent="0.3">
      <c r="A167" s="3" t="s">
        <v>1005</v>
      </c>
      <c r="B167" s="1">
        <v>144.45999999999998</v>
      </c>
    </row>
    <row r="168" spans="1:2" x14ac:dyDescent="0.3">
      <c r="A168" s="3" t="s">
        <v>839</v>
      </c>
      <c r="B168" s="1">
        <v>142.40999999999997</v>
      </c>
    </row>
    <row r="169" spans="1:2" x14ac:dyDescent="0.3">
      <c r="A169" s="3" t="s">
        <v>1517</v>
      </c>
      <c r="B169" s="1">
        <v>138.42000000000002</v>
      </c>
    </row>
    <row r="170" spans="1:2" x14ac:dyDescent="0.3">
      <c r="A170" s="3" t="s">
        <v>1497</v>
      </c>
      <c r="B170" s="1">
        <v>138.15999999999997</v>
      </c>
    </row>
    <row r="171" spans="1:2" x14ac:dyDescent="0.3">
      <c r="A171" s="3" t="s">
        <v>1289</v>
      </c>
      <c r="B171" s="1">
        <v>137.83999999999997</v>
      </c>
    </row>
    <row r="172" spans="1:2" x14ac:dyDescent="0.3">
      <c r="A172" s="3" t="s">
        <v>748</v>
      </c>
      <c r="B172" s="1">
        <v>135</v>
      </c>
    </row>
    <row r="173" spans="1:2" x14ac:dyDescent="0.3">
      <c r="A173" s="3" t="s">
        <v>1687</v>
      </c>
      <c r="B173" s="1">
        <v>134.82</v>
      </c>
    </row>
    <row r="174" spans="1:2" x14ac:dyDescent="0.3">
      <c r="A174" s="3" t="s">
        <v>139</v>
      </c>
      <c r="B174" s="1">
        <v>133.99</v>
      </c>
    </row>
    <row r="175" spans="1:2" x14ac:dyDescent="0.3">
      <c r="A175" s="3" t="s">
        <v>727</v>
      </c>
      <c r="B175" s="1">
        <v>133.96</v>
      </c>
    </row>
    <row r="176" spans="1:2" x14ac:dyDescent="0.3">
      <c r="A176" s="3" t="s">
        <v>722</v>
      </c>
      <c r="B176" s="1">
        <v>132.94999999999999</v>
      </c>
    </row>
    <row r="177" spans="1:2" x14ac:dyDescent="0.3">
      <c r="A177" s="3" t="s">
        <v>1595</v>
      </c>
      <c r="B177" s="1">
        <v>132.30000000000001</v>
      </c>
    </row>
    <row r="178" spans="1:2" x14ac:dyDescent="0.3">
      <c r="A178" s="3" t="s">
        <v>373</v>
      </c>
      <c r="B178" s="1">
        <v>132.18</v>
      </c>
    </row>
    <row r="179" spans="1:2" x14ac:dyDescent="0.3">
      <c r="A179" s="3" t="s">
        <v>1538</v>
      </c>
      <c r="B179" s="1">
        <v>132.07</v>
      </c>
    </row>
    <row r="180" spans="1:2" x14ac:dyDescent="0.3">
      <c r="A180" s="3" t="s">
        <v>514</v>
      </c>
      <c r="B180" s="1">
        <v>130.67999999999998</v>
      </c>
    </row>
    <row r="181" spans="1:2" x14ac:dyDescent="0.3">
      <c r="A181" s="3" t="s">
        <v>389</v>
      </c>
      <c r="B181" s="1">
        <v>130.23000000000002</v>
      </c>
    </row>
    <row r="182" spans="1:2" x14ac:dyDescent="0.3">
      <c r="A182" s="3" t="s">
        <v>1361</v>
      </c>
      <c r="B182" s="1">
        <v>129.54999999999998</v>
      </c>
    </row>
    <row r="183" spans="1:2" x14ac:dyDescent="0.3">
      <c r="A183" s="3" t="s">
        <v>475</v>
      </c>
      <c r="B183" s="1">
        <v>126.78999999999999</v>
      </c>
    </row>
    <row r="184" spans="1:2" x14ac:dyDescent="0.3">
      <c r="A184" s="3" t="s">
        <v>1446</v>
      </c>
      <c r="B184" s="1">
        <v>125.17</v>
      </c>
    </row>
    <row r="185" spans="1:2" x14ac:dyDescent="0.3">
      <c r="A185" s="3" t="s">
        <v>283</v>
      </c>
      <c r="B185" s="1">
        <v>123.57999999999998</v>
      </c>
    </row>
    <row r="186" spans="1:2" x14ac:dyDescent="0.3">
      <c r="A186" s="3" t="s">
        <v>215</v>
      </c>
      <c r="B186" s="1">
        <v>123.25</v>
      </c>
    </row>
    <row r="187" spans="1:2" x14ac:dyDescent="0.3">
      <c r="A187" s="3" t="s">
        <v>1891</v>
      </c>
      <c r="B187" s="1">
        <v>120.95</v>
      </c>
    </row>
    <row r="188" spans="1:2" x14ac:dyDescent="0.3">
      <c r="A188" s="3" t="s">
        <v>334</v>
      </c>
      <c r="B188" s="1">
        <v>120.03999999999999</v>
      </c>
    </row>
    <row r="189" spans="1:2" x14ac:dyDescent="0.3">
      <c r="A189" s="3" t="s">
        <v>519</v>
      </c>
      <c r="B189" s="1">
        <v>119.98</v>
      </c>
    </row>
    <row r="190" spans="1:2" x14ac:dyDescent="0.3">
      <c r="A190" s="3" t="s">
        <v>1288</v>
      </c>
      <c r="B190" s="1">
        <v>119.64</v>
      </c>
    </row>
    <row r="191" spans="1:2" x14ac:dyDescent="0.3">
      <c r="A191" s="3" t="s">
        <v>778</v>
      </c>
      <c r="B191" s="1">
        <v>116.66</v>
      </c>
    </row>
    <row r="192" spans="1:2" x14ac:dyDescent="0.3">
      <c r="A192" s="3" t="s">
        <v>505</v>
      </c>
      <c r="B192" s="1">
        <v>115.66999999999999</v>
      </c>
    </row>
    <row r="193" spans="1:2" x14ac:dyDescent="0.3">
      <c r="A193" s="3" t="s">
        <v>768</v>
      </c>
      <c r="B193" s="1">
        <v>114.84</v>
      </c>
    </row>
    <row r="194" spans="1:2" x14ac:dyDescent="0.3">
      <c r="A194" s="3" t="s">
        <v>757</v>
      </c>
      <c r="B194" s="1">
        <v>114.32000000000001</v>
      </c>
    </row>
    <row r="195" spans="1:2" x14ac:dyDescent="0.3">
      <c r="A195" s="3" t="s">
        <v>989</v>
      </c>
      <c r="B195" s="1">
        <v>113.75</v>
      </c>
    </row>
    <row r="196" spans="1:2" x14ac:dyDescent="0.3">
      <c r="A196" s="3" t="s">
        <v>458</v>
      </c>
      <c r="B196" s="1">
        <v>112.28</v>
      </c>
    </row>
    <row r="197" spans="1:2" x14ac:dyDescent="0.3">
      <c r="A197" s="3" t="s">
        <v>879</v>
      </c>
      <c r="B197" s="1">
        <v>111.78999999999999</v>
      </c>
    </row>
    <row r="198" spans="1:2" x14ac:dyDescent="0.3">
      <c r="A198" s="3" t="s">
        <v>1856</v>
      </c>
      <c r="B198" s="1">
        <v>110.55000000000001</v>
      </c>
    </row>
    <row r="199" spans="1:2" x14ac:dyDescent="0.3">
      <c r="A199" s="3" t="s">
        <v>1221</v>
      </c>
      <c r="B199" s="1">
        <v>109.61</v>
      </c>
    </row>
    <row r="200" spans="1:2" x14ac:dyDescent="0.3">
      <c r="A200" s="3" t="s">
        <v>533</v>
      </c>
      <c r="B200" s="1">
        <v>109.58</v>
      </c>
    </row>
    <row r="201" spans="1:2" x14ac:dyDescent="0.3">
      <c r="A201" s="3" t="s">
        <v>794</v>
      </c>
      <c r="B201" s="1">
        <v>109.52000000000001</v>
      </c>
    </row>
    <row r="202" spans="1:2" x14ac:dyDescent="0.3">
      <c r="A202" s="3" t="s">
        <v>887</v>
      </c>
      <c r="B202" s="1">
        <v>108.8</v>
      </c>
    </row>
    <row r="203" spans="1:2" x14ac:dyDescent="0.3">
      <c r="A203" s="3" t="s">
        <v>895</v>
      </c>
      <c r="B203" s="1">
        <v>108.74</v>
      </c>
    </row>
    <row r="204" spans="1:2" x14ac:dyDescent="0.3">
      <c r="A204" s="3" t="s">
        <v>1077</v>
      </c>
      <c r="B204" s="1">
        <v>108.13999999999999</v>
      </c>
    </row>
    <row r="205" spans="1:2" x14ac:dyDescent="0.3">
      <c r="A205" s="3" t="s">
        <v>325</v>
      </c>
      <c r="B205" s="1">
        <v>107.2</v>
      </c>
    </row>
    <row r="206" spans="1:2" x14ac:dyDescent="0.3">
      <c r="A206" s="3" t="s">
        <v>1417</v>
      </c>
      <c r="B206" s="1">
        <v>106.60999999999999</v>
      </c>
    </row>
    <row r="207" spans="1:2" x14ac:dyDescent="0.3">
      <c r="A207" s="3" t="s">
        <v>2057</v>
      </c>
      <c r="B207" s="1">
        <v>106.54</v>
      </c>
    </row>
    <row r="208" spans="1:2" x14ac:dyDescent="0.3">
      <c r="A208" s="3" t="s">
        <v>1563</v>
      </c>
      <c r="B208" s="1">
        <v>106.24000000000001</v>
      </c>
    </row>
    <row r="209" spans="1:2" x14ac:dyDescent="0.3">
      <c r="A209" s="3" t="s">
        <v>185</v>
      </c>
      <c r="B209" s="1">
        <v>105.27</v>
      </c>
    </row>
    <row r="210" spans="1:2" x14ac:dyDescent="0.3">
      <c r="A210" s="3" t="s">
        <v>277</v>
      </c>
      <c r="B210" s="1">
        <v>103.44</v>
      </c>
    </row>
    <row r="211" spans="1:2" x14ac:dyDescent="0.3">
      <c r="A211" s="3" t="s">
        <v>1963</v>
      </c>
      <c r="B211" s="1">
        <v>103.37</v>
      </c>
    </row>
    <row r="212" spans="1:2" x14ac:dyDescent="0.3">
      <c r="A212" s="3" t="s">
        <v>626</v>
      </c>
      <c r="B212" s="1">
        <v>101.69</v>
      </c>
    </row>
    <row r="213" spans="1:2" x14ac:dyDescent="0.3">
      <c r="A213" s="3" t="s">
        <v>29</v>
      </c>
      <c r="B213" s="1">
        <v>101.03</v>
      </c>
    </row>
    <row r="214" spans="1:2" x14ac:dyDescent="0.3">
      <c r="A214" s="3" t="s">
        <v>967</v>
      </c>
      <c r="B214" s="1">
        <v>100.99</v>
      </c>
    </row>
    <row r="215" spans="1:2" x14ac:dyDescent="0.3">
      <c r="A215" s="3" t="s">
        <v>724</v>
      </c>
      <c r="B215" s="1">
        <v>100.91999999999999</v>
      </c>
    </row>
    <row r="216" spans="1:2" x14ac:dyDescent="0.3">
      <c r="A216" s="3" t="s">
        <v>1877</v>
      </c>
      <c r="B216" s="1">
        <v>100.63</v>
      </c>
    </row>
    <row r="217" spans="1:2" x14ac:dyDescent="0.3">
      <c r="A217" s="3" t="s">
        <v>1826</v>
      </c>
      <c r="B217" s="1">
        <v>100.14</v>
      </c>
    </row>
    <row r="218" spans="1:2" x14ac:dyDescent="0.3">
      <c r="A218" s="3" t="s">
        <v>674</v>
      </c>
      <c r="B218" s="1">
        <v>99.42</v>
      </c>
    </row>
    <row r="219" spans="1:2" x14ac:dyDescent="0.3">
      <c r="A219" s="3" t="s">
        <v>1273</v>
      </c>
      <c r="B219" s="1">
        <v>98.59</v>
      </c>
    </row>
    <row r="220" spans="1:2" x14ac:dyDescent="0.3">
      <c r="A220" s="3" t="s">
        <v>1111</v>
      </c>
      <c r="B220" s="1">
        <v>98.11</v>
      </c>
    </row>
    <row r="221" spans="1:2" x14ac:dyDescent="0.3">
      <c r="A221" s="3" t="s">
        <v>1489</v>
      </c>
      <c r="B221" s="1">
        <v>97.86</v>
      </c>
    </row>
    <row r="222" spans="1:2" x14ac:dyDescent="0.3">
      <c r="A222" s="3" t="s">
        <v>9</v>
      </c>
      <c r="B222" s="1">
        <v>97.59</v>
      </c>
    </row>
    <row r="223" spans="1:2" x14ac:dyDescent="0.3">
      <c r="A223" s="3" t="s">
        <v>81</v>
      </c>
      <c r="B223" s="1">
        <v>97.460000000000008</v>
      </c>
    </row>
    <row r="224" spans="1:2" x14ac:dyDescent="0.3">
      <c r="A224" s="3" t="s">
        <v>1320</v>
      </c>
      <c r="B224" s="1">
        <v>96.93</v>
      </c>
    </row>
    <row r="225" spans="1:2" x14ac:dyDescent="0.3">
      <c r="A225" s="3" t="s">
        <v>902</v>
      </c>
      <c r="B225" s="1">
        <v>95.529999999999987</v>
      </c>
    </row>
    <row r="226" spans="1:2" x14ac:dyDescent="0.3">
      <c r="A226" s="3" t="s">
        <v>1748</v>
      </c>
      <c r="B226" s="1">
        <v>95.1</v>
      </c>
    </row>
    <row r="227" spans="1:2" x14ac:dyDescent="0.3">
      <c r="A227" s="3" t="s">
        <v>602</v>
      </c>
      <c r="B227" s="1">
        <v>93.740000000000009</v>
      </c>
    </row>
    <row r="228" spans="1:2" x14ac:dyDescent="0.3">
      <c r="A228" s="3" t="s">
        <v>1799</v>
      </c>
      <c r="B228" s="1">
        <v>93.399999999999991</v>
      </c>
    </row>
    <row r="229" spans="1:2" x14ac:dyDescent="0.3">
      <c r="A229" s="3" t="s">
        <v>684</v>
      </c>
      <c r="B229" s="1">
        <v>93.080000000000013</v>
      </c>
    </row>
    <row r="230" spans="1:2" x14ac:dyDescent="0.3">
      <c r="A230" s="3" t="s">
        <v>1688</v>
      </c>
      <c r="B230" s="1">
        <v>91.570000000000007</v>
      </c>
    </row>
    <row r="231" spans="1:2" x14ac:dyDescent="0.3">
      <c r="A231" s="3" t="s">
        <v>280</v>
      </c>
      <c r="B231" s="1">
        <v>90.13</v>
      </c>
    </row>
    <row r="232" spans="1:2" x14ac:dyDescent="0.3">
      <c r="A232" s="3" t="s">
        <v>2048</v>
      </c>
      <c r="B232" s="1">
        <v>89.2</v>
      </c>
    </row>
    <row r="233" spans="1:2" x14ac:dyDescent="0.3">
      <c r="A233" s="3" t="s">
        <v>1115</v>
      </c>
      <c r="B233" s="1">
        <v>87.79</v>
      </c>
    </row>
    <row r="234" spans="1:2" x14ac:dyDescent="0.3">
      <c r="A234" s="3" t="s">
        <v>1813</v>
      </c>
      <c r="B234" s="1">
        <v>87.449999999999989</v>
      </c>
    </row>
    <row r="235" spans="1:2" x14ac:dyDescent="0.3">
      <c r="A235" s="3" t="s">
        <v>1113</v>
      </c>
      <c r="B235" s="1">
        <v>87.449999999999989</v>
      </c>
    </row>
    <row r="236" spans="1:2" x14ac:dyDescent="0.3">
      <c r="A236" s="3" t="s">
        <v>1723</v>
      </c>
      <c r="B236" s="1">
        <v>87.19</v>
      </c>
    </row>
    <row r="237" spans="1:2" x14ac:dyDescent="0.3">
      <c r="A237" s="3" t="s">
        <v>366</v>
      </c>
      <c r="B237" s="1">
        <v>85.759999999999991</v>
      </c>
    </row>
    <row r="238" spans="1:2" x14ac:dyDescent="0.3">
      <c r="A238" s="3" t="s">
        <v>2079</v>
      </c>
      <c r="B238" s="1">
        <v>84.57</v>
      </c>
    </row>
    <row r="239" spans="1:2" x14ac:dyDescent="0.3">
      <c r="A239" s="3" t="s">
        <v>1064</v>
      </c>
      <c r="B239" s="1">
        <v>84.36</v>
      </c>
    </row>
    <row r="240" spans="1:2" x14ac:dyDescent="0.3">
      <c r="A240" s="3" t="s">
        <v>1534</v>
      </c>
      <c r="B240" s="1">
        <v>83.51</v>
      </c>
    </row>
    <row r="241" spans="1:2" x14ac:dyDescent="0.3">
      <c r="A241" s="3" t="s">
        <v>1385</v>
      </c>
      <c r="B241" s="1">
        <v>82.52</v>
      </c>
    </row>
    <row r="242" spans="1:2" x14ac:dyDescent="0.3">
      <c r="A242" s="3" t="s">
        <v>1546</v>
      </c>
      <c r="B242" s="1">
        <v>81.69</v>
      </c>
    </row>
    <row r="243" spans="1:2" x14ac:dyDescent="0.3">
      <c r="A243" s="3" t="s">
        <v>923</v>
      </c>
      <c r="B243" s="1">
        <v>81.649999999999991</v>
      </c>
    </row>
    <row r="244" spans="1:2" x14ac:dyDescent="0.3">
      <c r="A244" s="3" t="s">
        <v>2037</v>
      </c>
      <c r="B244" s="1">
        <v>81.430000000000007</v>
      </c>
    </row>
    <row r="245" spans="1:2" x14ac:dyDescent="0.3">
      <c r="A245" s="3" t="s">
        <v>1828</v>
      </c>
      <c r="B245" s="1">
        <v>81.12</v>
      </c>
    </row>
    <row r="246" spans="1:2" x14ac:dyDescent="0.3">
      <c r="A246" s="3" t="s">
        <v>1926</v>
      </c>
      <c r="B246" s="1">
        <v>80.84</v>
      </c>
    </row>
    <row r="247" spans="1:2" x14ac:dyDescent="0.3">
      <c r="A247" s="3" t="s">
        <v>1383</v>
      </c>
      <c r="B247" s="1">
        <v>80.63</v>
      </c>
    </row>
    <row r="248" spans="1:2" x14ac:dyDescent="0.3">
      <c r="A248" s="3" t="s">
        <v>1663</v>
      </c>
      <c r="B248" s="1">
        <v>79.89</v>
      </c>
    </row>
    <row r="249" spans="1:2" x14ac:dyDescent="0.3">
      <c r="A249" s="3" t="s">
        <v>554</v>
      </c>
      <c r="B249" s="1">
        <v>79.38</v>
      </c>
    </row>
    <row r="250" spans="1:2" x14ac:dyDescent="0.3">
      <c r="A250" s="3" t="s">
        <v>878</v>
      </c>
      <c r="B250" s="1">
        <v>79.099999999999994</v>
      </c>
    </row>
    <row r="251" spans="1:2" x14ac:dyDescent="0.3">
      <c r="A251" s="3" t="s">
        <v>1746</v>
      </c>
      <c r="B251" s="1">
        <v>78.5</v>
      </c>
    </row>
    <row r="252" spans="1:2" x14ac:dyDescent="0.3">
      <c r="A252" s="3" t="s">
        <v>492</v>
      </c>
      <c r="B252" s="1">
        <v>78.23</v>
      </c>
    </row>
    <row r="253" spans="1:2" x14ac:dyDescent="0.3">
      <c r="A253" s="3" t="s">
        <v>861</v>
      </c>
      <c r="B253" s="1">
        <v>77.639999999999986</v>
      </c>
    </row>
    <row r="254" spans="1:2" x14ac:dyDescent="0.3">
      <c r="A254" s="3" t="s">
        <v>1122</v>
      </c>
      <c r="B254" s="1">
        <v>77.03</v>
      </c>
    </row>
    <row r="255" spans="1:2" x14ac:dyDescent="0.3">
      <c r="A255" s="3" t="s">
        <v>1655</v>
      </c>
      <c r="B255" s="1">
        <v>76.489999999999995</v>
      </c>
    </row>
    <row r="256" spans="1:2" x14ac:dyDescent="0.3">
      <c r="A256" s="3" t="s">
        <v>1744</v>
      </c>
      <c r="B256" s="1">
        <v>75.52</v>
      </c>
    </row>
    <row r="257" spans="1:2" x14ac:dyDescent="0.3">
      <c r="A257" s="3" t="s">
        <v>1249</v>
      </c>
      <c r="B257" s="1">
        <v>75.350000000000009</v>
      </c>
    </row>
    <row r="258" spans="1:2" x14ac:dyDescent="0.3">
      <c r="A258" s="3" t="s">
        <v>983</v>
      </c>
      <c r="B258" s="1">
        <v>73.680000000000007</v>
      </c>
    </row>
    <row r="259" spans="1:2" x14ac:dyDescent="0.3">
      <c r="A259" s="3" t="s">
        <v>1752</v>
      </c>
      <c r="B259" s="1">
        <v>72.58</v>
      </c>
    </row>
    <row r="260" spans="1:2" x14ac:dyDescent="0.3">
      <c r="A260" s="3" t="s">
        <v>195</v>
      </c>
      <c r="B260" s="1">
        <v>72.080000000000013</v>
      </c>
    </row>
    <row r="261" spans="1:2" x14ac:dyDescent="0.3">
      <c r="A261" s="3" t="s">
        <v>1044</v>
      </c>
      <c r="B261" s="1">
        <v>71.95</v>
      </c>
    </row>
    <row r="262" spans="1:2" x14ac:dyDescent="0.3">
      <c r="A262" s="3" t="s">
        <v>1196</v>
      </c>
      <c r="B262" s="1">
        <v>71.209999999999994</v>
      </c>
    </row>
    <row r="263" spans="1:2" x14ac:dyDescent="0.3">
      <c r="A263" s="3" t="s">
        <v>341</v>
      </c>
      <c r="B263" s="1">
        <v>70.489999999999995</v>
      </c>
    </row>
    <row r="264" spans="1:2" x14ac:dyDescent="0.3">
      <c r="A264" s="3" t="s">
        <v>1798</v>
      </c>
      <c r="B264" s="1">
        <v>70.2</v>
      </c>
    </row>
    <row r="265" spans="1:2" x14ac:dyDescent="0.3">
      <c r="A265" s="3" t="s">
        <v>1254</v>
      </c>
      <c r="B265" s="1">
        <v>68.800000000000011</v>
      </c>
    </row>
    <row r="266" spans="1:2" x14ac:dyDescent="0.3">
      <c r="A266" s="3" t="s">
        <v>547</v>
      </c>
      <c r="B266" s="1">
        <v>67.97</v>
      </c>
    </row>
    <row r="267" spans="1:2" x14ac:dyDescent="0.3">
      <c r="A267" s="3" t="s">
        <v>695</v>
      </c>
      <c r="B267" s="1">
        <v>66.77</v>
      </c>
    </row>
    <row r="268" spans="1:2" x14ac:dyDescent="0.3">
      <c r="A268" s="3" t="s">
        <v>176</v>
      </c>
      <c r="B268" s="1">
        <v>66.59</v>
      </c>
    </row>
    <row r="269" spans="1:2" x14ac:dyDescent="0.3">
      <c r="A269" s="3" t="s">
        <v>478</v>
      </c>
      <c r="B269" s="1">
        <v>65.599999999999994</v>
      </c>
    </row>
    <row r="270" spans="1:2" x14ac:dyDescent="0.3">
      <c r="A270" s="3" t="s">
        <v>1207</v>
      </c>
      <c r="B270" s="1">
        <v>64.7</v>
      </c>
    </row>
    <row r="271" spans="1:2" x14ac:dyDescent="0.3">
      <c r="A271" s="3" t="s">
        <v>1494</v>
      </c>
      <c r="B271" s="1">
        <v>64.460000000000008</v>
      </c>
    </row>
    <row r="272" spans="1:2" x14ac:dyDescent="0.3">
      <c r="A272" s="3" t="s">
        <v>1301</v>
      </c>
      <c r="B272" s="1">
        <v>64.08</v>
      </c>
    </row>
    <row r="273" spans="1:2" x14ac:dyDescent="0.3">
      <c r="A273" s="3" t="s">
        <v>873</v>
      </c>
      <c r="B273" s="1">
        <v>63.489999999999995</v>
      </c>
    </row>
    <row r="274" spans="1:2" x14ac:dyDescent="0.3">
      <c r="A274" s="3" t="s">
        <v>1414</v>
      </c>
      <c r="B274" s="1">
        <v>62.73</v>
      </c>
    </row>
    <row r="275" spans="1:2" x14ac:dyDescent="0.3">
      <c r="A275" s="3" t="s">
        <v>959</v>
      </c>
      <c r="B275" s="1">
        <v>62.13</v>
      </c>
    </row>
    <row r="276" spans="1:2" x14ac:dyDescent="0.3">
      <c r="A276" s="3" t="s">
        <v>829</v>
      </c>
      <c r="B276" s="1">
        <v>60.97</v>
      </c>
    </row>
    <row r="277" spans="1:2" x14ac:dyDescent="0.3">
      <c r="A277" s="3" t="s">
        <v>1190</v>
      </c>
      <c r="B277" s="1">
        <v>60.269999999999996</v>
      </c>
    </row>
    <row r="278" spans="1:2" x14ac:dyDescent="0.3">
      <c r="A278" s="3" t="s">
        <v>1335</v>
      </c>
      <c r="B278" s="1">
        <v>59.269999999999996</v>
      </c>
    </row>
    <row r="279" spans="1:2" x14ac:dyDescent="0.3">
      <c r="A279" s="3" t="s">
        <v>997</v>
      </c>
      <c r="B279" s="1">
        <v>59.260000000000005</v>
      </c>
    </row>
    <row r="280" spans="1:2" x14ac:dyDescent="0.3">
      <c r="A280" s="3" t="s">
        <v>1771</v>
      </c>
      <c r="B280" s="1">
        <v>58.7</v>
      </c>
    </row>
    <row r="281" spans="1:2" x14ac:dyDescent="0.3">
      <c r="A281" s="3" t="s">
        <v>456</v>
      </c>
      <c r="B281" s="1">
        <v>58.629999999999995</v>
      </c>
    </row>
    <row r="282" spans="1:2" x14ac:dyDescent="0.3">
      <c r="A282" s="3" t="s">
        <v>1298</v>
      </c>
      <c r="B282" s="1">
        <v>57.660000000000004</v>
      </c>
    </row>
    <row r="283" spans="1:2" x14ac:dyDescent="0.3">
      <c r="A283" s="3" t="s">
        <v>589</v>
      </c>
      <c r="B283" s="1">
        <v>57.59</v>
      </c>
    </row>
    <row r="284" spans="1:2" x14ac:dyDescent="0.3">
      <c r="A284" s="3" t="s">
        <v>815</v>
      </c>
      <c r="B284" s="1">
        <v>57.49</v>
      </c>
    </row>
    <row r="285" spans="1:2" x14ac:dyDescent="0.3">
      <c r="A285" s="3" t="s">
        <v>1198</v>
      </c>
      <c r="B285" s="1">
        <v>57.43</v>
      </c>
    </row>
    <row r="286" spans="1:2" x14ac:dyDescent="0.3">
      <c r="A286" s="3" t="s">
        <v>90</v>
      </c>
      <c r="B286" s="1">
        <v>55.47</v>
      </c>
    </row>
    <row r="287" spans="1:2" x14ac:dyDescent="0.3">
      <c r="A287" s="3" t="s">
        <v>246</v>
      </c>
      <c r="B287" s="1">
        <v>54.65</v>
      </c>
    </row>
    <row r="288" spans="1:2" x14ac:dyDescent="0.3">
      <c r="A288" s="3" t="s">
        <v>1574</v>
      </c>
      <c r="B288" s="1">
        <v>54.19</v>
      </c>
    </row>
    <row r="289" spans="1:2" x14ac:dyDescent="0.3">
      <c r="A289" s="3" t="s">
        <v>83</v>
      </c>
      <c r="B289" s="1">
        <v>54.09</v>
      </c>
    </row>
    <row r="290" spans="1:2" x14ac:dyDescent="0.3">
      <c r="A290" s="3" t="s">
        <v>1338</v>
      </c>
      <c r="B290" s="1">
        <v>53.699999999999996</v>
      </c>
    </row>
    <row r="291" spans="1:2" x14ac:dyDescent="0.3">
      <c r="A291" s="3" t="s">
        <v>1519</v>
      </c>
      <c r="B291" s="1">
        <v>53.4</v>
      </c>
    </row>
    <row r="292" spans="1:2" x14ac:dyDescent="0.3">
      <c r="A292" s="3" t="s">
        <v>925</v>
      </c>
      <c r="B292" s="1">
        <v>53.34</v>
      </c>
    </row>
    <row r="293" spans="1:2" x14ac:dyDescent="0.3">
      <c r="A293" s="3" t="s">
        <v>1412</v>
      </c>
      <c r="B293" s="1">
        <v>52.79</v>
      </c>
    </row>
    <row r="294" spans="1:2" x14ac:dyDescent="0.3">
      <c r="A294" s="3" t="s">
        <v>167</v>
      </c>
      <c r="B294" s="1">
        <v>52.64</v>
      </c>
    </row>
    <row r="295" spans="1:2" x14ac:dyDescent="0.3">
      <c r="A295" s="3" t="s">
        <v>1797</v>
      </c>
      <c r="B295" s="1">
        <v>52.53</v>
      </c>
    </row>
    <row r="296" spans="1:2" x14ac:dyDescent="0.3">
      <c r="A296" s="3" t="s">
        <v>1312</v>
      </c>
      <c r="B296" s="1">
        <v>52.43</v>
      </c>
    </row>
    <row r="297" spans="1:2" x14ac:dyDescent="0.3">
      <c r="A297" s="3" t="s">
        <v>736</v>
      </c>
      <c r="B297" s="1">
        <v>51.36</v>
      </c>
    </row>
    <row r="298" spans="1:2" x14ac:dyDescent="0.3">
      <c r="A298" s="3" t="s">
        <v>1684</v>
      </c>
      <c r="B298" s="1">
        <v>51.25</v>
      </c>
    </row>
    <row r="299" spans="1:2" x14ac:dyDescent="0.3">
      <c r="A299" s="3" t="s">
        <v>2088</v>
      </c>
      <c r="B299" s="1">
        <v>51.16</v>
      </c>
    </row>
    <row r="300" spans="1:2" x14ac:dyDescent="0.3">
      <c r="A300" s="3" t="s">
        <v>1074</v>
      </c>
      <c r="B300" s="1">
        <v>50.43</v>
      </c>
    </row>
    <row r="301" spans="1:2" x14ac:dyDescent="0.3">
      <c r="A301" s="3" t="s">
        <v>346</v>
      </c>
      <c r="B301" s="1">
        <v>49.370000000000005</v>
      </c>
    </row>
    <row r="302" spans="1:2" x14ac:dyDescent="0.3">
      <c r="A302" s="3" t="s">
        <v>170</v>
      </c>
      <c r="B302" s="1">
        <v>48.85</v>
      </c>
    </row>
    <row r="303" spans="1:2" x14ac:dyDescent="0.3">
      <c r="A303" s="3" t="s">
        <v>1230</v>
      </c>
      <c r="B303" s="1">
        <v>48.519999999999996</v>
      </c>
    </row>
    <row r="304" spans="1:2" x14ac:dyDescent="0.3">
      <c r="A304" s="3" t="s">
        <v>938</v>
      </c>
      <c r="B304" s="1">
        <v>47.81</v>
      </c>
    </row>
    <row r="305" spans="1:2" x14ac:dyDescent="0.3">
      <c r="A305" s="3" t="s">
        <v>69</v>
      </c>
      <c r="B305" s="1">
        <v>47.61</v>
      </c>
    </row>
    <row r="306" spans="1:2" x14ac:dyDescent="0.3">
      <c r="A306" s="3" t="s">
        <v>1143</v>
      </c>
      <c r="B306" s="1">
        <v>47.2</v>
      </c>
    </row>
    <row r="307" spans="1:2" x14ac:dyDescent="0.3">
      <c r="A307" s="3" t="s">
        <v>295</v>
      </c>
      <c r="B307" s="1">
        <v>46.97</v>
      </c>
    </row>
    <row r="308" spans="1:2" x14ac:dyDescent="0.3">
      <c r="A308" s="3" t="s">
        <v>1167</v>
      </c>
      <c r="B308" s="1">
        <v>46.8</v>
      </c>
    </row>
    <row r="309" spans="1:2" x14ac:dyDescent="0.3">
      <c r="A309" s="3" t="s">
        <v>607</v>
      </c>
      <c r="B309" s="1">
        <v>46.27</v>
      </c>
    </row>
    <row r="310" spans="1:2" x14ac:dyDescent="0.3">
      <c r="A310" s="3" t="s">
        <v>171</v>
      </c>
      <c r="B310" s="1">
        <v>45.430000000000007</v>
      </c>
    </row>
    <row r="311" spans="1:2" x14ac:dyDescent="0.3">
      <c r="A311" s="3" t="s">
        <v>1951</v>
      </c>
      <c r="B311" s="1">
        <v>44.71</v>
      </c>
    </row>
    <row r="312" spans="1:2" x14ac:dyDescent="0.3">
      <c r="A312" s="3" t="s">
        <v>1657</v>
      </c>
      <c r="B312" s="1">
        <v>43.22</v>
      </c>
    </row>
    <row r="313" spans="1:2" x14ac:dyDescent="0.3">
      <c r="A313" s="3" t="s">
        <v>1242</v>
      </c>
      <c r="B313" s="1">
        <v>43.06</v>
      </c>
    </row>
    <row r="314" spans="1:2" x14ac:dyDescent="0.3">
      <c r="A314" s="3" t="s">
        <v>875</v>
      </c>
      <c r="B314" s="1">
        <v>42.92</v>
      </c>
    </row>
    <row r="315" spans="1:2" x14ac:dyDescent="0.3">
      <c r="A315" s="3" t="s">
        <v>1751</v>
      </c>
      <c r="B315" s="1">
        <v>42.2</v>
      </c>
    </row>
    <row r="316" spans="1:2" x14ac:dyDescent="0.3">
      <c r="A316" s="3" t="s">
        <v>1720</v>
      </c>
      <c r="B316" s="1">
        <v>41.89</v>
      </c>
    </row>
    <row r="317" spans="1:2" x14ac:dyDescent="0.3">
      <c r="A317" s="3" t="s">
        <v>1511</v>
      </c>
      <c r="B317" s="1">
        <v>41.6</v>
      </c>
    </row>
    <row r="318" spans="1:2" x14ac:dyDescent="0.3">
      <c r="A318" s="3" t="s">
        <v>1617</v>
      </c>
      <c r="B318" s="1">
        <v>41.269999999999996</v>
      </c>
    </row>
    <row r="319" spans="1:2" x14ac:dyDescent="0.3">
      <c r="A319" s="3" t="s">
        <v>1907</v>
      </c>
      <c r="B319" s="1">
        <v>41.08</v>
      </c>
    </row>
    <row r="320" spans="1:2" x14ac:dyDescent="0.3">
      <c r="A320" s="3" t="s">
        <v>859</v>
      </c>
      <c r="B320" s="1">
        <v>40.96</v>
      </c>
    </row>
    <row r="321" spans="1:2" x14ac:dyDescent="0.3">
      <c r="A321" s="3" t="s">
        <v>945</v>
      </c>
      <c r="B321" s="1">
        <v>40.200000000000003</v>
      </c>
    </row>
    <row r="322" spans="1:2" x14ac:dyDescent="0.3">
      <c r="A322" s="3" t="s">
        <v>159</v>
      </c>
      <c r="B322" s="1">
        <v>40.17</v>
      </c>
    </row>
    <row r="323" spans="1:2" x14ac:dyDescent="0.3">
      <c r="A323" s="3" t="s">
        <v>1766</v>
      </c>
      <c r="B323" s="1">
        <v>39.770000000000003</v>
      </c>
    </row>
    <row r="324" spans="1:2" x14ac:dyDescent="0.3">
      <c r="A324" s="3" t="s">
        <v>307</v>
      </c>
      <c r="B324" s="1">
        <v>38.800000000000004</v>
      </c>
    </row>
    <row r="325" spans="1:2" x14ac:dyDescent="0.3">
      <c r="A325" s="3" t="s">
        <v>268</v>
      </c>
      <c r="B325" s="1">
        <v>38.5</v>
      </c>
    </row>
    <row r="326" spans="1:2" x14ac:dyDescent="0.3">
      <c r="A326" s="3" t="s">
        <v>803</v>
      </c>
      <c r="B326" s="1">
        <v>38.269999999999996</v>
      </c>
    </row>
    <row r="327" spans="1:2" x14ac:dyDescent="0.3">
      <c r="A327" s="3" t="s">
        <v>917</v>
      </c>
      <c r="B327" s="1">
        <v>38.130000000000003</v>
      </c>
    </row>
    <row r="328" spans="1:2" x14ac:dyDescent="0.3">
      <c r="A328" s="3" t="s">
        <v>657</v>
      </c>
      <c r="B328" s="1">
        <v>38.01</v>
      </c>
    </row>
    <row r="329" spans="1:2" x14ac:dyDescent="0.3">
      <c r="A329" s="3" t="s">
        <v>1431</v>
      </c>
      <c r="B329" s="1">
        <v>37.880000000000003</v>
      </c>
    </row>
    <row r="330" spans="1:2" x14ac:dyDescent="0.3">
      <c r="A330" s="3" t="s">
        <v>681</v>
      </c>
      <c r="B330" s="1">
        <v>37.64</v>
      </c>
    </row>
    <row r="331" spans="1:2" x14ac:dyDescent="0.3">
      <c r="A331" s="3" t="s">
        <v>1623</v>
      </c>
      <c r="B331" s="1">
        <v>37.4</v>
      </c>
    </row>
    <row r="332" spans="1:2" x14ac:dyDescent="0.3">
      <c r="A332" s="3" t="s">
        <v>1633</v>
      </c>
      <c r="B332" s="1">
        <v>36.980000000000004</v>
      </c>
    </row>
    <row r="333" spans="1:2" x14ac:dyDescent="0.3">
      <c r="A333" s="3" t="s">
        <v>2091</v>
      </c>
      <c r="B333" s="1">
        <v>36.47</v>
      </c>
    </row>
    <row r="334" spans="1:2" x14ac:dyDescent="0.3">
      <c r="A334" s="3" t="s">
        <v>1200</v>
      </c>
      <c r="B334" s="1">
        <v>35.799999999999997</v>
      </c>
    </row>
    <row r="335" spans="1:2" x14ac:dyDescent="0.3">
      <c r="A335" s="3" t="s">
        <v>1487</v>
      </c>
      <c r="B335" s="1">
        <v>35.4</v>
      </c>
    </row>
    <row r="336" spans="1:2" x14ac:dyDescent="0.3">
      <c r="A336" s="3" t="s">
        <v>2064</v>
      </c>
      <c r="B336" s="1">
        <v>35.26</v>
      </c>
    </row>
    <row r="337" spans="1:2" x14ac:dyDescent="0.3">
      <c r="A337" s="3" t="s">
        <v>1394</v>
      </c>
      <c r="B337" s="1">
        <v>35.020000000000003</v>
      </c>
    </row>
    <row r="338" spans="1:2" x14ac:dyDescent="0.3">
      <c r="A338" s="3" t="s">
        <v>1310</v>
      </c>
      <c r="B338" s="1">
        <v>35</v>
      </c>
    </row>
    <row r="339" spans="1:2" x14ac:dyDescent="0.3">
      <c r="A339" s="3" t="s">
        <v>1148</v>
      </c>
      <c r="B339" s="1">
        <v>34.94</v>
      </c>
    </row>
    <row r="340" spans="1:2" x14ac:dyDescent="0.3">
      <c r="A340" s="3" t="s">
        <v>1931</v>
      </c>
      <c r="B340" s="1">
        <v>34.74</v>
      </c>
    </row>
    <row r="341" spans="1:2" x14ac:dyDescent="0.3">
      <c r="A341" s="3" t="s">
        <v>1287</v>
      </c>
      <c r="B341" s="1">
        <v>34.29999999999999</v>
      </c>
    </row>
    <row r="342" spans="1:2" x14ac:dyDescent="0.3">
      <c r="A342" s="3" t="s">
        <v>1271</v>
      </c>
      <c r="B342" s="1">
        <v>33.42</v>
      </c>
    </row>
    <row r="343" spans="1:2" x14ac:dyDescent="0.3">
      <c r="A343" s="3" t="s">
        <v>241</v>
      </c>
      <c r="B343" s="1">
        <v>33.200000000000003</v>
      </c>
    </row>
    <row r="344" spans="1:2" x14ac:dyDescent="0.3">
      <c r="A344" s="3" t="s">
        <v>1076</v>
      </c>
      <c r="B344" s="1">
        <v>32.96</v>
      </c>
    </row>
    <row r="345" spans="1:2" x14ac:dyDescent="0.3">
      <c r="A345" s="3" t="s">
        <v>628</v>
      </c>
      <c r="B345" s="1">
        <v>32.94</v>
      </c>
    </row>
    <row r="346" spans="1:2" x14ac:dyDescent="0.3">
      <c r="A346" s="3" t="s">
        <v>671</v>
      </c>
      <c r="B346" s="1">
        <v>32.619999999999997</v>
      </c>
    </row>
    <row r="347" spans="1:2" x14ac:dyDescent="0.3">
      <c r="A347" s="3" t="s">
        <v>822</v>
      </c>
      <c r="B347" s="1">
        <v>32.39</v>
      </c>
    </row>
    <row r="348" spans="1:2" x14ac:dyDescent="0.3">
      <c r="A348" s="3" t="s">
        <v>1033</v>
      </c>
      <c r="B348" s="1">
        <v>32.229999999999997</v>
      </c>
    </row>
    <row r="349" spans="1:2" x14ac:dyDescent="0.3">
      <c r="A349" s="3" t="s">
        <v>305</v>
      </c>
      <c r="B349" s="1">
        <v>31.87</v>
      </c>
    </row>
    <row r="350" spans="1:2" x14ac:dyDescent="0.3">
      <c r="A350" s="3" t="s">
        <v>1541</v>
      </c>
      <c r="B350" s="1">
        <v>31.83</v>
      </c>
    </row>
    <row r="351" spans="1:2" x14ac:dyDescent="0.3">
      <c r="A351" s="3" t="s">
        <v>1672</v>
      </c>
      <c r="B351" s="1">
        <v>31.53</v>
      </c>
    </row>
    <row r="352" spans="1:2" x14ac:dyDescent="0.3">
      <c r="A352" s="3" t="s">
        <v>204</v>
      </c>
      <c r="B352" s="1">
        <v>31.17</v>
      </c>
    </row>
    <row r="353" spans="1:2" x14ac:dyDescent="0.3">
      <c r="A353" s="3" t="s">
        <v>824</v>
      </c>
      <c r="B353" s="1">
        <v>31.01</v>
      </c>
    </row>
    <row r="354" spans="1:2" x14ac:dyDescent="0.3">
      <c r="A354" s="3" t="s">
        <v>1214</v>
      </c>
      <c r="B354" s="1">
        <v>30.91</v>
      </c>
    </row>
    <row r="355" spans="1:2" x14ac:dyDescent="0.3">
      <c r="A355" s="3" t="s">
        <v>1330</v>
      </c>
      <c r="B355" s="1">
        <v>30.84</v>
      </c>
    </row>
    <row r="356" spans="1:2" x14ac:dyDescent="0.3">
      <c r="A356" s="3" t="s">
        <v>883</v>
      </c>
      <c r="B356" s="1">
        <v>30.78</v>
      </c>
    </row>
    <row r="357" spans="1:2" x14ac:dyDescent="0.3">
      <c r="A357" s="3" t="s">
        <v>2053</v>
      </c>
      <c r="B357" s="1">
        <v>29.740000000000002</v>
      </c>
    </row>
    <row r="358" spans="1:2" x14ac:dyDescent="0.3">
      <c r="A358" s="3" t="s">
        <v>1557</v>
      </c>
      <c r="B358" s="1">
        <v>29.67</v>
      </c>
    </row>
    <row r="359" spans="1:2" x14ac:dyDescent="0.3">
      <c r="A359" s="3" t="s">
        <v>928</v>
      </c>
      <c r="B359" s="1">
        <v>29.47</v>
      </c>
    </row>
    <row r="360" spans="1:2" x14ac:dyDescent="0.3">
      <c r="A360" s="3" t="s">
        <v>212</v>
      </c>
      <c r="B360" s="1">
        <v>29.34</v>
      </c>
    </row>
    <row r="361" spans="1:2" x14ac:dyDescent="0.3">
      <c r="A361" s="3" t="s">
        <v>407</v>
      </c>
      <c r="B361" s="1">
        <v>29.169999999999998</v>
      </c>
    </row>
    <row r="362" spans="1:2" x14ac:dyDescent="0.3">
      <c r="A362" s="3" t="s">
        <v>1277</v>
      </c>
      <c r="B362" s="1">
        <v>28.77</v>
      </c>
    </row>
    <row r="363" spans="1:2" x14ac:dyDescent="0.3">
      <c r="A363" s="3" t="s">
        <v>573</v>
      </c>
      <c r="B363" s="1">
        <v>28.75</v>
      </c>
    </row>
    <row r="364" spans="1:2" x14ac:dyDescent="0.3">
      <c r="A364" s="3" t="s">
        <v>2013</v>
      </c>
      <c r="B364" s="1">
        <v>28.71</v>
      </c>
    </row>
    <row r="365" spans="1:2" x14ac:dyDescent="0.3">
      <c r="A365" s="3" t="s">
        <v>1727</v>
      </c>
      <c r="B365" s="1">
        <v>28.52</v>
      </c>
    </row>
    <row r="366" spans="1:2" x14ac:dyDescent="0.3">
      <c r="A366" s="3" t="s">
        <v>462</v>
      </c>
      <c r="B366" s="1">
        <v>28.26</v>
      </c>
    </row>
    <row r="367" spans="1:2" x14ac:dyDescent="0.3">
      <c r="A367" s="3" t="s">
        <v>1920</v>
      </c>
      <c r="B367" s="1">
        <v>27.2</v>
      </c>
    </row>
    <row r="368" spans="1:2" x14ac:dyDescent="0.3">
      <c r="A368" s="3" t="s">
        <v>1466</v>
      </c>
      <c r="B368" s="1">
        <v>27.19</v>
      </c>
    </row>
    <row r="369" spans="1:2" x14ac:dyDescent="0.3">
      <c r="A369" s="3" t="s">
        <v>2017</v>
      </c>
      <c r="B369" s="1">
        <v>26.89</v>
      </c>
    </row>
    <row r="370" spans="1:2" x14ac:dyDescent="0.3">
      <c r="A370" s="3" t="s">
        <v>1426</v>
      </c>
      <c r="B370" s="1">
        <v>26.78</v>
      </c>
    </row>
    <row r="371" spans="1:2" x14ac:dyDescent="0.3">
      <c r="A371" s="3" t="s">
        <v>702</v>
      </c>
      <c r="B371" s="1">
        <v>26.430000000000007</v>
      </c>
    </row>
    <row r="372" spans="1:2" x14ac:dyDescent="0.3">
      <c r="A372" s="3" t="s">
        <v>1212</v>
      </c>
      <c r="B372" s="1">
        <v>26.41</v>
      </c>
    </row>
    <row r="373" spans="1:2" x14ac:dyDescent="0.3">
      <c r="A373" s="3" t="s">
        <v>392</v>
      </c>
      <c r="B373" s="1">
        <v>26.340000000000003</v>
      </c>
    </row>
    <row r="374" spans="1:2" x14ac:dyDescent="0.3">
      <c r="A374" s="3" t="s">
        <v>1183</v>
      </c>
      <c r="B374" s="1">
        <v>25.87</v>
      </c>
    </row>
    <row r="375" spans="1:2" x14ac:dyDescent="0.3">
      <c r="A375" s="3" t="s">
        <v>892</v>
      </c>
      <c r="B375" s="1">
        <v>25.340000000000003</v>
      </c>
    </row>
    <row r="376" spans="1:2" x14ac:dyDescent="0.3">
      <c r="A376" s="3" t="s">
        <v>1618</v>
      </c>
      <c r="B376" s="1">
        <v>25.229999999999997</v>
      </c>
    </row>
    <row r="377" spans="1:2" x14ac:dyDescent="0.3">
      <c r="A377" s="3" t="s">
        <v>1151</v>
      </c>
      <c r="B377" s="1">
        <v>24.92</v>
      </c>
    </row>
    <row r="378" spans="1:2" x14ac:dyDescent="0.3">
      <c r="A378" s="3" t="s">
        <v>1381</v>
      </c>
      <c r="B378" s="1">
        <v>24.79</v>
      </c>
    </row>
    <row r="379" spans="1:2" x14ac:dyDescent="0.3">
      <c r="A379" s="3" t="s">
        <v>1003</v>
      </c>
      <c r="B379" s="1">
        <v>24.700000000000003</v>
      </c>
    </row>
    <row r="380" spans="1:2" x14ac:dyDescent="0.3">
      <c r="A380" s="3" t="s">
        <v>1099</v>
      </c>
      <c r="B380" s="1">
        <v>24.370000000000005</v>
      </c>
    </row>
    <row r="381" spans="1:2" x14ac:dyDescent="0.3">
      <c r="A381" s="3" t="s">
        <v>1994</v>
      </c>
      <c r="B381" s="1">
        <v>24.29</v>
      </c>
    </row>
    <row r="382" spans="1:2" x14ac:dyDescent="0.3">
      <c r="A382" s="3" t="s">
        <v>1677</v>
      </c>
      <c r="B382" s="1">
        <v>24.22</v>
      </c>
    </row>
    <row r="383" spans="1:2" x14ac:dyDescent="0.3">
      <c r="A383" s="3" t="s">
        <v>935</v>
      </c>
      <c r="B383" s="1">
        <v>24.200000000000003</v>
      </c>
    </row>
    <row r="384" spans="1:2" x14ac:dyDescent="0.3">
      <c r="A384" s="3" t="s">
        <v>1177</v>
      </c>
      <c r="B384" s="1">
        <v>24.01</v>
      </c>
    </row>
    <row r="385" spans="1:2" x14ac:dyDescent="0.3">
      <c r="A385" s="3" t="s">
        <v>1977</v>
      </c>
      <c r="B385" s="1">
        <v>23.24</v>
      </c>
    </row>
    <row r="386" spans="1:2" x14ac:dyDescent="0.3">
      <c r="A386" s="3" t="s">
        <v>1067</v>
      </c>
      <c r="B386" s="1">
        <v>23.159999999999997</v>
      </c>
    </row>
    <row r="387" spans="1:2" x14ac:dyDescent="0.3">
      <c r="A387" s="3" t="s">
        <v>1916</v>
      </c>
      <c r="B387" s="1">
        <v>22.94</v>
      </c>
    </row>
    <row r="388" spans="1:2" x14ac:dyDescent="0.3">
      <c r="A388" s="3" t="s">
        <v>2033</v>
      </c>
      <c r="B388" s="1">
        <v>22.28</v>
      </c>
    </row>
    <row r="389" spans="1:2" x14ac:dyDescent="0.3">
      <c r="A389" s="3" t="s">
        <v>900</v>
      </c>
      <c r="B389" s="1">
        <v>22.15</v>
      </c>
    </row>
    <row r="390" spans="1:2" x14ac:dyDescent="0.3">
      <c r="A390" s="3" t="s">
        <v>1544</v>
      </c>
      <c r="B390" s="1">
        <v>22.07</v>
      </c>
    </row>
    <row r="391" spans="1:2" x14ac:dyDescent="0.3">
      <c r="A391" s="3" t="s">
        <v>624</v>
      </c>
      <c r="B391" s="1">
        <v>22.009999999999998</v>
      </c>
    </row>
    <row r="392" spans="1:2" x14ac:dyDescent="0.3">
      <c r="A392" s="3" t="s">
        <v>1275</v>
      </c>
      <c r="B392" s="1">
        <v>21.75</v>
      </c>
    </row>
    <row r="393" spans="1:2" x14ac:dyDescent="0.3">
      <c r="A393" s="3" t="s">
        <v>564</v>
      </c>
      <c r="B393" s="1">
        <v>21.72</v>
      </c>
    </row>
    <row r="394" spans="1:2" x14ac:dyDescent="0.3">
      <c r="A394" s="3" t="s">
        <v>592</v>
      </c>
      <c r="B394" s="1">
        <v>21.6</v>
      </c>
    </row>
    <row r="395" spans="1:2" x14ac:dyDescent="0.3">
      <c r="A395" s="3" t="s">
        <v>1584</v>
      </c>
      <c r="B395" s="1">
        <v>21.48</v>
      </c>
    </row>
    <row r="396" spans="1:2" x14ac:dyDescent="0.3">
      <c r="A396" s="3" t="s">
        <v>1443</v>
      </c>
      <c r="B396" s="1">
        <v>21.25</v>
      </c>
    </row>
    <row r="397" spans="1:2" x14ac:dyDescent="0.3">
      <c r="A397" s="3" t="s">
        <v>1682</v>
      </c>
      <c r="B397" s="1">
        <v>21.2</v>
      </c>
    </row>
    <row r="398" spans="1:2" x14ac:dyDescent="0.3">
      <c r="A398" s="3" t="s">
        <v>1104</v>
      </c>
      <c r="B398" s="1">
        <v>20.23</v>
      </c>
    </row>
    <row r="399" spans="1:2" x14ac:dyDescent="0.3">
      <c r="A399" s="3" t="s">
        <v>1550</v>
      </c>
      <c r="B399" s="1">
        <v>19.72</v>
      </c>
    </row>
    <row r="400" spans="1:2" x14ac:dyDescent="0.3">
      <c r="A400" s="3" t="s">
        <v>891</v>
      </c>
      <c r="B400" s="1">
        <v>19.7</v>
      </c>
    </row>
    <row r="401" spans="1:2" x14ac:dyDescent="0.3">
      <c r="A401" s="3" t="s">
        <v>1093</v>
      </c>
      <c r="B401" s="1">
        <v>19.54</v>
      </c>
    </row>
    <row r="402" spans="1:2" x14ac:dyDescent="0.3">
      <c r="A402" s="3" t="s">
        <v>1332</v>
      </c>
      <c r="B402" s="1">
        <v>19.39</v>
      </c>
    </row>
    <row r="403" spans="1:2" x14ac:dyDescent="0.3">
      <c r="A403" s="3" t="s">
        <v>125</v>
      </c>
      <c r="B403" s="1">
        <v>19.239999999999998</v>
      </c>
    </row>
    <row r="404" spans="1:2" x14ac:dyDescent="0.3">
      <c r="A404" s="3" t="s">
        <v>223</v>
      </c>
      <c r="B404" s="1">
        <v>18.79</v>
      </c>
    </row>
    <row r="405" spans="1:2" x14ac:dyDescent="0.3">
      <c r="A405" s="3" t="s">
        <v>1514</v>
      </c>
      <c r="B405" s="1">
        <v>18.62</v>
      </c>
    </row>
    <row r="406" spans="1:2" x14ac:dyDescent="0.3">
      <c r="A406" s="3" t="s">
        <v>1097</v>
      </c>
      <c r="B406" s="1">
        <v>18.48</v>
      </c>
    </row>
    <row r="407" spans="1:2" x14ac:dyDescent="0.3">
      <c r="A407" s="3" t="s">
        <v>107</v>
      </c>
      <c r="B407" s="1">
        <v>18.43</v>
      </c>
    </row>
    <row r="408" spans="1:2" x14ac:dyDescent="0.3">
      <c r="A408" s="3" t="s">
        <v>664</v>
      </c>
      <c r="B408" s="1">
        <v>17.990000000000002</v>
      </c>
    </row>
    <row r="409" spans="1:2" x14ac:dyDescent="0.3">
      <c r="A409" s="3" t="s">
        <v>1614</v>
      </c>
      <c r="B409" s="1">
        <v>17.78</v>
      </c>
    </row>
    <row r="410" spans="1:2" x14ac:dyDescent="0.3">
      <c r="A410" s="3" t="s">
        <v>1424</v>
      </c>
      <c r="B410" s="1">
        <v>17.350000000000001</v>
      </c>
    </row>
    <row r="411" spans="1:2" x14ac:dyDescent="0.3">
      <c r="A411" s="3" t="s">
        <v>1791</v>
      </c>
      <c r="B411" s="1">
        <v>17.339999999999996</v>
      </c>
    </row>
    <row r="412" spans="1:2" x14ac:dyDescent="0.3">
      <c r="A412" s="3" t="s">
        <v>1671</v>
      </c>
      <c r="B412" s="1">
        <v>17.3</v>
      </c>
    </row>
    <row r="413" spans="1:2" x14ac:dyDescent="0.3">
      <c r="A413" s="3" t="s">
        <v>1038</v>
      </c>
      <c r="B413" s="1">
        <v>17.140000000000015</v>
      </c>
    </row>
    <row r="414" spans="1:2" x14ac:dyDescent="0.3">
      <c r="A414" s="3" t="s">
        <v>622</v>
      </c>
      <c r="B414" s="1">
        <v>16.79</v>
      </c>
    </row>
    <row r="415" spans="1:2" x14ac:dyDescent="0.3">
      <c r="A415" s="3" t="s">
        <v>383</v>
      </c>
      <c r="B415" s="1">
        <v>16.690000000000001</v>
      </c>
    </row>
    <row r="416" spans="1:2" x14ac:dyDescent="0.3">
      <c r="A416" s="3" t="s">
        <v>1912</v>
      </c>
      <c r="B416" s="1">
        <v>16.39</v>
      </c>
    </row>
    <row r="417" spans="1:2" x14ac:dyDescent="0.3">
      <c r="A417" s="3" t="s">
        <v>1610</v>
      </c>
      <c r="B417" s="1">
        <v>16.170000000000002</v>
      </c>
    </row>
    <row r="418" spans="1:2" x14ac:dyDescent="0.3">
      <c r="A418" s="3" t="s">
        <v>1502</v>
      </c>
      <c r="B418" s="1">
        <v>15.899999999999999</v>
      </c>
    </row>
    <row r="419" spans="1:2" x14ac:dyDescent="0.3">
      <c r="A419" s="3" t="s">
        <v>912</v>
      </c>
      <c r="B419" s="1">
        <v>14.49</v>
      </c>
    </row>
    <row r="420" spans="1:2" x14ac:dyDescent="0.3">
      <c r="A420" s="3" t="s">
        <v>151</v>
      </c>
      <c r="B420" s="1">
        <v>14.040000000000001</v>
      </c>
    </row>
    <row r="421" spans="1:2" x14ac:dyDescent="0.3">
      <c r="A421" s="3" t="s">
        <v>655</v>
      </c>
      <c r="B421" s="1">
        <v>13.83</v>
      </c>
    </row>
    <row r="422" spans="1:2" x14ac:dyDescent="0.3">
      <c r="A422" s="3" t="s">
        <v>1762</v>
      </c>
      <c r="B422" s="1">
        <v>13.810000000000002</v>
      </c>
    </row>
    <row r="423" spans="1:2" x14ac:dyDescent="0.3">
      <c r="A423" s="3" t="s">
        <v>1413</v>
      </c>
      <c r="B423" s="1">
        <v>13.49</v>
      </c>
    </row>
    <row r="424" spans="1:2" x14ac:dyDescent="0.3">
      <c r="A424" s="3" t="s">
        <v>1593</v>
      </c>
      <c r="B424" s="1">
        <v>13.32</v>
      </c>
    </row>
    <row r="425" spans="1:2" x14ac:dyDescent="0.3">
      <c r="A425" s="3" t="s">
        <v>1505</v>
      </c>
      <c r="B425" s="1">
        <v>12.91</v>
      </c>
    </row>
    <row r="426" spans="1:2" x14ac:dyDescent="0.3">
      <c r="A426" s="3" t="s">
        <v>1393</v>
      </c>
      <c r="B426" s="1">
        <v>12.49</v>
      </c>
    </row>
    <row r="427" spans="1:2" x14ac:dyDescent="0.3">
      <c r="A427" s="3" t="s">
        <v>210</v>
      </c>
      <c r="B427" s="1">
        <v>12.48</v>
      </c>
    </row>
    <row r="428" spans="1:2" x14ac:dyDescent="0.3">
      <c r="A428" s="3" t="s">
        <v>576</v>
      </c>
      <c r="B428" s="1">
        <v>12.01</v>
      </c>
    </row>
    <row r="429" spans="1:2" x14ac:dyDescent="0.3">
      <c r="A429" s="3" t="s">
        <v>378</v>
      </c>
      <c r="B429" s="1">
        <v>11.7</v>
      </c>
    </row>
    <row r="430" spans="1:2" x14ac:dyDescent="0.3">
      <c r="A430" s="3" t="s">
        <v>1436</v>
      </c>
      <c r="B430" s="1">
        <v>11.49</v>
      </c>
    </row>
    <row r="431" spans="1:2" x14ac:dyDescent="0.3">
      <c r="A431" s="3" t="s">
        <v>1831</v>
      </c>
      <c r="B431" s="1">
        <v>11.25</v>
      </c>
    </row>
    <row r="432" spans="1:2" x14ac:dyDescent="0.3">
      <c r="A432" s="3" t="s">
        <v>957</v>
      </c>
      <c r="B432" s="1">
        <v>11.05</v>
      </c>
    </row>
    <row r="433" spans="1:2" x14ac:dyDescent="0.3">
      <c r="A433" s="3" t="s">
        <v>1629</v>
      </c>
      <c r="B433" s="1">
        <v>10.96</v>
      </c>
    </row>
    <row r="434" spans="1:2" x14ac:dyDescent="0.3">
      <c r="A434" s="3" t="s">
        <v>50</v>
      </c>
      <c r="B434" s="1">
        <v>10.92</v>
      </c>
    </row>
    <row r="435" spans="1:2" x14ac:dyDescent="0.3">
      <c r="A435" s="3" t="s">
        <v>1161</v>
      </c>
      <c r="B435" s="1">
        <v>10.81</v>
      </c>
    </row>
    <row r="436" spans="1:2" x14ac:dyDescent="0.3">
      <c r="A436" s="3" t="s">
        <v>806</v>
      </c>
      <c r="B436" s="1">
        <v>10.780000000000001</v>
      </c>
    </row>
    <row r="437" spans="1:2" x14ac:dyDescent="0.3">
      <c r="A437" s="3" t="s">
        <v>275</v>
      </c>
      <c r="B437" s="1">
        <v>10.74</v>
      </c>
    </row>
    <row r="438" spans="1:2" x14ac:dyDescent="0.3">
      <c r="A438" s="3" t="s">
        <v>921</v>
      </c>
      <c r="B438" s="1">
        <v>10.65</v>
      </c>
    </row>
    <row r="439" spans="1:2" x14ac:dyDescent="0.3">
      <c r="A439" s="3" t="s">
        <v>1922</v>
      </c>
      <c r="B439" s="1">
        <v>10.53</v>
      </c>
    </row>
    <row r="440" spans="1:2" x14ac:dyDescent="0.3">
      <c r="A440" s="3" t="s">
        <v>612</v>
      </c>
      <c r="B440" s="1">
        <v>9.89</v>
      </c>
    </row>
    <row r="441" spans="1:2" x14ac:dyDescent="0.3">
      <c r="A441" s="3" t="s">
        <v>2042</v>
      </c>
      <c r="B441" s="1">
        <v>9.82</v>
      </c>
    </row>
    <row r="442" spans="1:2" x14ac:dyDescent="0.3">
      <c r="A442" s="3" t="s">
        <v>1209</v>
      </c>
      <c r="B442" s="1">
        <v>9.59</v>
      </c>
    </row>
    <row r="443" spans="1:2" x14ac:dyDescent="0.3">
      <c r="A443" s="3" t="s">
        <v>1778</v>
      </c>
      <c r="B443" s="1">
        <v>9.58</v>
      </c>
    </row>
    <row r="444" spans="1:2" x14ac:dyDescent="0.3">
      <c r="A444" s="3" t="s">
        <v>965</v>
      </c>
      <c r="B444" s="1">
        <v>9.39</v>
      </c>
    </row>
    <row r="445" spans="1:2" x14ac:dyDescent="0.3">
      <c r="A445" s="3" t="s">
        <v>26</v>
      </c>
      <c r="B445" s="1">
        <v>9.33</v>
      </c>
    </row>
    <row r="446" spans="1:2" x14ac:dyDescent="0.3">
      <c r="A446" s="3" t="s">
        <v>683</v>
      </c>
      <c r="B446" s="1">
        <v>9.23</v>
      </c>
    </row>
    <row r="447" spans="1:2" x14ac:dyDescent="0.3">
      <c r="A447" s="3" t="s">
        <v>446</v>
      </c>
      <c r="B447" s="1">
        <v>9.07</v>
      </c>
    </row>
    <row r="448" spans="1:2" x14ac:dyDescent="0.3">
      <c r="A448" s="3" t="s">
        <v>556</v>
      </c>
      <c r="B448" s="1">
        <v>8.35</v>
      </c>
    </row>
    <row r="449" spans="1:2" x14ac:dyDescent="0.3">
      <c r="A449" s="3" t="s">
        <v>1535</v>
      </c>
      <c r="B449" s="1">
        <v>8.2799999999999994</v>
      </c>
    </row>
    <row r="450" spans="1:2" x14ac:dyDescent="0.3">
      <c r="A450" s="3" t="s">
        <v>1986</v>
      </c>
      <c r="B450" s="1">
        <v>8.11</v>
      </c>
    </row>
    <row r="451" spans="1:2" x14ac:dyDescent="0.3">
      <c r="A451" s="3" t="s">
        <v>734</v>
      </c>
      <c r="B451" s="1">
        <v>7.95</v>
      </c>
    </row>
    <row r="452" spans="1:2" x14ac:dyDescent="0.3">
      <c r="A452" s="3" t="s">
        <v>884</v>
      </c>
      <c r="B452" s="1">
        <v>7.73</v>
      </c>
    </row>
    <row r="453" spans="1:2" x14ac:dyDescent="0.3">
      <c r="A453" s="3" t="s">
        <v>495</v>
      </c>
      <c r="B453" s="1">
        <v>7.72</v>
      </c>
    </row>
    <row r="454" spans="1:2" x14ac:dyDescent="0.3">
      <c r="A454" s="3" t="s">
        <v>1513</v>
      </c>
      <c r="B454" s="1">
        <v>7.66</v>
      </c>
    </row>
    <row r="455" spans="1:2" x14ac:dyDescent="0.3">
      <c r="A455" s="3" t="s">
        <v>769</v>
      </c>
      <c r="B455" s="1">
        <v>7.49</v>
      </c>
    </row>
    <row r="456" spans="1:2" x14ac:dyDescent="0.3">
      <c r="A456" s="3" t="s">
        <v>202</v>
      </c>
      <c r="B456" s="1">
        <v>7.21</v>
      </c>
    </row>
    <row r="457" spans="1:2" x14ac:dyDescent="0.3">
      <c r="A457" s="3" t="s">
        <v>1369</v>
      </c>
      <c r="B457" s="1">
        <v>6.92</v>
      </c>
    </row>
    <row r="458" spans="1:2" x14ac:dyDescent="0.3">
      <c r="A458" s="3" t="s">
        <v>1747</v>
      </c>
      <c r="B458" s="1">
        <v>6.88</v>
      </c>
    </row>
    <row r="459" spans="1:2" x14ac:dyDescent="0.3">
      <c r="A459" s="3" t="s">
        <v>1521</v>
      </c>
      <c r="B459" s="1">
        <v>6.8299999999999983</v>
      </c>
    </row>
    <row r="460" spans="1:2" x14ac:dyDescent="0.3">
      <c r="A460" s="3" t="s">
        <v>208</v>
      </c>
      <c r="B460" s="1">
        <v>6.8100000000000005</v>
      </c>
    </row>
    <row r="461" spans="1:2" x14ac:dyDescent="0.3">
      <c r="A461" s="3" t="s">
        <v>717</v>
      </c>
      <c r="B461" s="1">
        <v>6.73</v>
      </c>
    </row>
    <row r="462" spans="1:2" x14ac:dyDescent="0.3">
      <c r="A462" s="3" t="s">
        <v>1163</v>
      </c>
      <c r="B462" s="1">
        <v>6.63</v>
      </c>
    </row>
    <row r="463" spans="1:2" x14ac:dyDescent="0.3">
      <c r="A463" s="3" t="s">
        <v>1555</v>
      </c>
      <c r="B463" s="1">
        <v>6.55</v>
      </c>
    </row>
    <row r="464" spans="1:2" x14ac:dyDescent="0.3">
      <c r="A464" s="3" t="s">
        <v>372</v>
      </c>
      <c r="B464" s="1">
        <v>6.51</v>
      </c>
    </row>
    <row r="465" spans="1:2" x14ac:dyDescent="0.3">
      <c r="A465" s="3" t="s">
        <v>1223</v>
      </c>
      <c r="B465" s="1">
        <v>6.490000000000002</v>
      </c>
    </row>
    <row r="466" spans="1:2" x14ac:dyDescent="0.3">
      <c r="A466" s="3" t="s">
        <v>1898</v>
      </c>
      <c r="B466" s="1">
        <v>6.4899999999999993</v>
      </c>
    </row>
    <row r="467" spans="1:2" x14ac:dyDescent="0.3">
      <c r="A467" s="3" t="s">
        <v>1865</v>
      </c>
      <c r="B467" s="1">
        <v>6.05</v>
      </c>
    </row>
    <row r="468" spans="1:2" x14ac:dyDescent="0.3">
      <c r="A468" s="3" t="s">
        <v>1760</v>
      </c>
      <c r="B468" s="1">
        <v>6.04</v>
      </c>
    </row>
    <row r="469" spans="1:2" x14ac:dyDescent="0.3">
      <c r="A469" s="3" t="s">
        <v>1714</v>
      </c>
      <c r="B469" s="1">
        <v>6.04</v>
      </c>
    </row>
    <row r="470" spans="1:2" x14ac:dyDescent="0.3">
      <c r="A470" s="3" t="s">
        <v>291</v>
      </c>
      <c r="B470" s="1">
        <v>6</v>
      </c>
    </row>
    <row r="471" spans="1:2" x14ac:dyDescent="0.3">
      <c r="A471" s="3" t="s">
        <v>1783</v>
      </c>
      <c r="B471" s="1">
        <v>5.82</v>
      </c>
    </row>
    <row r="472" spans="1:2" x14ac:dyDescent="0.3">
      <c r="A472" s="3" t="s">
        <v>2100</v>
      </c>
      <c r="B472" s="1">
        <v>5.76</v>
      </c>
    </row>
    <row r="473" spans="1:2" x14ac:dyDescent="0.3">
      <c r="A473" s="3" t="s">
        <v>1971</v>
      </c>
      <c r="B473" s="1">
        <v>5.48</v>
      </c>
    </row>
    <row r="474" spans="1:2" x14ac:dyDescent="0.3">
      <c r="A474" s="3" t="s">
        <v>1368</v>
      </c>
      <c r="B474" s="1">
        <v>5.45</v>
      </c>
    </row>
    <row r="475" spans="1:2" x14ac:dyDescent="0.3">
      <c r="A475" s="3" t="s">
        <v>352</v>
      </c>
      <c r="B475" s="1">
        <v>5.27</v>
      </c>
    </row>
    <row r="476" spans="1:2" x14ac:dyDescent="0.3">
      <c r="A476" s="3" t="s">
        <v>2071</v>
      </c>
      <c r="B476" s="1">
        <v>4.92</v>
      </c>
    </row>
    <row r="477" spans="1:2" x14ac:dyDescent="0.3">
      <c r="A477" s="3" t="s">
        <v>22</v>
      </c>
      <c r="B477" s="1">
        <v>4.88</v>
      </c>
    </row>
    <row r="478" spans="1:2" x14ac:dyDescent="0.3">
      <c r="A478" s="3" t="s">
        <v>2103</v>
      </c>
      <c r="B478" s="1">
        <v>4.75</v>
      </c>
    </row>
    <row r="479" spans="1:2" x14ac:dyDescent="0.3">
      <c r="A479" s="3" t="s">
        <v>525</v>
      </c>
      <c r="B479" s="1">
        <v>4.0500000000000043</v>
      </c>
    </row>
    <row r="480" spans="1:2" x14ac:dyDescent="0.3">
      <c r="A480" s="3" t="s">
        <v>1712</v>
      </c>
      <c r="B480" s="1">
        <v>3.96</v>
      </c>
    </row>
    <row r="481" spans="1:2" x14ac:dyDescent="0.3">
      <c r="A481" s="3" t="s">
        <v>1722</v>
      </c>
      <c r="B481" s="1">
        <v>3.95</v>
      </c>
    </row>
    <row r="482" spans="1:2" x14ac:dyDescent="0.3">
      <c r="A482" s="3" t="s">
        <v>1507</v>
      </c>
      <c r="B482" s="1">
        <v>3.63</v>
      </c>
    </row>
    <row r="483" spans="1:2" x14ac:dyDescent="0.3">
      <c r="A483" s="3" t="s">
        <v>237</v>
      </c>
      <c r="B483" s="1">
        <v>3.6299999999999955</v>
      </c>
    </row>
    <row r="484" spans="1:2" x14ac:dyDescent="0.3">
      <c r="A484" s="3" t="s">
        <v>225</v>
      </c>
      <c r="B484" s="1">
        <v>3.4</v>
      </c>
    </row>
    <row r="485" spans="1:2" x14ac:dyDescent="0.3">
      <c r="A485" s="3" t="s">
        <v>672</v>
      </c>
      <c r="B485" s="1">
        <v>3.38</v>
      </c>
    </row>
    <row r="486" spans="1:2" x14ac:dyDescent="0.3">
      <c r="A486" s="3" t="s">
        <v>376</v>
      </c>
      <c r="B486" s="1">
        <v>3.22</v>
      </c>
    </row>
    <row r="487" spans="1:2" x14ac:dyDescent="0.3">
      <c r="A487" s="3" t="s">
        <v>1822</v>
      </c>
      <c r="B487" s="1">
        <v>3.18</v>
      </c>
    </row>
    <row r="488" spans="1:2" x14ac:dyDescent="0.3">
      <c r="A488" s="3" t="s">
        <v>410</v>
      </c>
      <c r="B488" s="1">
        <v>2.94</v>
      </c>
    </row>
    <row r="489" spans="1:2" x14ac:dyDescent="0.3">
      <c r="A489" s="3" t="s">
        <v>1866</v>
      </c>
      <c r="B489" s="1">
        <v>2.85</v>
      </c>
    </row>
    <row r="490" spans="1:2" x14ac:dyDescent="0.3">
      <c r="A490" s="3" t="s">
        <v>1463</v>
      </c>
      <c r="B490" s="1">
        <v>2.81</v>
      </c>
    </row>
    <row r="491" spans="1:2" x14ac:dyDescent="0.3">
      <c r="A491" s="3" t="s">
        <v>487</v>
      </c>
      <c r="B491" s="1">
        <v>2.78</v>
      </c>
    </row>
    <row r="492" spans="1:2" x14ac:dyDescent="0.3">
      <c r="A492" s="3" t="s">
        <v>1562</v>
      </c>
      <c r="B492" s="1">
        <v>2.6899999999999995</v>
      </c>
    </row>
    <row r="493" spans="1:2" x14ac:dyDescent="0.3">
      <c r="A493" s="3" t="s">
        <v>2021</v>
      </c>
      <c r="B493" s="1">
        <v>2.64</v>
      </c>
    </row>
    <row r="494" spans="1:2" x14ac:dyDescent="0.3">
      <c r="A494" s="3" t="s">
        <v>2104</v>
      </c>
      <c r="B494" s="1">
        <v>2.63</v>
      </c>
    </row>
    <row r="495" spans="1:2" x14ac:dyDescent="0.3">
      <c r="A495" s="3" t="s">
        <v>1785</v>
      </c>
      <c r="B495" s="1">
        <v>2.5799999999999947</v>
      </c>
    </row>
    <row r="496" spans="1:2" x14ac:dyDescent="0.3">
      <c r="A496" s="3" t="s">
        <v>1457</v>
      </c>
      <c r="B496" s="1">
        <v>2.5</v>
      </c>
    </row>
    <row r="497" spans="1:2" x14ac:dyDescent="0.3">
      <c r="A497" s="3" t="s">
        <v>1937</v>
      </c>
      <c r="B497" s="1">
        <v>2.4900000000000002</v>
      </c>
    </row>
    <row r="498" spans="1:2" x14ac:dyDescent="0.3">
      <c r="A498" s="3" t="s">
        <v>1631</v>
      </c>
      <c r="B498" s="1">
        <v>2.4</v>
      </c>
    </row>
    <row r="499" spans="1:2" x14ac:dyDescent="0.3">
      <c r="A499" s="3" t="s">
        <v>1378</v>
      </c>
      <c r="B499" s="1">
        <v>2.37</v>
      </c>
    </row>
    <row r="500" spans="1:2" x14ac:dyDescent="0.3">
      <c r="A500" s="3" t="s">
        <v>1900</v>
      </c>
      <c r="B500" s="1">
        <v>2.13</v>
      </c>
    </row>
    <row r="501" spans="1:2" x14ac:dyDescent="0.3">
      <c r="A501" s="3" t="s">
        <v>868</v>
      </c>
      <c r="B501" s="1">
        <v>2.1</v>
      </c>
    </row>
    <row r="502" spans="1:2" x14ac:dyDescent="0.3">
      <c r="A502" s="3" t="s">
        <v>1371</v>
      </c>
      <c r="B502" s="1">
        <v>2.0300000000000042</v>
      </c>
    </row>
    <row r="503" spans="1:2" x14ac:dyDescent="0.3">
      <c r="A503" s="3" t="s">
        <v>2083</v>
      </c>
      <c r="B503" s="1">
        <v>1.79</v>
      </c>
    </row>
    <row r="504" spans="1:2" x14ac:dyDescent="0.3">
      <c r="A504" s="3" t="s">
        <v>1945</v>
      </c>
      <c r="B504" s="1">
        <v>1.67</v>
      </c>
    </row>
    <row r="505" spans="1:2" x14ac:dyDescent="0.3">
      <c r="A505" s="3" t="s">
        <v>228</v>
      </c>
      <c r="B505" s="1">
        <v>1.6</v>
      </c>
    </row>
    <row r="506" spans="1:2" x14ac:dyDescent="0.3">
      <c r="A506" s="3" t="s">
        <v>422</v>
      </c>
      <c r="B506" s="1">
        <v>1.37</v>
      </c>
    </row>
    <row r="507" spans="1:2" x14ac:dyDescent="0.3">
      <c r="A507" s="3" t="s">
        <v>161</v>
      </c>
      <c r="B507" s="1">
        <v>1.3499999999999996</v>
      </c>
    </row>
    <row r="508" spans="1:2" x14ac:dyDescent="0.3">
      <c r="A508" s="3" t="s">
        <v>148</v>
      </c>
      <c r="B508" s="1">
        <v>1.33</v>
      </c>
    </row>
    <row r="509" spans="1:2" x14ac:dyDescent="0.3">
      <c r="A509" s="3" t="s">
        <v>1840</v>
      </c>
      <c r="B509" s="1">
        <v>1.23</v>
      </c>
    </row>
    <row r="510" spans="1:2" x14ac:dyDescent="0.3">
      <c r="A510" s="3" t="s">
        <v>2095</v>
      </c>
      <c r="B510" s="1">
        <v>1.1599999999999999</v>
      </c>
    </row>
    <row r="511" spans="1:2" x14ac:dyDescent="0.3">
      <c r="A511" s="3" t="s">
        <v>866</v>
      </c>
      <c r="B511" s="1">
        <v>1.08</v>
      </c>
    </row>
    <row r="512" spans="1:2" x14ac:dyDescent="0.3">
      <c r="A512" s="3" t="s">
        <v>871</v>
      </c>
      <c r="B512" s="1">
        <v>0.96</v>
      </c>
    </row>
    <row r="513" spans="1:2" x14ac:dyDescent="0.3">
      <c r="A513" s="3" t="s">
        <v>1699</v>
      </c>
      <c r="B513" s="1">
        <v>0.83999999999999986</v>
      </c>
    </row>
    <row r="514" spans="1:2" x14ac:dyDescent="0.3">
      <c r="A514" s="3" t="s">
        <v>1974</v>
      </c>
      <c r="B514" s="1">
        <v>0.52</v>
      </c>
    </row>
    <row r="515" spans="1:2" x14ac:dyDescent="0.3">
      <c r="A515" s="3" t="s">
        <v>2011</v>
      </c>
      <c r="B515" s="1">
        <v>0.41</v>
      </c>
    </row>
    <row r="516" spans="1:2" x14ac:dyDescent="0.3">
      <c r="A516" s="3" t="s">
        <v>2012</v>
      </c>
      <c r="B516" s="1">
        <v>0.39</v>
      </c>
    </row>
    <row r="517" spans="1:2" x14ac:dyDescent="0.3">
      <c r="A517" s="3" t="s">
        <v>1781</v>
      </c>
      <c r="B517" s="1">
        <v>0.37</v>
      </c>
    </row>
    <row r="518" spans="1:2" x14ac:dyDescent="0.3">
      <c r="A518" s="3" t="s">
        <v>1035</v>
      </c>
      <c r="B518" s="1">
        <v>0</v>
      </c>
    </row>
    <row r="519" spans="1:2" x14ac:dyDescent="0.3">
      <c r="A519" s="3" t="s">
        <v>610</v>
      </c>
      <c r="B519" s="1">
        <v>-0.65000000000000036</v>
      </c>
    </row>
    <row r="520" spans="1:2" x14ac:dyDescent="0.3">
      <c r="A520" s="3" t="s">
        <v>427</v>
      </c>
      <c r="B520" s="1">
        <v>-1.31</v>
      </c>
    </row>
    <row r="521" spans="1:2" x14ac:dyDescent="0.3">
      <c r="A521" s="3" t="s">
        <v>119</v>
      </c>
      <c r="B521" s="1">
        <v>-1.7100000000000009</v>
      </c>
    </row>
    <row r="522" spans="1:2" x14ac:dyDescent="0.3">
      <c r="A522" s="3" t="s">
        <v>1758</v>
      </c>
      <c r="B522" s="1">
        <v>-2.5600000000000094</v>
      </c>
    </row>
    <row r="523" spans="1:2" x14ac:dyDescent="0.3">
      <c r="A523" s="3" t="s">
        <v>1121</v>
      </c>
      <c r="B523" s="1">
        <v>-2.74</v>
      </c>
    </row>
    <row r="524" spans="1:2" x14ac:dyDescent="0.3">
      <c r="A524" s="3" t="s">
        <v>1568</v>
      </c>
      <c r="B524" s="1">
        <v>-2.9300000000000015</v>
      </c>
    </row>
    <row r="525" spans="1:2" x14ac:dyDescent="0.3">
      <c r="A525" s="3" t="s">
        <v>1800</v>
      </c>
      <c r="B525" s="1">
        <v>-4.0199999999999996</v>
      </c>
    </row>
    <row r="526" spans="1:2" x14ac:dyDescent="0.3">
      <c r="A526" s="3" t="s">
        <v>220</v>
      </c>
      <c r="B526" s="1">
        <v>-4.5200000000000005</v>
      </c>
    </row>
    <row r="527" spans="1:2" x14ac:dyDescent="0.3">
      <c r="A527" s="3" t="s">
        <v>947</v>
      </c>
      <c r="B527" s="1">
        <v>-4.5599999999999996</v>
      </c>
    </row>
    <row r="528" spans="1:2" x14ac:dyDescent="0.3">
      <c r="A528" s="3" t="s">
        <v>1863</v>
      </c>
      <c r="B528" s="1">
        <v>-4.8</v>
      </c>
    </row>
    <row r="529" spans="1:2" x14ac:dyDescent="0.3">
      <c r="A529" s="3" t="s">
        <v>1474</v>
      </c>
      <c r="B529" s="1">
        <v>-4.9700000000000006</v>
      </c>
    </row>
    <row r="530" spans="1:2" x14ac:dyDescent="0.3">
      <c r="A530" s="3" t="s">
        <v>1356</v>
      </c>
      <c r="B530" s="1">
        <v>-5.04</v>
      </c>
    </row>
    <row r="531" spans="1:2" x14ac:dyDescent="0.3">
      <c r="A531" s="3" t="s">
        <v>774</v>
      </c>
      <c r="B531" s="1">
        <v>-5.6200000000000045</v>
      </c>
    </row>
    <row r="532" spans="1:2" x14ac:dyDescent="0.3">
      <c r="A532" s="3" t="s">
        <v>1140</v>
      </c>
      <c r="B532" s="1">
        <v>-6.02</v>
      </c>
    </row>
    <row r="533" spans="1:2" x14ac:dyDescent="0.3">
      <c r="A533" s="3" t="s">
        <v>1738</v>
      </c>
      <c r="B533" s="1">
        <v>-6.34</v>
      </c>
    </row>
    <row r="534" spans="1:2" x14ac:dyDescent="0.3">
      <c r="A534" s="3" t="s">
        <v>1665</v>
      </c>
      <c r="B534" s="1">
        <v>-6.6</v>
      </c>
    </row>
    <row r="535" spans="1:2" x14ac:dyDescent="0.3">
      <c r="A535" s="3" t="s">
        <v>1279</v>
      </c>
      <c r="B535" s="1">
        <v>-8.0299999999999994</v>
      </c>
    </row>
    <row r="536" spans="1:2" x14ac:dyDescent="0.3">
      <c r="A536" s="3" t="s">
        <v>1693</v>
      </c>
      <c r="B536" s="1">
        <v>-8.08</v>
      </c>
    </row>
    <row r="537" spans="1:2" x14ac:dyDescent="0.3">
      <c r="A537" s="3" t="s">
        <v>601</v>
      </c>
      <c r="B537" s="1">
        <v>-8.41</v>
      </c>
    </row>
    <row r="538" spans="1:2" x14ac:dyDescent="0.3">
      <c r="A538" s="3" t="s">
        <v>424</v>
      </c>
      <c r="B538" s="1">
        <v>-8.6300000000000008</v>
      </c>
    </row>
    <row r="539" spans="1:2" x14ac:dyDescent="0.3">
      <c r="A539" s="3" t="s">
        <v>562</v>
      </c>
      <c r="B539" s="1">
        <v>-9.48</v>
      </c>
    </row>
    <row r="540" spans="1:2" x14ac:dyDescent="0.3">
      <c r="A540" s="3" t="s">
        <v>1433</v>
      </c>
      <c r="B540" s="1">
        <v>-10.299999999999999</v>
      </c>
    </row>
    <row r="541" spans="1:2" x14ac:dyDescent="0.3">
      <c r="A541" s="3" t="s">
        <v>500</v>
      </c>
      <c r="B541" s="1">
        <v>-11.83</v>
      </c>
    </row>
    <row r="542" spans="1:2" x14ac:dyDescent="0.3">
      <c r="A542" s="3" t="s">
        <v>85</v>
      </c>
      <c r="B542" s="1">
        <v>-11.889999999999995</v>
      </c>
    </row>
    <row r="543" spans="1:2" x14ac:dyDescent="0.3">
      <c r="A543" s="3" t="s">
        <v>369</v>
      </c>
      <c r="B543" s="1">
        <v>-12.120000000000001</v>
      </c>
    </row>
    <row r="544" spans="1:2" x14ac:dyDescent="0.3">
      <c r="A544" s="3" t="s">
        <v>1676</v>
      </c>
      <c r="B544" s="1">
        <v>-12.469999999999999</v>
      </c>
    </row>
    <row r="545" spans="1:2" x14ac:dyDescent="0.3">
      <c r="A545" s="3" t="s">
        <v>1935</v>
      </c>
      <c r="B545" s="1">
        <v>-12.55</v>
      </c>
    </row>
    <row r="546" spans="1:2" x14ac:dyDescent="0.3">
      <c r="A546" s="3" t="s">
        <v>732</v>
      </c>
      <c r="B546" s="1">
        <v>-12.839999999999998</v>
      </c>
    </row>
    <row r="547" spans="1:2" x14ac:dyDescent="0.3">
      <c r="A547" s="3" t="s">
        <v>1327</v>
      </c>
      <c r="B547" s="1">
        <v>-13.48</v>
      </c>
    </row>
    <row r="548" spans="1:2" x14ac:dyDescent="0.3">
      <c r="A548" s="3" t="s">
        <v>1084</v>
      </c>
      <c r="B548" s="1">
        <v>-13.83</v>
      </c>
    </row>
    <row r="549" spans="1:2" x14ac:dyDescent="0.3">
      <c r="A549" s="3" t="s">
        <v>940</v>
      </c>
      <c r="B549" s="1">
        <v>-14.66</v>
      </c>
    </row>
    <row r="550" spans="1:2" x14ac:dyDescent="0.3">
      <c r="A550" s="3" t="s">
        <v>1343</v>
      </c>
      <c r="B550" s="1">
        <v>-15.580000000000002</v>
      </c>
    </row>
    <row r="551" spans="1:2" x14ac:dyDescent="0.3">
      <c r="A551" s="3" t="s">
        <v>831</v>
      </c>
      <c r="B551" s="1">
        <v>-15.679999999999996</v>
      </c>
    </row>
    <row r="552" spans="1:2" x14ac:dyDescent="0.3">
      <c r="A552" s="3" t="s">
        <v>1648</v>
      </c>
      <c r="B552" s="1">
        <v>-19.45</v>
      </c>
    </row>
    <row r="553" spans="1:2" x14ac:dyDescent="0.3">
      <c r="A553" s="3" t="s">
        <v>1373</v>
      </c>
      <c r="B553" s="1">
        <v>-20.77</v>
      </c>
    </row>
    <row r="554" spans="1:2" x14ac:dyDescent="0.3">
      <c r="A554" s="3" t="s">
        <v>1801</v>
      </c>
      <c r="B554" s="1">
        <v>-22.28</v>
      </c>
    </row>
    <row r="555" spans="1:2" x14ac:dyDescent="0.3">
      <c r="A555" s="3" t="s">
        <v>1429</v>
      </c>
      <c r="B555" s="1">
        <v>-23.29</v>
      </c>
    </row>
    <row r="556" spans="1:2" x14ac:dyDescent="0.3">
      <c r="A556" s="3" t="s">
        <v>254</v>
      </c>
      <c r="B556" s="1">
        <v>-23.49</v>
      </c>
    </row>
    <row r="557" spans="1:2" x14ac:dyDescent="0.3">
      <c r="A557" s="3" t="s">
        <v>771</v>
      </c>
      <c r="B557" s="1">
        <v>-24.87</v>
      </c>
    </row>
    <row r="558" spans="1:2" x14ac:dyDescent="0.3">
      <c r="A558" s="3" t="s">
        <v>963</v>
      </c>
      <c r="B558" s="1">
        <v>-25.91</v>
      </c>
    </row>
    <row r="559" spans="1:2" x14ac:dyDescent="0.3">
      <c r="A559" s="3" t="s">
        <v>2065</v>
      </c>
      <c r="B559" s="1">
        <v>-25.990000000000002</v>
      </c>
    </row>
    <row r="560" spans="1:2" x14ac:dyDescent="0.3">
      <c r="A560" s="3" t="s">
        <v>1263</v>
      </c>
      <c r="B560" s="1">
        <v>-26.01</v>
      </c>
    </row>
    <row r="561" spans="1:2" x14ac:dyDescent="0.3">
      <c r="A561" s="3" t="s">
        <v>977</v>
      </c>
      <c r="B561" s="1">
        <v>-27.09</v>
      </c>
    </row>
    <row r="562" spans="1:2" x14ac:dyDescent="0.3">
      <c r="A562" s="3" t="s">
        <v>1788</v>
      </c>
      <c r="B562" s="1">
        <v>-27.630000000000003</v>
      </c>
    </row>
    <row r="563" spans="1:2" x14ac:dyDescent="0.3">
      <c r="A563" s="3" t="s">
        <v>1016</v>
      </c>
      <c r="B563" s="1">
        <v>-29.34</v>
      </c>
    </row>
    <row r="564" spans="1:2" x14ac:dyDescent="0.3">
      <c r="A564" s="3" t="s">
        <v>596</v>
      </c>
      <c r="B564" s="1">
        <v>-32.42</v>
      </c>
    </row>
    <row r="565" spans="1:2" x14ac:dyDescent="0.3">
      <c r="A565" s="3" t="s">
        <v>583</v>
      </c>
      <c r="B565" s="1">
        <v>-33.19</v>
      </c>
    </row>
    <row r="566" spans="1:2" x14ac:dyDescent="0.3">
      <c r="A566" s="3" t="s">
        <v>784</v>
      </c>
      <c r="B566" s="1">
        <v>-33.39</v>
      </c>
    </row>
    <row r="567" spans="1:2" x14ac:dyDescent="0.3">
      <c r="A567" s="3" t="s">
        <v>1910</v>
      </c>
      <c r="B567" s="1">
        <v>-33.92</v>
      </c>
    </row>
    <row r="568" spans="1:2" x14ac:dyDescent="0.3">
      <c r="A568" s="3" t="s">
        <v>470</v>
      </c>
      <c r="B568" s="1">
        <v>-35.93</v>
      </c>
    </row>
    <row r="569" spans="1:2" x14ac:dyDescent="0.3">
      <c r="A569" s="3" t="s">
        <v>1173</v>
      </c>
      <c r="B569" s="1">
        <v>-36.519999999999996</v>
      </c>
    </row>
    <row r="570" spans="1:2" x14ac:dyDescent="0.3">
      <c r="A570" s="3" t="s">
        <v>1968</v>
      </c>
      <c r="B570" s="1">
        <v>-41.790000000000006</v>
      </c>
    </row>
    <row r="571" spans="1:2" x14ac:dyDescent="0.3">
      <c r="A571" s="3" t="s">
        <v>1733</v>
      </c>
      <c r="B571" s="1">
        <v>-41.94</v>
      </c>
    </row>
    <row r="572" spans="1:2" x14ac:dyDescent="0.3">
      <c r="A572" s="3" t="s">
        <v>951</v>
      </c>
      <c r="B572" s="1">
        <v>-42.56</v>
      </c>
    </row>
    <row r="573" spans="1:2" x14ac:dyDescent="0.3">
      <c r="A573" s="3" t="s">
        <v>1962</v>
      </c>
      <c r="B573" s="1">
        <v>-43.900000000000006</v>
      </c>
    </row>
    <row r="574" spans="1:2" x14ac:dyDescent="0.3">
      <c r="A574" s="3" t="s">
        <v>1734</v>
      </c>
      <c r="B574" s="1">
        <v>-47.34</v>
      </c>
    </row>
    <row r="575" spans="1:2" x14ac:dyDescent="0.3">
      <c r="A575" s="3" t="s">
        <v>54</v>
      </c>
      <c r="B575" s="1">
        <v>-51.630000000000031</v>
      </c>
    </row>
    <row r="576" spans="1:2" x14ac:dyDescent="0.3">
      <c r="A576" s="3" t="s">
        <v>143</v>
      </c>
      <c r="B576" s="1">
        <v>-52.56</v>
      </c>
    </row>
    <row r="577" spans="1:2" x14ac:dyDescent="0.3">
      <c r="A577" s="3" t="s">
        <v>1452</v>
      </c>
      <c r="B577" s="1">
        <v>-56.740000000000009</v>
      </c>
    </row>
    <row r="578" spans="1:2" x14ac:dyDescent="0.3">
      <c r="A578" s="3" t="s">
        <v>1178</v>
      </c>
      <c r="B578" s="1">
        <v>-57.120000000000005</v>
      </c>
    </row>
    <row r="579" spans="1:2" x14ac:dyDescent="0.3">
      <c r="A579" s="3" t="s">
        <v>1892</v>
      </c>
      <c r="B579" s="1">
        <v>-58.129999999999995</v>
      </c>
    </row>
    <row r="580" spans="1:2" x14ac:dyDescent="0.3">
      <c r="A580" s="3" t="s">
        <v>233</v>
      </c>
      <c r="B580" s="1">
        <v>-61.150000000000006</v>
      </c>
    </row>
    <row r="581" spans="1:2" x14ac:dyDescent="0.3">
      <c r="A581" s="3" t="s">
        <v>14</v>
      </c>
      <c r="B581" s="1">
        <v>-65.989999999999995</v>
      </c>
    </row>
    <row r="582" spans="1:2" x14ac:dyDescent="0.3">
      <c r="A582" s="3" t="s">
        <v>1736</v>
      </c>
      <c r="B582" s="1">
        <v>-66.360000000000014</v>
      </c>
    </row>
    <row r="583" spans="1:2" x14ac:dyDescent="0.3">
      <c r="A583" s="3" t="s">
        <v>817</v>
      </c>
      <c r="B583" s="1">
        <v>-69.25</v>
      </c>
    </row>
    <row r="584" spans="1:2" x14ac:dyDescent="0.3">
      <c r="A584" s="3" t="s">
        <v>1423</v>
      </c>
      <c r="B584" s="1">
        <v>-70.099999999999994</v>
      </c>
    </row>
    <row r="585" spans="1:2" x14ac:dyDescent="0.3">
      <c r="A585" s="3" t="s">
        <v>651</v>
      </c>
      <c r="B585" s="1">
        <v>-70.73</v>
      </c>
    </row>
    <row r="586" spans="1:2" x14ac:dyDescent="0.3">
      <c r="A586" s="3" t="s">
        <v>907</v>
      </c>
      <c r="B586" s="1">
        <v>-72.98</v>
      </c>
    </row>
    <row r="587" spans="1:2" x14ac:dyDescent="0.3">
      <c r="A587" s="3" t="s">
        <v>2107</v>
      </c>
      <c r="B587" s="1">
        <v>-77.929999999999993</v>
      </c>
    </row>
    <row r="588" spans="1:2" x14ac:dyDescent="0.3">
      <c r="A588" s="3" t="s">
        <v>992</v>
      </c>
      <c r="B588" s="1">
        <v>-79.13</v>
      </c>
    </row>
    <row r="589" spans="1:2" x14ac:dyDescent="0.3">
      <c r="A589" s="3" t="s">
        <v>1991</v>
      </c>
      <c r="B589" s="1">
        <v>-79.31</v>
      </c>
    </row>
    <row r="590" spans="1:2" x14ac:dyDescent="0.3">
      <c r="A590" s="3" t="s">
        <v>1359</v>
      </c>
      <c r="B590" s="1">
        <v>-82.88</v>
      </c>
    </row>
    <row r="591" spans="1:2" x14ac:dyDescent="0.3">
      <c r="A591" s="3" t="s">
        <v>1571</v>
      </c>
      <c r="B591" s="1">
        <v>-83.909999999999982</v>
      </c>
    </row>
    <row r="592" spans="1:2" x14ac:dyDescent="0.3">
      <c r="A592" s="3" t="s">
        <v>1401</v>
      </c>
      <c r="B592" s="1">
        <v>-86.489999999999981</v>
      </c>
    </row>
    <row r="593" spans="1:2" x14ac:dyDescent="0.3">
      <c r="A593" s="3" t="s">
        <v>398</v>
      </c>
      <c r="B593" s="1">
        <v>-87.34</v>
      </c>
    </row>
    <row r="594" spans="1:2" x14ac:dyDescent="0.3">
      <c r="A594" s="3" t="s">
        <v>1051</v>
      </c>
      <c r="B594" s="1">
        <v>-87.439999999999969</v>
      </c>
    </row>
    <row r="595" spans="1:2" x14ac:dyDescent="0.3">
      <c r="A595" s="3" t="s">
        <v>1680</v>
      </c>
      <c r="B595" s="1">
        <v>-88.04</v>
      </c>
    </row>
    <row r="596" spans="1:2" x14ac:dyDescent="0.3">
      <c r="A596" s="3" t="s">
        <v>791</v>
      </c>
      <c r="B596" s="1">
        <v>-88.07</v>
      </c>
    </row>
    <row r="597" spans="1:2" x14ac:dyDescent="0.3">
      <c r="A597" s="3" t="s">
        <v>1375</v>
      </c>
      <c r="B597" s="1">
        <v>-89.93</v>
      </c>
    </row>
    <row r="598" spans="1:2" x14ac:dyDescent="0.3">
      <c r="A598" s="3" t="s">
        <v>1641</v>
      </c>
      <c r="B598" s="1">
        <v>-90.1</v>
      </c>
    </row>
    <row r="599" spans="1:2" x14ac:dyDescent="0.3">
      <c r="A599" s="3" t="s">
        <v>1095</v>
      </c>
      <c r="B599" s="1">
        <v>-93.53</v>
      </c>
    </row>
    <row r="600" spans="1:2" x14ac:dyDescent="0.3">
      <c r="A600" s="3" t="s">
        <v>503</v>
      </c>
      <c r="B600" s="1">
        <v>-94.66</v>
      </c>
    </row>
    <row r="601" spans="1:2" x14ac:dyDescent="0.3">
      <c r="A601" s="3" t="s">
        <v>1164</v>
      </c>
      <c r="B601" s="1">
        <v>-98.43</v>
      </c>
    </row>
    <row r="602" spans="1:2" x14ac:dyDescent="0.3">
      <c r="A602" s="3" t="s">
        <v>922</v>
      </c>
      <c r="B602" s="1">
        <v>-99.53</v>
      </c>
    </row>
    <row r="603" spans="1:2" x14ac:dyDescent="0.3">
      <c r="A603" s="3" t="s">
        <v>820</v>
      </c>
      <c r="B603" s="1">
        <v>-101.22</v>
      </c>
    </row>
    <row r="604" spans="1:2" x14ac:dyDescent="0.3">
      <c r="A604" s="3" t="s">
        <v>578</v>
      </c>
      <c r="B604" s="1">
        <v>-103.13000000000004</v>
      </c>
    </row>
    <row r="605" spans="1:2" x14ac:dyDescent="0.3">
      <c r="A605" s="3" t="s">
        <v>1241</v>
      </c>
      <c r="B605" s="1">
        <v>-106.34</v>
      </c>
    </row>
    <row r="606" spans="1:2" x14ac:dyDescent="0.3">
      <c r="A606" s="3" t="s">
        <v>1295</v>
      </c>
      <c r="B606" s="1">
        <v>-113.48</v>
      </c>
    </row>
    <row r="607" spans="1:2" x14ac:dyDescent="0.3">
      <c r="A607" s="3" t="s">
        <v>789</v>
      </c>
      <c r="B607" s="1">
        <v>-123.79</v>
      </c>
    </row>
    <row r="608" spans="1:2" x14ac:dyDescent="0.3">
      <c r="A608" s="3" t="s">
        <v>1477</v>
      </c>
      <c r="B608" s="1">
        <v>-125.24000000000001</v>
      </c>
    </row>
    <row r="609" spans="1:2" x14ac:dyDescent="0.3">
      <c r="A609" s="3" t="s">
        <v>401</v>
      </c>
      <c r="B609" s="1">
        <v>-125.28999999999999</v>
      </c>
    </row>
    <row r="610" spans="1:2" x14ac:dyDescent="0.3">
      <c r="A610" s="3" t="s">
        <v>154</v>
      </c>
      <c r="B610" s="1">
        <v>-128.09</v>
      </c>
    </row>
    <row r="611" spans="1:2" x14ac:dyDescent="0.3">
      <c r="A611" s="3" t="s">
        <v>689</v>
      </c>
      <c r="B611" s="1">
        <v>-137.20000000000002</v>
      </c>
    </row>
    <row r="612" spans="1:2" x14ac:dyDescent="0.3">
      <c r="A612" s="3" t="s">
        <v>910</v>
      </c>
      <c r="B612" s="1">
        <v>-140.06</v>
      </c>
    </row>
    <row r="613" spans="1:2" x14ac:dyDescent="0.3">
      <c r="A613" s="3" t="s">
        <v>857</v>
      </c>
      <c r="B613" s="1">
        <v>-142.25</v>
      </c>
    </row>
    <row r="614" spans="1:2" x14ac:dyDescent="0.3">
      <c r="A614" s="3" t="s">
        <v>403</v>
      </c>
      <c r="B614" s="1">
        <v>-152.72</v>
      </c>
    </row>
    <row r="615" spans="1:2" x14ac:dyDescent="0.3">
      <c r="A615" s="3" t="s">
        <v>1392</v>
      </c>
      <c r="B615" s="1">
        <v>-154.45999999999998</v>
      </c>
    </row>
    <row r="616" spans="1:2" x14ac:dyDescent="0.3">
      <c r="A616" s="3" t="s">
        <v>230</v>
      </c>
      <c r="B616" s="1">
        <v>-158.76</v>
      </c>
    </row>
    <row r="617" spans="1:2" x14ac:dyDescent="0.3">
      <c r="A617" s="3" t="s">
        <v>661</v>
      </c>
      <c r="B617" s="1">
        <v>-169.02</v>
      </c>
    </row>
    <row r="618" spans="1:2" x14ac:dyDescent="0.3">
      <c r="A618" s="3" t="s">
        <v>1267</v>
      </c>
      <c r="B618" s="1">
        <v>-186.06999999999996</v>
      </c>
    </row>
    <row r="619" spans="1:2" x14ac:dyDescent="0.3">
      <c r="A619" s="3" t="s">
        <v>714</v>
      </c>
      <c r="B619" s="1">
        <v>-190.51</v>
      </c>
    </row>
    <row r="620" spans="1:2" x14ac:dyDescent="0.3">
      <c r="A620" s="3" t="s">
        <v>387</v>
      </c>
      <c r="B620" s="1">
        <v>-194.39999999999998</v>
      </c>
    </row>
    <row r="621" spans="1:2" x14ac:dyDescent="0.3">
      <c r="A621" s="3" t="s">
        <v>1719</v>
      </c>
      <c r="B621" s="1">
        <v>-199.77</v>
      </c>
    </row>
    <row r="622" spans="1:2" x14ac:dyDescent="0.3">
      <c r="A622" s="3" t="s">
        <v>249</v>
      </c>
      <c r="B622" s="1">
        <v>-200.23000000000002</v>
      </c>
    </row>
    <row r="623" spans="1:2" x14ac:dyDescent="0.3">
      <c r="A623" s="3" t="s">
        <v>1652</v>
      </c>
      <c r="B623" s="1">
        <v>-210.87999999999997</v>
      </c>
    </row>
    <row r="624" spans="1:2" x14ac:dyDescent="0.3">
      <c r="A624" s="3" t="s">
        <v>786</v>
      </c>
      <c r="B624" s="1">
        <v>-224.09</v>
      </c>
    </row>
    <row r="625" spans="1:2" x14ac:dyDescent="0.3">
      <c r="A625" s="3" t="s">
        <v>1129</v>
      </c>
      <c r="B625" s="1">
        <v>-227.49</v>
      </c>
    </row>
    <row r="626" spans="1:2" x14ac:dyDescent="0.3">
      <c r="A626" s="3" t="s">
        <v>552</v>
      </c>
      <c r="B626" s="1">
        <v>-228.18</v>
      </c>
    </row>
    <row r="627" spans="1:2" x14ac:dyDescent="0.3">
      <c r="A627" s="3" t="s">
        <v>1868</v>
      </c>
      <c r="B627" s="1">
        <v>-242.44</v>
      </c>
    </row>
    <row r="628" spans="1:2" x14ac:dyDescent="0.3">
      <c r="A628" s="3" t="s">
        <v>46</v>
      </c>
      <c r="B628" s="1">
        <v>-248.56000000000003</v>
      </c>
    </row>
    <row r="629" spans="1:2" x14ac:dyDescent="0.3">
      <c r="A629" s="3" t="s">
        <v>665</v>
      </c>
      <c r="B629" s="1">
        <v>-248.76999999999998</v>
      </c>
    </row>
    <row r="630" spans="1:2" x14ac:dyDescent="0.3">
      <c r="A630" s="3" t="s">
        <v>1548</v>
      </c>
      <c r="B630" s="1">
        <v>-252.19</v>
      </c>
    </row>
    <row r="631" spans="1:2" x14ac:dyDescent="0.3">
      <c r="A631" s="3" t="s">
        <v>643</v>
      </c>
      <c r="B631" s="1">
        <v>-258.56</v>
      </c>
    </row>
    <row r="632" spans="1:2" x14ac:dyDescent="0.3">
      <c r="A632" s="3" t="s">
        <v>1776</v>
      </c>
      <c r="B632" s="1">
        <v>-278.25</v>
      </c>
    </row>
    <row r="633" spans="1:2" x14ac:dyDescent="0.3">
      <c r="A633" s="3" t="s">
        <v>94</v>
      </c>
      <c r="B633" s="1">
        <v>-286.89</v>
      </c>
    </row>
    <row r="634" spans="1:2" x14ac:dyDescent="0.3">
      <c r="A634" s="3" t="s">
        <v>780</v>
      </c>
      <c r="B634" s="1">
        <v>-292.19</v>
      </c>
    </row>
    <row r="635" spans="1:2" x14ac:dyDescent="0.3">
      <c r="A635" s="3" t="s">
        <v>605</v>
      </c>
      <c r="B635" s="1">
        <v>-309.19</v>
      </c>
    </row>
    <row r="636" spans="1:2" x14ac:dyDescent="0.3">
      <c r="A636" s="3" t="s">
        <v>77</v>
      </c>
      <c r="B636" s="1">
        <v>-317.86</v>
      </c>
    </row>
    <row r="637" spans="1:2" x14ac:dyDescent="0.3">
      <c r="A637" s="3" t="s">
        <v>675</v>
      </c>
      <c r="B637" s="1">
        <v>-330.55</v>
      </c>
    </row>
    <row r="638" spans="1:2" x14ac:dyDescent="0.3">
      <c r="A638" s="3" t="s">
        <v>1258</v>
      </c>
      <c r="B638" s="1">
        <v>-339.31</v>
      </c>
    </row>
    <row r="639" spans="1:2" x14ac:dyDescent="0.3">
      <c r="A639" s="3" t="s">
        <v>1885</v>
      </c>
      <c r="B639" s="1">
        <v>-342.08000000000004</v>
      </c>
    </row>
    <row r="640" spans="1:2" x14ac:dyDescent="0.3">
      <c r="A640" s="3" t="s">
        <v>252</v>
      </c>
      <c r="B640" s="1">
        <v>-360.36</v>
      </c>
    </row>
    <row r="641" spans="1:2" x14ac:dyDescent="0.3">
      <c r="A641" s="3" t="s">
        <v>1334</v>
      </c>
      <c r="B641" s="1">
        <v>-407.68</v>
      </c>
    </row>
    <row r="642" spans="1:2" x14ac:dyDescent="0.3">
      <c r="A642" s="3" t="s">
        <v>58</v>
      </c>
      <c r="B642" s="1">
        <v>-410.57000000000005</v>
      </c>
    </row>
    <row r="643" spans="1:2" x14ac:dyDescent="0.3">
      <c r="A643" s="3" t="s">
        <v>1842</v>
      </c>
      <c r="B643" s="1">
        <v>-415.5</v>
      </c>
    </row>
    <row r="644" spans="1:2" x14ac:dyDescent="0.3">
      <c r="A644" s="3" t="s">
        <v>1193</v>
      </c>
      <c r="B644" s="1">
        <v>-436.72999999999996</v>
      </c>
    </row>
    <row r="645" spans="1:2" x14ac:dyDescent="0.3">
      <c r="A645" s="3" t="s">
        <v>1867</v>
      </c>
      <c r="B645" s="1">
        <v>-459.99</v>
      </c>
    </row>
    <row r="646" spans="1:2" x14ac:dyDescent="0.3">
      <c r="A646" s="3" t="s">
        <v>635</v>
      </c>
      <c r="B646" s="1">
        <v>-510.53</v>
      </c>
    </row>
    <row r="647" spans="1:2" x14ac:dyDescent="0.3">
      <c r="A647" s="3" t="s">
        <v>740</v>
      </c>
      <c r="B647" s="1">
        <v>-565.64</v>
      </c>
    </row>
    <row r="648" spans="1:2" x14ac:dyDescent="0.3">
      <c r="A648" s="3" t="s">
        <v>537</v>
      </c>
      <c r="B648" s="1">
        <v>-863.93000000000006</v>
      </c>
    </row>
    <row r="649" spans="1:2" x14ac:dyDescent="0.3">
      <c r="A649" s="3" t="s">
        <v>319</v>
      </c>
      <c r="B649" s="1">
        <v>-1031.6699999999998</v>
      </c>
    </row>
    <row r="650" spans="1:2" x14ac:dyDescent="0.3">
      <c r="A650" s="3" t="s">
        <v>618</v>
      </c>
      <c r="B650" s="1">
        <v>-1115.6099999999999</v>
      </c>
    </row>
    <row r="651" spans="1:2" x14ac:dyDescent="0.3">
      <c r="A651" s="3" t="s">
        <v>1102</v>
      </c>
      <c r="B651" s="1">
        <v>-1218.33</v>
      </c>
    </row>
    <row r="652" spans="1:2" x14ac:dyDescent="0.3">
      <c r="A652" s="3" t="s">
        <v>659</v>
      </c>
      <c r="B652" s="1">
        <v>-1259.8499999999999</v>
      </c>
    </row>
    <row r="653" spans="1:2" x14ac:dyDescent="0.3">
      <c r="A653" s="3" t="s">
        <v>637</v>
      </c>
      <c r="B653" s="1">
        <v>-1272.3499999999999</v>
      </c>
    </row>
    <row r="654" spans="1:2" x14ac:dyDescent="0.3">
      <c r="A654" s="3" t="s">
        <v>1598</v>
      </c>
      <c r="B654" s="1">
        <v>-1340.5000000000002</v>
      </c>
    </row>
    <row r="655" spans="1:2" x14ac:dyDescent="0.3">
      <c r="A655" s="3" t="s">
        <v>336</v>
      </c>
      <c r="B655" s="1">
        <v>-1789.74</v>
      </c>
    </row>
    <row r="656" spans="1:2" x14ac:dyDescent="0.3">
      <c r="A656" s="3" t="s">
        <v>1234</v>
      </c>
      <c r="B656" s="1">
        <v>-1878.79</v>
      </c>
    </row>
    <row r="657" spans="1:2" x14ac:dyDescent="0.3">
      <c r="A657" s="3" t="s">
        <v>1027</v>
      </c>
      <c r="B657" s="1">
        <v>-3655.87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B8B9B-810B-4DFD-BE18-27D6738585B9}">
  <dimension ref="A3:E49"/>
  <sheetViews>
    <sheetView workbookViewId="0">
      <selection activeCell="I30" sqref="I30"/>
    </sheetView>
  </sheetViews>
  <sheetFormatPr defaultRowHeight="14.4" x14ac:dyDescent="0.3"/>
  <cols>
    <col min="1" max="1" width="17.33203125" bestFit="1" customWidth="1"/>
    <col min="2" max="2" width="11.6640625" bestFit="1" customWidth="1"/>
    <col min="5" max="5" width="15.44140625" customWidth="1"/>
  </cols>
  <sheetData>
    <row r="3" spans="1:5" x14ac:dyDescent="0.3">
      <c r="A3" s="2" t="s">
        <v>2111</v>
      </c>
      <c r="B3" t="s">
        <v>2113</v>
      </c>
    </row>
    <row r="4" spans="1:5" x14ac:dyDescent="0.3">
      <c r="A4" s="3" t="s">
        <v>488</v>
      </c>
      <c r="B4" s="1">
        <v>6657.5800000000017</v>
      </c>
      <c r="D4" t="str">
        <f>A4</f>
        <v>Alabama</v>
      </c>
      <c r="E4" s="1">
        <f>B4</f>
        <v>6657.5800000000017</v>
      </c>
    </row>
    <row r="5" spans="1:5" x14ac:dyDescent="0.3">
      <c r="A5" s="3" t="s">
        <v>95</v>
      </c>
      <c r="B5" s="1">
        <v>8812.66</v>
      </c>
      <c r="D5" t="str">
        <f t="shared" ref="D5:D48" si="0">A5</f>
        <v>Arizona</v>
      </c>
      <c r="E5" s="1">
        <f t="shared" ref="E5:E48" si="1">B5</f>
        <v>8812.66</v>
      </c>
    </row>
    <row r="6" spans="1:5" x14ac:dyDescent="0.3">
      <c r="A6" s="3" t="s">
        <v>101</v>
      </c>
      <c r="B6" s="1">
        <v>6332.6800000000012</v>
      </c>
      <c r="D6" t="str">
        <f t="shared" si="0"/>
        <v>Arkansas</v>
      </c>
      <c r="E6" s="1">
        <f t="shared" si="1"/>
        <v>6332.6800000000012</v>
      </c>
    </row>
    <row r="7" spans="1:5" x14ac:dyDescent="0.3">
      <c r="A7" s="3" t="s">
        <v>27</v>
      </c>
      <c r="B7" s="1">
        <v>121899.39000000007</v>
      </c>
      <c r="D7" t="str">
        <f t="shared" si="0"/>
        <v>California</v>
      </c>
      <c r="E7" s="1">
        <f t="shared" si="1"/>
        <v>121899.39000000007</v>
      </c>
    </row>
    <row r="8" spans="1:5" x14ac:dyDescent="0.3">
      <c r="A8" s="3" t="s">
        <v>278</v>
      </c>
      <c r="B8" s="1">
        <v>7680.6399999999994</v>
      </c>
      <c r="D8" t="str">
        <f t="shared" si="0"/>
        <v>Colorado</v>
      </c>
      <c r="E8" s="1">
        <f t="shared" si="1"/>
        <v>7680.6399999999994</v>
      </c>
    </row>
    <row r="9" spans="1:5" x14ac:dyDescent="0.3">
      <c r="A9" s="3" t="s">
        <v>613</v>
      </c>
      <c r="B9" s="1">
        <v>3280.1499999999996</v>
      </c>
      <c r="D9" t="str">
        <f t="shared" si="0"/>
        <v>Connecticut</v>
      </c>
      <c r="E9" s="1">
        <f t="shared" si="1"/>
        <v>3280.1499999999996</v>
      </c>
    </row>
    <row r="10" spans="1:5" x14ac:dyDescent="0.3">
      <c r="A10" s="3" t="s">
        <v>59</v>
      </c>
      <c r="B10" s="1">
        <v>7732.5700000000006</v>
      </c>
      <c r="D10" t="str">
        <f t="shared" si="0"/>
        <v>Delaware</v>
      </c>
      <c r="E10" s="1">
        <f t="shared" si="1"/>
        <v>7732.5700000000006</v>
      </c>
    </row>
    <row r="11" spans="1:5" x14ac:dyDescent="0.3">
      <c r="A11" s="3" t="s">
        <v>2044</v>
      </c>
      <c r="B11" s="1">
        <v>2670.19</v>
      </c>
      <c r="D11" t="str">
        <f t="shared" si="0"/>
        <v>District of Columbia</v>
      </c>
      <c r="E11" s="1">
        <f t="shared" si="1"/>
        <v>2670.19</v>
      </c>
    </row>
    <row r="12" spans="1:5" x14ac:dyDescent="0.3">
      <c r="A12" s="3" t="s">
        <v>123</v>
      </c>
      <c r="B12" s="1">
        <v>38211.00999999998</v>
      </c>
      <c r="D12" t="str">
        <f t="shared" si="0"/>
        <v>Florida</v>
      </c>
      <c r="E12" s="1">
        <f t="shared" si="1"/>
        <v>38211.00999999998</v>
      </c>
    </row>
    <row r="13" spans="1:5" x14ac:dyDescent="0.3">
      <c r="A13" s="3" t="s">
        <v>30</v>
      </c>
      <c r="B13" s="1">
        <v>12010.179999999998</v>
      </c>
      <c r="D13" t="str">
        <f t="shared" si="0"/>
        <v>Georgia</v>
      </c>
      <c r="E13" s="1">
        <f t="shared" si="1"/>
        <v>12010.179999999998</v>
      </c>
    </row>
    <row r="14" spans="1:5" x14ac:dyDescent="0.3">
      <c r="A14" s="3" t="s">
        <v>510</v>
      </c>
      <c r="B14" s="1">
        <v>960.95</v>
      </c>
      <c r="D14" t="str">
        <f t="shared" si="0"/>
        <v>Idaho</v>
      </c>
      <c r="E14" s="1">
        <f t="shared" si="1"/>
        <v>960.95</v>
      </c>
    </row>
    <row r="15" spans="1:5" x14ac:dyDescent="0.3">
      <c r="A15" s="3" t="s">
        <v>15</v>
      </c>
      <c r="B15" s="1">
        <v>21565.940000000017</v>
      </c>
      <c r="D15" t="str">
        <f t="shared" si="0"/>
        <v>Illinois</v>
      </c>
      <c r="E15" s="1">
        <f t="shared" si="1"/>
        <v>21565.940000000017</v>
      </c>
    </row>
    <row r="16" spans="1:5" x14ac:dyDescent="0.3">
      <c r="A16" s="3" t="s">
        <v>129</v>
      </c>
      <c r="B16" s="1">
        <v>3481.3299999999986</v>
      </c>
      <c r="D16" t="str">
        <f t="shared" si="0"/>
        <v>Indiana</v>
      </c>
      <c r="E16" s="1">
        <f t="shared" si="1"/>
        <v>3481.3299999999986</v>
      </c>
    </row>
    <row r="17" spans="1:5" x14ac:dyDescent="0.3">
      <c r="A17" s="3" t="s">
        <v>395</v>
      </c>
      <c r="B17" s="1">
        <v>1190.8399999999999</v>
      </c>
      <c r="D17" t="str">
        <f t="shared" si="0"/>
        <v>Iowa</v>
      </c>
      <c r="E17" s="1">
        <f t="shared" si="1"/>
        <v>1190.8399999999999</v>
      </c>
    </row>
    <row r="18" spans="1:5" x14ac:dyDescent="0.3">
      <c r="A18" s="3" t="s">
        <v>1283</v>
      </c>
      <c r="B18" s="1">
        <v>1490.1</v>
      </c>
      <c r="D18" t="str">
        <f t="shared" si="0"/>
        <v>Kansas</v>
      </c>
      <c r="E18" s="1">
        <f t="shared" si="1"/>
        <v>1490.1</v>
      </c>
    </row>
    <row r="19" spans="1:5" x14ac:dyDescent="0.3">
      <c r="A19" s="3" t="s">
        <v>33</v>
      </c>
      <c r="B19" s="1">
        <v>9632.1099999999969</v>
      </c>
      <c r="D19" t="str">
        <f t="shared" si="0"/>
        <v>Kentucky</v>
      </c>
      <c r="E19" s="1">
        <f t="shared" si="1"/>
        <v>9632.1099999999969</v>
      </c>
    </row>
    <row r="20" spans="1:5" x14ac:dyDescent="0.3">
      <c r="A20" s="3" t="s">
        <v>62</v>
      </c>
      <c r="B20" s="1">
        <v>2849.2400000000002</v>
      </c>
      <c r="D20" t="str">
        <f t="shared" si="0"/>
        <v>Louisiana</v>
      </c>
      <c r="E20" s="1">
        <f t="shared" si="1"/>
        <v>2849.2400000000002</v>
      </c>
    </row>
    <row r="21" spans="1:5" x14ac:dyDescent="0.3">
      <c r="A21" s="3" t="s">
        <v>1061</v>
      </c>
      <c r="B21" s="1">
        <v>617.12</v>
      </c>
      <c r="D21" t="str">
        <f t="shared" si="0"/>
        <v>Maine</v>
      </c>
      <c r="E21" s="1">
        <f t="shared" si="1"/>
        <v>617.12</v>
      </c>
    </row>
    <row r="22" spans="1:5" x14ac:dyDescent="0.3">
      <c r="A22" s="3" t="s">
        <v>531</v>
      </c>
      <c r="B22" s="1">
        <v>4333.0499999999993</v>
      </c>
      <c r="D22" t="str">
        <f t="shared" si="0"/>
        <v>Maryland</v>
      </c>
      <c r="E22" s="1">
        <f t="shared" si="1"/>
        <v>4333.0499999999993</v>
      </c>
    </row>
    <row r="23" spans="1:5" x14ac:dyDescent="0.3">
      <c r="A23" s="3" t="s">
        <v>434</v>
      </c>
      <c r="B23" s="1">
        <v>10213.819999999996</v>
      </c>
      <c r="D23" t="str">
        <f t="shared" si="0"/>
        <v>Massachusetts</v>
      </c>
      <c r="E23" s="1">
        <f t="shared" si="1"/>
        <v>10213.819999999996</v>
      </c>
    </row>
    <row r="24" spans="1:5" x14ac:dyDescent="0.3">
      <c r="A24" s="3" t="s">
        <v>110</v>
      </c>
      <c r="B24" s="1">
        <v>13419.149999999998</v>
      </c>
      <c r="D24" t="str">
        <f t="shared" si="0"/>
        <v>Michigan</v>
      </c>
      <c r="E24" s="1">
        <f t="shared" si="1"/>
        <v>13419.149999999998</v>
      </c>
    </row>
    <row r="25" spans="1:5" x14ac:dyDescent="0.3">
      <c r="A25" s="3" t="s">
        <v>315</v>
      </c>
      <c r="B25" s="1">
        <v>19168.579999999994</v>
      </c>
      <c r="D25" t="str">
        <f t="shared" si="0"/>
        <v>Minnesota</v>
      </c>
      <c r="E25" s="1">
        <f t="shared" si="1"/>
        <v>19168.579999999994</v>
      </c>
    </row>
    <row r="26" spans="1:5" x14ac:dyDescent="0.3">
      <c r="A26" s="3" t="s">
        <v>329</v>
      </c>
      <c r="B26" s="1">
        <v>2055.16</v>
      </c>
      <c r="D26" t="str">
        <f t="shared" si="0"/>
        <v>Mississippi</v>
      </c>
      <c r="E26" s="1">
        <f t="shared" si="1"/>
        <v>2055.16</v>
      </c>
    </row>
    <row r="27" spans="1:5" x14ac:dyDescent="0.3">
      <c r="A27" s="3" t="s">
        <v>186</v>
      </c>
      <c r="B27" s="1">
        <v>1658.5900000000001</v>
      </c>
      <c r="D27" t="str">
        <f t="shared" si="0"/>
        <v>Missouri</v>
      </c>
      <c r="E27" s="1">
        <f t="shared" si="1"/>
        <v>1658.5900000000001</v>
      </c>
    </row>
    <row r="28" spans="1:5" x14ac:dyDescent="0.3">
      <c r="A28" s="3" t="s">
        <v>515</v>
      </c>
      <c r="B28" s="1">
        <v>468.15000000000009</v>
      </c>
      <c r="D28" t="str">
        <f t="shared" si="0"/>
        <v>Montana</v>
      </c>
      <c r="E28" s="1">
        <f t="shared" si="1"/>
        <v>468.15000000000009</v>
      </c>
    </row>
    <row r="29" spans="1:5" x14ac:dyDescent="0.3">
      <c r="A29" s="3" t="s">
        <v>996</v>
      </c>
      <c r="B29" s="1">
        <v>405.82</v>
      </c>
      <c r="D29" t="str">
        <f t="shared" si="0"/>
        <v>Nebraska</v>
      </c>
      <c r="E29" s="1">
        <f t="shared" si="1"/>
        <v>405.82</v>
      </c>
    </row>
    <row r="30" spans="1:5" x14ac:dyDescent="0.3">
      <c r="A30" s="3" t="s">
        <v>126</v>
      </c>
      <c r="B30" s="1">
        <v>2561.2000000000003</v>
      </c>
      <c r="D30" t="str">
        <f t="shared" si="0"/>
        <v>Nevada</v>
      </c>
      <c r="E30" s="1">
        <f t="shared" si="1"/>
        <v>2561.2000000000003</v>
      </c>
    </row>
    <row r="31" spans="1:5" x14ac:dyDescent="0.3">
      <c r="A31" s="3" t="s">
        <v>685</v>
      </c>
      <c r="B31" s="1">
        <v>1228.8200000000002</v>
      </c>
      <c r="D31" t="str">
        <f t="shared" si="0"/>
        <v>New Hampshire</v>
      </c>
      <c r="E31" s="1">
        <f t="shared" si="1"/>
        <v>1228.8200000000002</v>
      </c>
    </row>
    <row r="32" spans="1:5" x14ac:dyDescent="0.3">
      <c r="A32" s="3" t="s">
        <v>177</v>
      </c>
      <c r="B32" s="1">
        <v>4824.3300000000008</v>
      </c>
      <c r="D32" t="str">
        <f t="shared" si="0"/>
        <v>New Jersey</v>
      </c>
      <c r="E32" s="1">
        <f t="shared" si="1"/>
        <v>4824.3300000000008</v>
      </c>
    </row>
    <row r="33" spans="1:5" x14ac:dyDescent="0.3">
      <c r="A33" s="3" t="s">
        <v>399</v>
      </c>
      <c r="B33" s="1">
        <v>770.02</v>
      </c>
      <c r="D33" t="str">
        <f t="shared" si="0"/>
        <v>New Mexico</v>
      </c>
      <c r="E33" s="1">
        <f t="shared" si="1"/>
        <v>770.02</v>
      </c>
    </row>
    <row r="34" spans="1:5" x14ac:dyDescent="0.3">
      <c r="A34" s="3" t="s">
        <v>149</v>
      </c>
      <c r="B34" s="1">
        <v>78304.99000000002</v>
      </c>
      <c r="D34" t="str">
        <f t="shared" si="0"/>
        <v>New York</v>
      </c>
      <c r="E34" s="1">
        <f t="shared" si="1"/>
        <v>78304.99000000002</v>
      </c>
    </row>
    <row r="35" spans="1:5" x14ac:dyDescent="0.3">
      <c r="A35" s="3" t="s">
        <v>245</v>
      </c>
      <c r="B35" s="1">
        <v>14778.35</v>
      </c>
      <c r="D35" t="str">
        <f t="shared" si="0"/>
        <v>North Carolina</v>
      </c>
      <c r="E35" s="1">
        <f t="shared" si="1"/>
        <v>14778.35</v>
      </c>
    </row>
    <row r="36" spans="1:5" x14ac:dyDescent="0.3">
      <c r="A36" s="3" t="s">
        <v>78</v>
      </c>
      <c r="B36" s="1">
        <v>19086.739999999998</v>
      </c>
      <c r="D36" t="str">
        <f t="shared" si="0"/>
        <v>Ohio</v>
      </c>
      <c r="E36" s="1">
        <f t="shared" si="1"/>
        <v>19086.739999999998</v>
      </c>
    </row>
    <row r="37" spans="1:5" x14ac:dyDescent="0.3">
      <c r="A37" s="3" t="s">
        <v>840</v>
      </c>
      <c r="B37" s="1">
        <v>2639.35</v>
      </c>
      <c r="D37" t="str">
        <f t="shared" si="0"/>
        <v>Oklahoma</v>
      </c>
      <c r="E37" s="1">
        <f t="shared" si="1"/>
        <v>2639.35</v>
      </c>
    </row>
    <row r="38" spans="1:5" x14ac:dyDescent="0.3">
      <c r="A38" s="3" t="s">
        <v>91</v>
      </c>
      <c r="B38" s="1">
        <v>4877.5700000000006</v>
      </c>
      <c r="D38" t="str">
        <f t="shared" si="0"/>
        <v>Oregon</v>
      </c>
      <c r="E38" s="1">
        <f t="shared" si="1"/>
        <v>4877.5700000000006</v>
      </c>
    </row>
    <row r="39" spans="1:5" x14ac:dyDescent="0.3">
      <c r="A39" s="3" t="s">
        <v>23</v>
      </c>
      <c r="B39" s="1">
        <v>24487.000000000015</v>
      </c>
      <c r="D39" t="str">
        <f t="shared" si="0"/>
        <v>Pennsylvania</v>
      </c>
      <c r="E39" s="1">
        <f t="shared" si="1"/>
        <v>24487.000000000015</v>
      </c>
    </row>
    <row r="40" spans="1:5" x14ac:dyDescent="0.3">
      <c r="A40" s="3" t="s">
        <v>1529</v>
      </c>
      <c r="B40" s="1">
        <v>5667.04</v>
      </c>
      <c r="D40" t="str">
        <f t="shared" si="0"/>
        <v>Rhode Island</v>
      </c>
      <c r="E40" s="1">
        <f t="shared" si="1"/>
        <v>5667.04</v>
      </c>
    </row>
    <row r="41" spans="1:5" x14ac:dyDescent="0.3">
      <c r="A41" s="3" t="s">
        <v>70</v>
      </c>
      <c r="B41" s="1">
        <v>2517.0299999999997</v>
      </c>
      <c r="D41" t="str">
        <f t="shared" si="0"/>
        <v>South Carolina</v>
      </c>
      <c r="E41" s="1">
        <f t="shared" si="1"/>
        <v>2517.0299999999997</v>
      </c>
    </row>
    <row r="42" spans="1:5" x14ac:dyDescent="0.3">
      <c r="A42" s="3" t="s">
        <v>140</v>
      </c>
      <c r="B42" s="1">
        <v>162.15</v>
      </c>
      <c r="D42" t="str">
        <f t="shared" si="0"/>
        <v>South Dakota</v>
      </c>
      <c r="E42" s="1">
        <f t="shared" si="1"/>
        <v>162.15</v>
      </c>
    </row>
    <row r="43" spans="1:5" x14ac:dyDescent="0.3">
      <c r="A43" s="3" t="s">
        <v>120</v>
      </c>
      <c r="B43" s="1">
        <v>5318.34</v>
      </c>
      <c r="D43" t="str">
        <f t="shared" si="0"/>
        <v>Tennessee</v>
      </c>
      <c r="E43" s="1">
        <f t="shared" si="1"/>
        <v>5318.34</v>
      </c>
    </row>
    <row r="44" spans="1:5" x14ac:dyDescent="0.3">
      <c r="A44" s="3" t="s">
        <v>10</v>
      </c>
      <c r="B44" s="1">
        <v>62945.64000000005</v>
      </c>
      <c r="D44" t="str">
        <f t="shared" si="0"/>
        <v>Texas</v>
      </c>
      <c r="E44" s="1">
        <f t="shared" si="1"/>
        <v>62945.64000000005</v>
      </c>
    </row>
    <row r="45" spans="1:5" x14ac:dyDescent="0.3">
      <c r="A45" s="3" t="s">
        <v>296</v>
      </c>
      <c r="B45" s="1">
        <v>4718.3200000000006</v>
      </c>
      <c r="D45" t="str">
        <f t="shared" si="0"/>
        <v>Utah</v>
      </c>
      <c r="E45" s="1">
        <f t="shared" si="1"/>
        <v>4718.3200000000006</v>
      </c>
    </row>
    <row r="46" spans="1:5" x14ac:dyDescent="0.3">
      <c r="A46" s="3" t="s">
        <v>55</v>
      </c>
      <c r="B46" s="1">
        <v>29064.530000000006</v>
      </c>
      <c r="D46" t="str">
        <f t="shared" si="0"/>
        <v>Virginia</v>
      </c>
      <c r="E46" s="1">
        <f t="shared" si="1"/>
        <v>29064.530000000006</v>
      </c>
    </row>
    <row r="47" spans="1:5" x14ac:dyDescent="0.3">
      <c r="A47" s="3" t="s">
        <v>164</v>
      </c>
      <c r="B47" s="1">
        <v>41367.539999999986</v>
      </c>
      <c r="D47" t="str">
        <f t="shared" si="0"/>
        <v>Washington</v>
      </c>
      <c r="E47" s="1">
        <f t="shared" si="1"/>
        <v>41367.539999999986</v>
      </c>
    </row>
    <row r="48" spans="1:5" x14ac:dyDescent="0.3">
      <c r="A48" s="3" t="s">
        <v>157</v>
      </c>
      <c r="B48" s="1">
        <v>8736.48</v>
      </c>
      <c r="D48" t="str">
        <f t="shared" si="0"/>
        <v>Wisconsin</v>
      </c>
      <c r="E48" s="1">
        <f t="shared" si="1"/>
        <v>8736.48</v>
      </c>
    </row>
    <row r="49" spans="1:2" x14ac:dyDescent="0.3">
      <c r="A49" s="3" t="s">
        <v>2112</v>
      </c>
      <c r="B49" s="1">
        <v>622852.44000000018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8C66B-0FB0-46EA-8669-2E6AE5BF5AD9}">
  <dimension ref="A1:F2601"/>
  <sheetViews>
    <sheetView workbookViewId="0">
      <selection activeCell="C4" sqref="C4"/>
    </sheetView>
  </sheetViews>
  <sheetFormatPr defaultRowHeight="14.4" x14ac:dyDescent="0.3"/>
  <cols>
    <col min="1" max="1" width="20.77734375" style="4" customWidth="1"/>
    <col min="2" max="2" width="20.77734375" style="3" customWidth="1"/>
    <col min="3" max="4" width="8.88671875" style="3"/>
    <col min="5" max="5" width="12.5546875" style="3" bestFit="1" customWidth="1"/>
    <col min="6" max="6" width="22.6640625" style="3" bestFit="1" customWidth="1"/>
    <col min="7" max="16384" width="8.88671875" style="3"/>
  </cols>
  <sheetData>
    <row r="1" spans="1:6" x14ac:dyDescent="0.3">
      <c r="A1" s="4" t="s">
        <v>2109</v>
      </c>
      <c r="B1" s="3" t="s">
        <v>1</v>
      </c>
    </row>
    <row r="2" spans="1:6" x14ac:dyDescent="0.3">
      <c r="A2" s="4">
        <v>2014</v>
      </c>
      <c r="B2" s="3" t="s">
        <v>9</v>
      </c>
    </row>
    <row r="3" spans="1:6" x14ac:dyDescent="0.3">
      <c r="A3" s="4">
        <v>2014</v>
      </c>
      <c r="B3" s="3" t="s">
        <v>14</v>
      </c>
    </row>
    <row r="4" spans="1:6" x14ac:dyDescent="0.3">
      <c r="A4" s="4">
        <v>2014</v>
      </c>
      <c r="B4" s="3" t="s">
        <v>22</v>
      </c>
    </row>
    <row r="5" spans="1:6" x14ac:dyDescent="0.3">
      <c r="A5" s="4">
        <v>2014</v>
      </c>
      <c r="B5" s="3" t="s">
        <v>26</v>
      </c>
      <c r="E5" s="8" t="s">
        <v>2111</v>
      </c>
      <c r="F5" s="3" t="s">
        <v>2116</v>
      </c>
    </row>
    <row r="6" spans="1:6" x14ac:dyDescent="0.3">
      <c r="A6" s="4">
        <v>2014</v>
      </c>
      <c r="B6" s="3" t="s">
        <v>29</v>
      </c>
      <c r="E6" s="4">
        <v>2014</v>
      </c>
      <c r="F6" s="3">
        <v>595</v>
      </c>
    </row>
    <row r="7" spans="1:6" x14ac:dyDescent="0.3">
      <c r="A7" s="4">
        <v>2014</v>
      </c>
      <c r="B7" s="3" t="s">
        <v>32</v>
      </c>
      <c r="E7" s="4">
        <v>2015</v>
      </c>
      <c r="F7" s="3">
        <v>259</v>
      </c>
    </row>
    <row r="8" spans="1:6" x14ac:dyDescent="0.3">
      <c r="A8" s="4">
        <v>2014</v>
      </c>
      <c r="B8" s="3" t="s">
        <v>46</v>
      </c>
    </row>
    <row r="9" spans="1:6" x14ac:dyDescent="0.3">
      <c r="A9" s="4">
        <v>2014</v>
      </c>
      <c r="B9" s="3" t="s">
        <v>50</v>
      </c>
    </row>
    <row r="10" spans="1:6" x14ac:dyDescent="0.3">
      <c r="A10" s="4">
        <v>2014</v>
      </c>
      <c r="B10" s="3" t="s">
        <v>54</v>
      </c>
    </row>
    <row r="11" spans="1:6" x14ac:dyDescent="0.3">
      <c r="A11" s="4">
        <v>2014</v>
      </c>
      <c r="B11" s="3" t="s">
        <v>58</v>
      </c>
    </row>
    <row r="12" spans="1:6" x14ac:dyDescent="0.3">
      <c r="A12" s="4">
        <v>2014</v>
      </c>
      <c r="B12" s="3" t="s">
        <v>61</v>
      </c>
    </row>
    <row r="13" spans="1:6" x14ac:dyDescent="0.3">
      <c r="A13" s="4">
        <v>2014</v>
      </c>
      <c r="B13" s="3" t="s">
        <v>69</v>
      </c>
    </row>
    <row r="14" spans="1:6" x14ac:dyDescent="0.3">
      <c r="A14" s="4">
        <v>2014</v>
      </c>
      <c r="B14" s="3" t="s">
        <v>72</v>
      </c>
    </row>
    <row r="15" spans="1:6" x14ac:dyDescent="0.3">
      <c r="A15" s="4">
        <v>2014</v>
      </c>
      <c r="B15" s="3" t="s">
        <v>77</v>
      </c>
    </row>
    <row r="16" spans="1:6" x14ac:dyDescent="0.3">
      <c r="A16" s="4">
        <v>2014</v>
      </c>
      <c r="B16" s="3" t="s">
        <v>81</v>
      </c>
    </row>
    <row r="17" spans="1:2" x14ac:dyDescent="0.3">
      <c r="A17" s="4">
        <v>2014</v>
      </c>
      <c r="B17" s="3" t="s">
        <v>83</v>
      </c>
    </row>
    <row r="18" spans="1:2" x14ac:dyDescent="0.3">
      <c r="A18" s="4">
        <v>2014</v>
      </c>
      <c r="B18" s="3" t="s">
        <v>85</v>
      </c>
    </row>
    <row r="19" spans="1:2" x14ac:dyDescent="0.3">
      <c r="A19" s="4">
        <v>2014</v>
      </c>
      <c r="B19" s="3" t="s">
        <v>90</v>
      </c>
    </row>
    <row r="20" spans="1:2" x14ac:dyDescent="0.3">
      <c r="A20" s="4">
        <v>2014</v>
      </c>
      <c r="B20" s="3" t="s">
        <v>94</v>
      </c>
    </row>
    <row r="21" spans="1:2" x14ac:dyDescent="0.3">
      <c r="A21" s="4">
        <v>2014</v>
      </c>
      <c r="B21" s="3" t="s">
        <v>100</v>
      </c>
    </row>
    <row r="22" spans="1:2" x14ac:dyDescent="0.3">
      <c r="A22" s="4">
        <v>2014</v>
      </c>
      <c r="B22" s="3" t="s">
        <v>107</v>
      </c>
    </row>
    <row r="23" spans="1:2" x14ac:dyDescent="0.3">
      <c r="A23" s="4">
        <v>2014</v>
      </c>
      <c r="B23" s="3" t="s">
        <v>109</v>
      </c>
    </row>
    <row r="24" spans="1:2" x14ac:dyDescent="0.3">
      <c r="A24" s="4">
        <v>2014</v>
      </c>
      <c r="B24" s="3" t="s">
        <v>119</v>
      </c>
    </row>
    <row r="25" spans="1:2" x14ac:dyDescent="0.3">
      <c r="A25" s="4">
        <v>2014</v>
      </c>
      <c r="B25" s="3" t="s">
        <v>122</v>
      </c>
    </row>
    <row r="26" spans="1:2" x14ac:dyDescent="0.3">
      <c r="A26" s="4">
        <v>2014</v>
      </c>
      <c r="B26" s="3" t="s">
        <v>125</v>
      </c>
    </row>
    <row r="27" spans="1:2" x14ac:dyDescent="0.3">
      <c r="A27" s="4">
        <v>2014</v>
      </c>
      <c r="B27" s="3" t="s">
        <v>128</v>
      </c>
    </row>
    <row r="28" spans="1:2" x14ac:dyDescent="0.3">
      <c r="A28" s="4">
        <v>2014</v>
      </c>
      <c r="B28" s="3" t="s">
        <v>131</v>
      </c>
    </row>
    <row r="29" spans="1:2" x14ac:dyDescent="0.3">
      <c r="A29" s="4">
        <v>2014</v>
      </c>
      <c r="B29" s="3" t="s">
        <v>139</v>
      </c>
    </row>
    <row r="30" spans="1:2" x14ac:dyDescent="0.3">
      <c r="A30" s="4">
        <v>2014</v>
      </c>
      <c r="B30" s="3" t="s">
        <v>143</v>
      </c>
    </row>
    <row r="31" spans="1:2" x14ac:dyDescent="0.3">
      <c r="A31" s="4">
        <v>2014</v>
      </c>
      <c r="B31" s="3" t="s">
        <v>148</v>
      </c>
    </row>
    <row r="32" spans="1:2" x14ac:dyDescent="0.3">
      <c r="A32" s="4">
        <v>2014</v>
      </c>
      <c r="B32" s="3" t="s">
        <v>151</v>
      </c>
    </row>
    <row r="33" spans="1:2" x14ac:dyDescent="0.3">
      <c r="A33" s="4">
        <v>2014</v>
      </c>
      <c r="B33" s="3" t="s">
        <v>154</v>
      </c>
    </row>
    <row r="34" spans="1:2" x14ac:dyDescent="0.3">
      <c r="A34" s="4">
        <v>2014</v>
      </c>
      <c r="B34" s="3" t="s">
        <v>156</v>
      </c>
    </row>
    <row r="35" spans="1:2" x14ac:dyDescent="0.3">
      <c r="A35" s="4">
        <v>2014</v>
      </c>
      <c r="B35" s="3" t="s">
        <v>159</v>
      </c>
    </row>
    <row r="36" spans="1:2" x14ac:dyDescent="0.3">
      <c r="A36" s="4">
        <v>2014</v>
      </c>
      <c r="B36" s="3" t="s">
        <v>161</v>
      </c>
    </row>
    <row r="37" spans="1:2" x14ac:dyDescent="0.3">
      <c r="A37" s="4">
        <v>2014</v>
      </c>
      <c r="B37" s="3" t="s">
        <v>167</v>
      </c>
    </row>
    <row r="38" spans="1:2" x14ac:dyDescent="0.3">
      <c r="A38" s="4">
        <v>2014</v>
      </c>
      <c r="B38" s="3" t="s">
        <v>170</v>
      </c>
    </row>
    <row r="39" spans="1:2" x14ac:dyDescent="0.3">
      <c r="A39" s="4">
        <v>2014</v>
      </c>
      <c r="B39" s="3" t="s">
        <v>171</v>
      </c>
    </row>
    <row r="40" spans="1:2" x14ac:dyDescent="0.3">
      <c r="A40" s="4">
        <v>2014</v>
      </c>
      <c r="B40" s="3" t="s">
        <v>176</v>
      </c>
    </row>
    <row r="41" spans="1:2" x14ac:dyDescent="0.3">
      <c r="A41" s="4">
        <v>2014</v>
      </c>
      <c r="B41" s="3" t="s">
        <v>180</v>
      </c>
    </row>
    <row r="42" spans="1:2" x14ac:dyDescent="0.3">
      <c r="A42" s="4">
        <v>2014</v>
      </c>
      <c r="B42" s="3" t="s">
        <v>182</v>
      </c>
    </row>
    <row r="43" spans="1:2" x14ac:dyDescent="0.3">
      <c r="A43" s="4">
        <v>2014</v>
      </c>
      <c r="B43" s="3" t="s">
        <v>185</v>
      </c>
    </row>
    <row r="44" spans="1:2" x14ac:dyDescent="0.3">
      <c r="A44" s="4">
        <v>2014</v>
      </c>
      <c r="B44" s="3" t="s">
        <v>193</v>
      </c>
    </row>
    <row r="45" spans="1:2" x14ac:dyDescent="0.3">
      <c r="A45" s="4">
        <v>2014</v>
      </c>
      <c r="B45" s="3" t="s">
        <v>195</v>
      </c>
    </row>
    <row r="46" spans="1:2" x14ac:dyDescent="0.3">
      <c r="A46" s="4">
        <v>2014</v>
      </c>
      <c r="B46" s="3" t="s">
        <v>197</v>
      </c>
    </row>
    <row r="47" spans="1:2" x14ac:dyDescent="0.3">
      <c r="A47" s="4">
        <v>2014</v>
      </c>
      <c r="B47" s="3" t="s">
        <v>202</v>
      </c>
    </row>
    <row r="48" spans="1:2" x14ac:dyDescent="0.3">
      <c r="A48" s="4">
        <v>2014</v>
      </c>
      <c r="B48" s="3" t="s">
        <v>204</v>
      </c>
    </row>
    <row r="49" spans="1:2" x14ac:dyDescent="0.3">
      <c r="A49" s="4">
        <v>2014</v>
      </c>
      <c r="B49" s="3" t="s">
        <v>208</v>
      </c>
    </row>
    <row r="50" spans="1:2" x14ac:dyDescent="0.3">
      <c r="A50" s="4">
        <v>2014</v>
      </c>
      <c r="B50" s="3" t="s">
        <v>210</v>
      </c>
    </row>
    <row r="51" spans="1:2" x14ac:dyDescent="0.3">
      <c r="A51" s="4">
        <v>2014</v>
      </c>
      <c r="B51" s="3" t="s">
        <v>212</v>
      </c>
    </row>
    <row r="52" spans="1:2" x14ac:dyDescent="0.3">
      <c r="A52" s="4">
        <v>2014</v>
      </c>
      <c r="B52" s="3" t="s">
        <v>215</v>
      </c>
    </row>
    <row r="53" spans="1:2" x14ac:dyDescent="0.3">
      <c r="A53" s="4">
        <v>2014</v>
      </c>
      <c r="B53" s="3" t="s">
        <v>217</v>
      </c>
    </row>
    <row r="54" spans="1:2" x14ac:dyDescent="0.3">
      <c r="A54" s="4">
        <v>2014</v>
      </c>
      <c r="B54" s="3" t="s">
        <v>218</v>
      </c>
    </row>
    <row r="55" spans="1:2" x14ac:dyDescent="0.3">
      <c r="A55" s="4">
        <v>2014</v>
      </c>
      <c r="B55" s="3" t="s">
        <v>220</v>
      </c>
    </row>
    <row r="56" spans="1:2" x14ac:dyDescent="0.3">
      <c r="A56" s="4">
        <v>2014</v>
      </c>
      <c r="B56" s="3" t="s">
        <v>223</v>
      </c>
    </row>
    <row r="57" spans="1:2" x14ac:dyDescent="0.3">
      <c r="A57" s="4">
        <v>2014</v>
      </c>
      <c r="B57" s="3" t="s">
        <v>225</v>
      </c>
    </row>
    <row r="58" spans="1:2" x14ac:dyDescent="0.3">
      <c r="A58" s="4">
        <v>2014</v>
      </c>
      <c r="B58" s="3" t="s">
        <v>227</v>
      </c>
    </row>
    <row r="59" spans="1:2" x14ac:dyDescent="0.3">
      <c r="A59" s="4">
        <v>2014</v>
      </c>
      <c r="B59" s="3" t="s">
        <v>228</v>
      </c>
    </row>
    <row r="60" spans="1:2" x14ac:dyDescent="0.3">
      <c r="A60" s="4">
        <v>2014</v>
      </c>
      <c r="B60" s="3" t="s">
        <v>230</v>
      </c>
    </row>
    <row r="61" spans="1:2" x14ac:dyDescent="0.3">
      <c r="A61" s="4">
        <v>2014</v>
      </c>
      <c r="B61" s="3" t="s">
        <v>233</v>
      </c>
    </row>
    <row r="62" spans="1:2" x14ac:dyDescent="0.3">
      <c r="A62" s="4">
        <v>2014</v>
      </c>
      <c r="B62" s="3" t="s">
        <v>237</v>
      </c>
    </row>
    <row r="63" spans="1:2" x14ac:dyDescent="0.3">
      <c r="A63" s="4">
        <v>2014</v>
      </c>
      <c r="B63" s="3" t="s">
        <v>239</v>
      </c>
    </row>
    <row r="64" spans="1:2" x14ac:dyDescent="0.3">
      <c r="A64" s="4">
        <v>2014</v>
      </c>
      <c r="B64" s="3" t="s">
        <v>241</v>
      </c>
    </row>
    <row r="65" spans="1:2" x14ac:dyDescent="0.3">
      <c r="A65" s="4">
        <v>2014</v>
      </c>
      <c r="B65" s="3" t="s">
        <v>244</v>
      </c>
    </row>
    <row r="66" spans="1:2" x14ac:dyDescent="0.3">
      <c r="A66" s="4">
        <v>2014</v>
      </c>
      <c r="B66" s="3" t="s">
        <v>246</v>
      </c>
    </row>
    <row r="67" spans="1:2" x14ac:dyDescent="0.3">
      <c r="A67" s="4">
        <v>2014</v>
      </c>
      <c r="B67" s="3" t="s">
        <v>249</v>
      </c>
    </row>
    <row r="68" spans="1:2" x14ac:dyDescent="0.3">
      <c r="A68" s="4">
        <v>2014</v>
      </c>
      <c r="B68" s="3" t="s">
        <v>252</v>
      </c>
    </row>
    <row r="69" spans="1:2" x14ac:dyDescent="0.3">
      <c r="A69" s="4">
        <v>2014</v>
      </c>
      <c r="B69" s="3" t="s">
        <v>254</v>
      </c>
    </row>
    <row r="70" spans="1:2" x14ac:dyDescent="0.3">
      <c r="A70" s="4">
        <v>2014</v>
      </c>
      <c r="B70" s="3" t="s">
        <v>256</v>
      </c>
    </row>
    <row r="71" spans="1:2" x14ac:dyDescent="0.3">
      <c r="A71" s="4">
        <v>2014</v>
      </c>
      <c r="B71" s="3" t="s">
        <v>259</v>
      </c>
    </row>
    <row r="72" spans="1:2" x14ac:dyDescent="0.3">
      <c r="A72" s="4">
        <v>2014</v>
      </c>
      <c r="B72" s="3" t="s">
        <v>268</v>
      </c>
    </row>
    <row r="73" spans="1:2" x14ac:dyDescent="0.3">
      <c r="A73" s="4">
        <v>2014</v>
      </c>
      <c r="B73" s="3" t="s">
        <v>270</v>
      </c>
    </row>
    <row r="74" spans="1:2" x14ac:dyDescent="0.3">
      <c r="A74" s="4">
        <v>2014</v>
      </c>
      <c r="B74" s="3" t="s">
        <v>275</v>
      </c>
    </row>
    <row r="75" spans="1:2" x14ac:dyDescent="0.3">
      <c r="A75" s="4">
        <v>2014</v>
      </c>
      <c r="B75" s="3" t="s">
        <v>277</v>
      </c>
    </row>
    <row r="76" spans="1:2" x14ac:dyDescent="0.3">
      <c r="A76" s="4">
        <v>2014</v>
      </c>
      <c r="B76" s="3" t="s">
        <v>280</v>
      </c>
    </row>
    <row r="77" spans="1:2" x14ac:dyDescent="0.3">
      <c r="A77" s="4">
        <v>2014</v>
      </c>
      <c r="B77" s="3" t="s">
        <v>283</v>
      </c>
    </row>
    <row r="78" spans="1:2" x14ac:dyDescent="0.3">
      <c r="A78" s="4">
        <v>2014</v>
      </c>
      <c r="B78" s="3" t="s">
        <v>285</v>
      </c>
    </row>
    <row r="79" spans="1:2" x14ac:dyDescent="0.3">
      <c r="A79" s="4">
        <v>2014</v>
      </c>
      <c r="B79" s="3" t="s">
        <v>289</v>
      </c>
    </row>
    <row r="80" spans="1:2" x14ac:dyDescent="0.3">
      <c r="A80" s="4">
        <v>2014</v>
      </c>
      <c r="B80" s="3" t="s">
        <v>291</v>
      </c>
    </row>
    <row r="81" spans="1:2" x14ac:dyDescent="0.3">
      <c r="A81" s="4">
        <v>2014</v>
      </c>
      <c r="B81" s="3" t="s">
        <v>293</v>
      </c>
    </row>
    <row r="82" spans="1:2" x14ac:dyDescent="0.3">
      <c r="A82" s="4">
        <v>2014</v>
      </c>
      <c r="B82" s="3" t="s">
        <v>295</v>
      </c>
    </row>
    <row r="83" spans="1:2" x14ac:dyDescent="0.3">
      <c r="A83" s="4">
        <v>2014</v>
      </c>
      <c r="B83" s="3" t="s">
        <v>301</v>
      </c>
    </row>
    <row r="84" spans="1:2" x14ac:dyDescent="0.3">
      <c r="A84" s="4">
        <v>2014</v>
      </c>
      <c r="B84" s="3" t="s">
        <v>305</v>
      </c>
    </row>
    <row r="85" spans="1:2" x14ac:dyDescent="0.3">
      <c r="A85" s="4">
        <v>2014</v>
      </c>
      <c r="B85" s="3" t="s">
        <v>307</v>
      </c>
    </row>
    <row r="86" spans="1:2" x14ac:dyDescent="0.3">
      <c r="A86" s="4">
        <v>2014</v>
      </c>
      <c r="B86" s="3" t="s">
        <v>314</v>
      </c>
    </row>
    <row r="87" spans="1:2" x14ac:dyDescent="0.3">
      <c r="A87" s="4">
        <v>2014</v>
      </c>
      <c r="B87" s="3" t="s">
        <v>319</v>
      </c>
    </row>
    <row r="88" spans="1:2" x14ac:dyDescent="0.3">
      <c r="A88" s="4">
        <v>2014</v>
      </c>
      <c r="B88" s="3" t="s">
        <v>325</v>
      </c>
    </row>
    <row r="89" spans="1:2" x14ac:dyDescent="0.3">
      <c r="A89" s="4">
        <v>2014</v>
      </c>
      <c r="B89" s="3" t="s">
        <v>334</v>
      </c>
    </row>
    <row r="90" spans="1:2" x14ac:dyDescent="0.3">
      <c r="A90" s="4">
        <v>2014</v>
      </c>
      <c r="B90" s="3" t="s">
        <v>336</v>
      </c>
    </row>
    <row r="91" spans="1:2" x14ac:dyDescent="0.3">
      <c r="A91" s="4">
        <v>2014</v>
      </c>
      <c r="B91" s="3" t="s">
        <v>341</v>
      </c>
    </row>
    <row r="92" spans="1:2" x14ac:dyDescent="0.3">
      <c r="A92" s="4">
        <v>2014</v>
      </c>
      <c r="B92" s="3" t="s">
        <v>343</v>
      </c>
    </row>
    <row r="93" spans="1:2" x14ac:dyDescent="0.3">
      <c r="A93" s="4">
        <v>2014</v>
      </c>
      <c r="B93" s="3" t="s">
        <v>346</v>
      </c>
    </row>
    <row r="94" spans="1:2" x14ac:dyDescent="0.3">
      <c r="A94" s="4">
        <v>2014</v>
      </c>
      <c r="B94" s="3" t="s">
        <v>352</v>
      </c>
    </row>
    <row r="95" spans="1:2" x14ac:dyDescent="0.3">
      <c r="A95" s="4">
        <v>2014</v>
      </c>
      <c r="B95" s="3" t="s">
        <v>355</v>
      </c>
    </row>
    <row r="96" spans="1:2" x14ac:dyDescent="0.3">
      <c r="A96" s="4">
        <v>2014</v>
      </c>
      <c r="B96" s="3" t="s">
        <v>357</v>
      </c>
    </row>
    <row r="97" spans="1:2" x14ac:dyDescent="0.3">
      <c r="A97" s="4">
        <v>2014</v>
      </c>
      <c r="B97" s="3" t="s">
        <v>363</v>
      </c>
    </row>
    <row r="98" spans="1:2" x14ac:dyDescent="0.3">
      <c r="A98" s="4">
        <v>2014</v>
      </c>
      <c r="B98" s="3" t="s">
        <v>366</v>
      </c>
    </row>
    <row r="99" spans="1:2" x14ac:dyDescent="0.3">
      <c r="A99" s="4">
        <v>2014</v>
      </c>
      <c r="B99" s="3" t="s">
        <v>369</v>
      </c>
    </row>
    <row r="100" spans="1:2" x14ac:dyDescent="0.3">
      <c r="A100" s="4">
        <v>2014</v>
      </c>
      <c r="B100" s="3" t="s">
        <v>372</v>
      </c>
    </row>
    <row r="101" spans="1:2" x14ac:dyDescent="0.3">
      <c r="A101" s="4">
        <v>2014</v>
      </c>
      <c r="B101" s="3" t="s">
        <v>373</v>
      </c>
    </row>
    <row r="102" spans="1:2" x14ac:dyDescent="0.3">
      <c r="A102" s="4">
        <v>2014</v>
      </c>
      <c r="B102" s="3" t="s">
        <v>376</v>
      </c>
    </row>
    <row r="103" spans="1:2" x14ac:dyDescent="0.3">
      <c r="A103" s="4">
        <v>2014</v>
      </c>
      <c r="B103" s="3" t="s">
        <v>378</v>
      </c>
    </row>
    <row r="104" spans="1:2" x14ac:dyDescent="0.3">
      <c r="A104" s="4">
        <v>2014</v>
      </c>
      <c r="B104" s="3" t="s">
        <v>380</v>
      </c>
    </row>
    <row r="105" spans="1:2" x14ac:dyDescent="0.3">
      <c r="A105" s="4">
        <v>2014</v>
      </c>
      <c r="B105" s="3" t="s">
        <v>383</v>
      </c>
    </row>
    <row r="106" spans="1:2" x14ac:dyDescent="0.3">
      <c r="A106" s="4">
        <v>2014</v>
      </c>
      <c r="B106" s="3" t="s">
        <v>387</v>
      </c>
    </row>
    <row r="107" spans="1:2" x14ac:dyDescent="0.3">
      <c r="A107" s="4">
        <v>2014</v>
      </c>
      <c r="B107" s="3" t="s">
        <v>389</v>
      </c>
    </row>
    <row r="108" spans="1:2" x14ac:dyDescent="0.3">
      <c r="A108" s="4">
        <v>2014</v>
      </c>
      <c r="B108" s="3" t="s">
        <v>392</v>
      </c>
    </row>
    <row r="109" spans="1:2" x14ac:dyDescent="0.3">
      <c r="A109" s="4">
        <v>2014</v>
      </c>
      <c r="B109" s="3" t="s">
        <v>394</v>
      </c>
    </row>
    <row r="110" spans="1:2" x14ac:dyDescent="0.3">
      <c r="A110" s="4">
        <v>2014</v>
      </c>
      <c r="B110" s="3" t="s">
        <v>398</v>
      </c>
    </row>
    <row r="111" spans="1:2" x14ac:dyDescent="0.3">
      <c r="A111" s="4">
        <v>2014</v>
      </c>
      <c r="B111" s="3" t="s">
        <v>401</v>
      </c>
    </row>
    <row r="112" spans="1:2" x14ac:dyDescent="0.3">
      <c r="A112" s="4">
        <v>2014</v>
      </c>
      <c r="B112" s="3" t="s">
        <v>403</v>
      </c>
    </row>
    <row r="113" spans="1:2" x14ac:dyDescent="0.3">
      <c r="A113" s="4">
        <v>2014</v>
      </c>
      <c r="B113" s="3" t="s">
        <v>405</v>
      </c>
    </row>
    <row r="114" spans="1:2" x14ac:dyDescent="0.3">
      <c r="A114" s="4">
        <v>2014</v>
      </c>
      <c r="B114" s="3" t="s">
        <v>407</v>
      </c>
    </row>
    <row r="115" spans="1:2" x14ac:dyDescent="0.3">
      <c r="A115" s="4">
        <v>2014</v>
      </c>
      <c r="B115" s="3" t="s">
        <v>410</v>
      </c>
    </row>
    <row r="116" spans="1:2" x14ac:dyDescent="0.3">
      <c r="A116" s="4">
        <v>2014</v>
      </c>
      <c r="B116" s="3" t="s">
        <v>413</v>
      </c>
    </row>
    <row r="117" spans="1:2" x14ac:dyDescent="0.3">
      <c r="A117" s="4">
        <v>2014</v>
      </c>
      <c r="B117" s="3" t="s">
        <v>417</v>
      </c>
    </row>
    <row r="118" spans="1:2" x14ac:dyDescent="0.3">
      <c r="A118" s="4">
        <v>2014</v>
      </c>
      <c r="B118" s="3" t="s">
        <v>419</v>
      </c>
    </row>
    <row r="119" spans="1:2" x14ac:dyDescent="0.3">
      <c r="A119" s="4">
        <v>2014</v>
      </c>
      <c r="B119" s="3" t="s">
        <v>422</v>
      </c>
    </row>
    <row r="120" spans="1:2" x14ac:dyDescent="0.3">
      <c r="A120" s="4">
        <v>2014</v>
      </c>
      <c r="B120" s="3" t="s">
        <v>424</v>
      </c>
    </row>
    <row r="121" spans="1:2" x14ac:dyDescent="0.3">
      <c r="A121" s="4">
        <v>2014</v>
      </c>
      <c r="B121" s="3" t="s">
        <v>427</v>
      </c>
    </row>
    <row r="122" spans="1:2" x14ac:dyDescent="0.3">
      <c r="A122" s="4">
        <v>2014</v>
      </c>
      <c r="B122" s="3" t="s">
        <v>429</v>
      </c>
    </row>
    <row r="123" spans="1:2" x14ac:dyDescent="0.3">
      <c r="A123" s="4">
        <v>2014</v>
      </c>
      <c r="B123" s="3" t="s">
        <v>433</v>
      </c>
    </row>
    <row r="124" spans="1:2" x14ac:dyDescent="0.3">
      <c r="A124" s="4">
        <v>2014</v>
      </c>
      <c r="B124" s="3" t="s">
        <v>437</v>
      </c>
    </row>
    <row r="125" spans="1:2" x14ac:dyDescent="0.3">
      <c r="A125" s="4">
        <v>2014</v>
      </c>
      <c r="B125" s="3" t="s">
        <v>443</v>
      </c>
    </row>
    <row r="126" spans="1:2" x14ac:dyDescent="0.3">
      <c r="A126" s="4">
        <v>2014</v>
      </c>
      <c r="B126" s="3" t="s">
        <v>445</v>
      </c>
    </row>
    <row r="127" spans="1:2" x14ac:dyDescent="0.3">
      <c r="A127" s="4">
        <v>2014</v>
      </c>
      <c r="B127" s="3" t="s">
        <v>446</v>
      </c>
    </row>
    <row r="128" spans="1:2" x14ac:dyDescent="0.3">
      <c r="A128" s="4">
        <v>2014</v>
      </c>
      <c r="B128" s="3" t="s">
        <v>450</v>
      </c>
    </row>
    <row r="129" spans="1:2" x14ac:dyDescent="0.3">
      <c r="A129" s="4">
        <v>2014</v>
      </c>
      <c r="B129" s="3" t="s">
        <v>452</v>
      </c>
    </row>
    <row r="130" spans="1:2" x14ac:dyDescent="0.3">
      <c r="A130" s="4">
        <v>2014</v>
      </c>
      <c r="B130" s="3" t="s">
        <v>456</v>
      </c>
    </row>
    <row r="131" spans="1:2" x14ac:dyDescent="0.3">
      <c r="A131" s="4">
        <v>2014</v>
      </c>
      <c r="B131" s="3" t="s">
        <v>458</v>
      </c>
    </row>
    <row r="132" spans="1:2" x14ac:dyDescent="0.3">
      <c r="A132" s="4">
        <v>2014</v>
      </c>
      <c r="B132" s="3" t="s">
        <v>462</v>
      </c>
    </row>
    <row r="133" spans="1:2" x14ac:dyDescent="0.3">
      <c r="A133" s="4">
        <v>2014</v>
      </c>
      <c r="B133" s="3" t="s">
        <v>465</v>
      </c>
    </row>
    <row r="134" spans="1:2" x14ac:dyDescent="0.3">
      <c r="A134" s="4">
        <v>2014</v>
      </c>
      <c r="B134" s="3" t="s">
        <v>468</v>
      </c>
    </row>
    <row r="135" spans="1:2" x14ac:dyDescent="0.3">
      <c r="A135" s="4">
        <v>2014</v>
      </c>
      <c r="B135" s="3" t="s">
        <v>470</v>
      </c>
    </row>
    <row r="136" spans="1:2" x14ac:dyDescent="0.3">
      <c r="A136" s="4">
        <v>2014</v>
      </c>
      <c r="B136" s="3" t="s">
        <v>475</v>
      </c>
    </row>
    <row r="137" spans="1:2" x14ac:dyDescent="0.3">
      <c r="A137" s="4">
        <v>2014</v>
      </c>
      <c r="B137" s="3" t="s">
        <v>478</v>
      </c>
    </row>
    <row r="138" spans="1:2" x14ac:dyDescent="0.3">
      <c r="A138" s="4">
        <v>2014</v>
      </c>
      <c r="B138" s="3" t="s">
        <v>483</v>
      </c>
    </row>
    <row r="139" spans="1:2" x14ac:dyDescent="0.3">
      <c r="A139" s="4">
        <v>2014</v>
      </c>
      <c r="B139" s="3" t="s">
        <v>487</v>
      </c>
    </row>
    <row r="140" spans="1:2" x14ac:dyDescent="0.3">
      <c r="A140" s="4">
        <v>2014</v>
      </c>
      <c r="B140" s="3" t="s">
        <v>490</v>
      </c>
    </row>
    <row r="141" spans="1:2" x14ac:dyDescent="0.3">
      <c r="A141" s="4">
        <v>2014</v>
      </c>
      <c r="B141" s="3" t="s">
        <v>492</v>
      </c>
    </row>
    <row r="142" spans="1:2" x14ac:dyDescent="0.3">
      <c r="A142" s="4">
        <v>2014</v>
      </c>
      <c r="B142" s="3" t="s">
        <v>495</v>
      </c>
    </row>
    <row r="143" spans="1:2" x14ac:dyDescent="0.3">
      <c r="A143" s="4">
        <v>2014</v>
      </c>
      <c r="B143" s="3" t="s">
        <v>498</v>
      </c>
    </row>
    <row r="144" spans="1:2" x14ac:dyDescent="0.3">
      <c r="A144" s="4">
        <v>2014</v>
      </c>
      <c r="B144" s="3" t="s">
        <v>500</v>
      </c>
    </row>
    <row r="145" spans="1:2" x14ac:dyDescent="0.3">
      <c r="A145" s="4">
        <v>2014</v>
      </c>
      <c r="B145" s="3" t="s">
        <v>503</v>
      </c>
    </row>
    <row r="146" spans="1:2" x14ac:dyDescent="0.3">
      <c r="A146" s="4">
        <v>2014</v>
      </c>
      <c r="B146" s="3" t="s">
        <v>505</v>
      </c>
    </row>
    <row r="147" spans="1:2" x14ac:dyDescent="0.3">
      <c r="A147" s="4">
        <v>2014</v>
      </c>
      <c r="B147" s="3" t="s">
        <v>509</v>
      </c>
    </row>
    <row r="148" spans="1:2" x14ac:dyDescent="0.3">
      <c r="A148" s="4">
        <v>2014</v>
      </c>
      <c r="B148" s="3" t="s">
        <v>512</v>
      </c>
    </row>
    <row r="149" spans="1:2" x14ac:dyDescent="0.3">
      <c r="A149" s="4">
        <v>2014</v>
      </c>
      <c r="B149" s="3" t="s">
        <v>514</v>
      </c>
    </row>
    <row r="150" spans="1:2" x14ac:dyDescent="0.3">
      <c r="A150" s="4">
        <v>2014</v>
      </c>
      <c r="B150" s="3" t="s">
        <v>519</v>
      </c>
    </row>
    <row r="151" spans="1:2" x14ac:dyDescent="0.3">
      <c r="A151" s="4">
        <v>2014</v>
      </c>
      <c r="B151" s="3" t="s">
        <v>523</v>
      </c>
    </row>
    <row r="152" spans="1:2" x14ac:dyDescent="0.3">
      <c r="A152" s="4">
        <v>2014</v>
      </c>
      <c r="B152" s="3" t="s">
        <v>525</v>
      </c>
    </row>
    <row r="153" spans="1:2" x14ac:dyDescent="0.3">
      <c r="A153" s="4">
        <v>2014</v>
      </c>
      <c r="B153" s="3" t="s">
        <v>530</v>
      </c>
    </row>
    <row r="154" spans="1:2" x14ac:dyDescent="0.3">
      <c r="A154" s="4">
        <v>2014</v>
      </c>
      <c r="B154" s="3" t="s">
        <v>533</v>
      </c>
    </row>
    <row r="155" spans="1:2" x14ac:dyDescent="0.3">
      <c r="A155" s="4">
        <v>2014</v>
      </c>
      <c r="B155" s="3" t="s">
        <v>536</v>
      </c>
    </row>
    <row r="156" spans="1:2" x14ac:dyDescent="0.3">
      <c r="A156" s="4">
        <v>2014</v>
      </c>
      <c r="B156" s="3" t="s">
        <v>537</v>
      </c>
    </row>
    <row r="157" spans="1:2" x14ac:dyDescent="0.3">
      <c r="A157" s="4">
        <v>2014</v>
      </c>
      <c r="B157" s="3" t="s">
        <v>545</v>
      </c>
    </row>
    <row r="158" spans="1:2" x14ac:dyDescent="0.3">
      <c r="A158" s="4">
        <v>2014</v>
      </c>
      <c r="B158" s="3" t="s">
        <v>547</v>
      </c>
    </row>
    <row r="159" spans="1:2" x14ac:dyDescent="0.3">
      <c r="A159" s="4">
        <v>2014</v>
      </c>
      <c r="B159" s="3" t="s">
        <v>552</v>
      </c>
    </row>
    <row r="160" spans="1:2" x14ac:dyDescent="0.3">
      <c r="A160" s="4">
        <v>2014</v>
      </c>
      <c r="B160" s="3" t="s">
        <v>554</v>
      </c>
    </row>
    <row r="161" spans="1:2" x14ac:dyDescent="0.3">
      <c r="A161" s="4">
        <v>2014</v>
      </c>
      <c r="B161" s="3" t="s">
        <v>556</v>
      </c>
    </row>
    <row r="162" spans="1:2" x14ac:dyDescent="0.3">
      <c r="A162" s="4">
        <v>2014</v>
      </c>
      <c r="B162" s="3" t="s">
        <v>558</v>
      </c>
    </row>
    <row r="163" spans="1:2" x14ac:dyDescent="0.3">
      <c r="A163" s="4">
        <v>2014</v>
      </c>
      <c r="B163" s="3" t="s">
        <v>560</v>
      </c>
    </row>
    <row r="164" spans="1:2" x14ac:dyDescent="0.3">
      <c r="A164" s="4">
        <v>2014</v>
      </c>
      <c r="B164" s="3" t="s">
        <v>562</v>
      </c>
    </row>
    <row r="165" spans="1:2" x14ac:dyDescent="0.3">
      <c r="A165" s="4">
        <v>2014</v>
      </c>
      <c r="B165" s="3" t="s">
        <v>564</v>
      </c>
    </row>
    <row r="166" spans="1:2" x14ac:dyDescent="0.3">
      <c r="A166" s="4">
        <v>2014</v>
      </c>
      <c r="B166" s="3" t="s">
        <v>567</v>
      </c>
    </row>
    <row r="167" spans="1:2" x14ac:dyDescent="0.3">
      <c r="A167" s="4">
        <v>2014</v>
      </c>
      <c r="B167" s="3" t="s">
        <v>569</v>
      </c>
    </row>
    <row r="168" spans="1:2" x14ac:dyDescent="0.3">
      <c r="A168" s="4">
        <v>2014</v>
      </c>
      <c r="B168" s="3" t="s">
        <v>573</v>
      </c>
    </row>
    <row r="169" spans="1:2" x14ac:dyDescent="0.3">
      <c r="A169" s="4">
        <v>2014</v>
      </c>
      <c r="B169" s="3" t="s">
        <v>576</v>
      </c>
    </row>
    <row r="170" spans="1:2" x14ac:dyDescent="0.3">
      <c r="A170" s="4">
        <v>2014</v>
      </c>
      <c r="B170" s="3" t="s">
        <v>578</v>
      </c>
    </row>
    <row r="171" spans="1:2" x14ac:dyDescent="0.3">
      <c r="A171" s="4">
        <v>2014</v>
      </c>
      <c r="B171" s="3" t="s">
        <v>583</v>
      </c>
    </row>
    <row r="172" spans="1:2" x14ac:dyDescent="0.3">
      <c r="A172" s="4">
        <v>2014</v>
      </c>
      <c r="B172" s="3" t="s">
        <v>587</v>
      </c>
    </row>
    <row r="173" spans="1:2" x14ac:dyDescent="0.3">
      <c r="A173" s="4">
        <v>2014</v>
      </c>
      <c r="B173" s="3" t="s">
        <v>589</v>
      </c>
    </row>
    <row r="174" spans="1:2" x14ac:dyDescent="0.3">
      <c r="A174" s="4">
        <v>2014</v>
      </c>
      <c r="B174" s="3" t="s">
        <v>590</v>
      </c>
    </row>
    <row r="175" spans="1:2" x14ac:dyDescent="0.3">
      <c r="A175" s="4">
        <v>2014</v>
      </c>
      <c r="B175" s="3" t="s">
        <v>592</v>
      </c>
    </row>
    <row r="176" spans="1:2" x14ac:dyDescent="0.3">
      <c r="A176" s="4">
        <v>2014</v>
      </c>
      <c r="B176" s="3" t="s">
        <v>593</v>
      </c>
    </row>
    <row r="177" spans="1:2" x14ac:dyDescent="0.3">
      <c r="A177" s="4">
        <v>2014</v>
      </c>
      <c r="B177" s="3" t="s">
        <v>596</v>
      </c>
    </row>
    <row r="178" spans="1:2" x14ac:dyDescent="0.3">
      <c r="A178" s="4">
        <v>2014</v>
      </c>
      <c r="B178" s="3" t="s">
        <v>599</v>
      </c>
    </row>
    <row r="179" spans="1:2" x14ac:dyDescent="0.3">
      <c r="A179" s="4">
        <v>2014</v>
      </c>
      <c r="B179" s="3" t="s">
        <v>601</v>
      </c>
    </row>
    <row r="180" spans="1:2" x14ac:dyDescent="0.3">
      <c r="A180" s="4">
        <v>2014</v>
      </c>
      <c r="B180" s="3" t="s">
        <v>602</v>
      </c>
    </row>
    <row r="181" spans="1:2" x14ac:dyDescent="0.3">
      <c r="A181" s="4">
        <v>2014</v>
      </c>
      <c r="B181" s="3" t="s">
        <v>605</v>
      </c>
    </row>
    <row r="182" spans="1:2" x14ac:dyDescent="0.3">
      <c r="A182" s="4">
        <v>2014</v>
      </c>
      <c r="B182" s="3" t="s">
        <v>607</v>
      </c>
    </row>
    <row r="183" spans="1:2" x14ac:dyDescent="0.3">
      <c r="A183" s="4">
        <v>2014</v>
      </c>
      <c r="B183" s="3" t="s">
        <v>610</v>
      </c>
    </row>
    <row r="184" spans="1:2" x14ac:dyDescent="0.3">
      <c r="A184" s="4">
        <v>2014</v>
      </c>
      <c r="B184" s="3" t="s">
        <v>612</v>
      </c>
    </row>
    <row r="185" spans="1:2" x14ac:dyDescent="0.3">
      <c r="A185" s="4">
        <v>2014</v>
      </c>
      <c r="B185" s="3" t="s">
        <v>615</v>
      </c>
    </row>
    <row r="186" spans="1:2" x14ac:dyDescent="0.3">
      <c r="A186" s="4">
        <v>2014</v>
      </c>
      <c r="B186" s="3" t="s">
        <v>618</v>
      </c>
    </row>
    <row r="187" spans="1:2" x14ac:dyDescent="0.3">
      <c r="A187" s="4">
        <v>2014</v>
      </c>
      <c r="B187" s="3" t="s">
        <v>622</v>
      </c>
    </row>
    <row r="188" spans="1:2" x14ac:dyDescent="0.3">
      <c r="A188" s="4">
        <v>2014</v>
      </c>
      <c r="B188" s="3" t="s">
        <v>624</v>
      </c>
    </row>
    <row r="189" spans="1:2" x14ac:dyDescent="0.3">
      <c r="A189" s="4">
        <v>2014</v>
      </c>
      <c r="B189" s="3" t="s">
        <v>626</v>
      </c>
    </row>
    <row r="190" spans="1:2" x14ac:dyDescent="0.3">
      <c r="A190" s="4">
        <v>2014</v>
      </c>
      <c r="B190" s="3" t="s">
        <v>628</v>
      </c>
    </row>
    <row r="191" spans="1:2" x14ac:dyDescent="0.3">
      <c r="A191" s="4">
        <v>2014</v>
      </c>
      <c r="B191" s="3" t="s">
        <v>630</v>
      </c>
    </row>
    <row r="192" spans="1:2" x14ac:dyDescent="0.3">
      <c r="A192" s="4">
        <v>2014</v>
      </c>
      <c r="B192" s="3" t="s">
        <v>635</v>
      </c>
    </row>
    <row r="193" spans="1:2" x14ac:dyDescent="0.3">
      <c r="A193" s="4">
        <v>2014</v>
      </c>
      <c r="B193" s="3" t="s">
        <v>637</v>
      </c>
    </row>
    <row r="194" spans="1:2" x14ac:dyDescent="0.3">
      <c r="A194" s="4">
        <v>2014</v>
      </c>
      <c r="B194" s="3" t="s">
        <v>643</v>
      </c>
    </row>
    <row r="195" spans="1:2" x14ac:dyDescent="0.3">
      <c r="A195" s="4">
        <v>2014</v>
      </c>
      <c r="B195" s="3" t="s">
        <v>646</v>
      </c>
    </row>
    <row r="196" spans="1:2" x14ac:dyDescent="0.3">
      <c r="A196" s="4">
        <v>2014</v>
      </c>
      <c r="B196" s="3" t="s">
        <v>651</v>
      </c>
    </row>
    <row r="197" spans="1:2" x14ac:dyDescent="0.3">
      <c r="A197" s="4">
        <v>2014</v>
      </c>
      <c r="B197" s="3" t="s">
        <v>655</v>
      </c>
    </row>
    <row r="198" spans="1:2" x14ac:dyDescent="0.3">
      <c r="A198" s="4">
        <v>2014</v>
      </c>
      <c r="B198" s="3" t="s">
        <v>657</v>
      </c>
    </row>
    <row r="199" spans="1:2" x14ac:dyDescent="0.3">
      <c r="A199" s="4">
        <v>2014</v>
      </c>
      <c r="B199" s="3" t="s">
        <v>659</v>
      </c>
    </row>
    <row r="200" spans="1:2" x14ac:dyDescent="0.3">
      <c r="A200" s="4">
        <v>2014</v>
      </c>
      <c r="B200" s="3" t="s">
        <v>661</v>
      </c>
    </row>
    <row r="201" spans="1:2" x14ac:dyDescent="0.3">
      <c r="A201" s="4">
        <v>2014</v>
      </c>
      <c r="B201" s="3" t="s">
        <v>664</v>
      </c>
    </row>
    <row r="202" spans="1:2" x14ac:dyDescent="0.3">
      <c r="A202" s="4">
        <v>2014</v>
      </c>
      <c r="B202" s="3" t="s">
        <v>665</v>
      </c>
    </row>
    <row r="203" spans="1:2" x14ac:dyDescent="0.3">
      <c r="A203" s="4">
        <v>2014</v>
      </c>
      <c r="B203" s="3" t="s">
        <v>667</v>
      </c>
    </row>
    <row r="204" spans="1:2" x14ac:dyDescent="0.3">
      <c r="A204" s="4">
        <v>2014</v>
      </c>
      <c r="B204" s="3" t="s">
        <v>669</v>
      </c>
    </row>
    <row r="205" spans="1:2" x14ac:dyDescent="0.3">
      <c r="A205" s="4">
        <v>2014</v>
      </c>
      <c r="B205" s="3" t="s">
        <v>671</v>
      </c>
    </row>
    <row r="206" spans="1:2" x14ac:dyDescent="0.3">
      <c r="A206" s="4">
        <v>2014</v>
      </c>
      <c r="B206" s="3" t="s">
        <v>672</v>
      </c>
    </row>
    <row r="207" spans="1:2" x14ac:dyDescent="0.3">
      <c r="A207" s="4">
        <v>2014</v>
      </c>
      <c r="B207" s="3" t="s">
        <v>674</v>
      </c>
    </row>
    <row r="208" spans="1:2" x14ac:dyDescent="0.3">
      <c r="A208" s="4">
        <v>2014</v>
      </c>
      <c r="B208" s="3" t="s">
        <v>675</v>
      </c>
    </row>
    <row r="209" spans="1:2" x14ac:dyDescent="0.3">
      <c r="A209" s="4">
        <v>2014</v>
      </c>
      <c r="B209" s="3" t="s">
        <v>677</v>
      </c>
    </row>
    <row r="210" spans="1:2" x14ac:dyDescent="0.3">
      <c r="A210" s="4">
        <v>2014</v>
      </c>
      <c r="B210" s="3" t="s">
        <v>680</v>
      </c>
    </row>
    <row r="211" spans="1:2" x14ac:dyDescent="0.3">
      <c r="A211" s="4">
        <v>2014</v>
      </c>
      <c r="B211" s="3" t="s">
        <v>681</v>
      </c>
    </row>
    <row r="212" spans="1:2" x14ac:dyDescent="0.3">
      <c r="A212" s="4">
        <v>2014</v>
      </c>
      <c r="B212" s="3" t="s">
        <v>683</v>
      </c>
    </row>
    <row r="213" spans="1:2" x14ac:dyDescent="0.3">
      <c r="A213" s="4">
        <v>2014</v>
      </c>
      <c r="B213" s="3" t="s">
        <v>684</v>
      </c>
    </row>
    <row r="214" spans="1:2" x14ac:dyDescent="0.3">
      <c r="A214" s="4">
        <v>2014</v>
      </c>
      <c r="B214" s="3" t="s">
        <v>689</v>
      </c>
    </row>
    <row r="215" spans="1:2" x14ac:dyDescent="0.3">
      <c r="A215" s="4">
        <v>2014</v>
      </c>
      <c r="B215" s="3" t="s">
        <v>692</v>
      </c>
    </row>
    <row r="216" spans="1:2" x14ac:dyDescent="0.3">
      <c r="A216" s="4">
        <v>2014</v>
      </c>
      <c r="B216" s="3" t="s">
        <v>695</v>
      </c>
    </row>
    <row r="217" spans="1:2" x14ac:dyDescent="0.3">
      <c r="A217" s="4">
        <v>2014</v>
      </c>
      <c r="B217" s="3" t="s">
        <v>696</v>
      </c>
    </row>
    <row r="218" spans="1:2" x14ac:dyDescent="0.3">
      <c r="A218" s="4">
        <v>2014</v>
      </c>
      <c r="B218" s="3" t="s">
        <v>702</v>
      </c>
    </row>
    <row r="219" spans="1:2" x14ac:dyDescent="0.3">
      <c r="A219" s="4">
        <v>2014</v>
      </c>
      <c r="B219" s="3" t="s">
        <v>709</v>
      </c>
    </row>
    <row r="220" spans="1:2" x14ac:dyDescent="0.3">
      <c r="A220" s="4">
        <v>2014</v>
      </c>
      <c r="B220" s="3" t="s">
        <v>712</v>
      </c>
    </row>
    <row r="221" spans="1:2" x14ac:dyDescent="0.3">
      <c r="A221" s="4">
        <v>2014</v>
      </c>
      <c r="B221" s="3" t="s">
        <v>714</v>
      </c>
    </row>
    <row r="222" spans="1:2" x14ac:dyDescent="0.3">
      <c r="A222" s="4">
        <v>2014</v>
      </c>
      <c r="B222" s="3" t="s">
        <v>717</v>
      </c>
    </row>
    <row r="223" spans="1:2" x14ac:dyDescent="0.3">
      <c r="A223" s="4">
        <v>2014</v>
      </c>
      <c r="B223" s="3" t="s">
        <v>722</v>
      </c>
    </row>
    <row r="224" spans="1:2" x14ac:dyDescent="0.3">
      <c r="A224" s="4">
        <v>2014</v>
      </c>
      <c r="B224" s="3" t="s">
        <v>724</v>
      </c>
    </row>
    <row r="225" spans="1:2" x14ac:dyDescent="0.3">
      <c r="A225" s="4">
        <v>2014</v>
      </c>
      <c r="B225" s="3" t="s">
        <v>727</v>
      </c>
    </row>
    <row r="226" spans="1:2" x14ac:dyDescent="0.3">
      <c r="A226" s="4">
        <v>2014</v>
      </c>
      <c r="B226" s="3" t="s">
        <v>732</v>
      </c>
    </row>
    <row r="227" spans="1:2" x14ac:dyDescent="0.3">
      <c r="A227" s="4">
        <v>2014</v>
      </c>
      <c r="B227" s="3" t="s">
        <v>734</v>
      </c>
    </row>
    <row r="228" spans="1:2" x14ac:dyDescent="0.3">
      <c r="A228" s="4">
        <v>2014</v>
      </c>
      <c r="B228" s="3" t="s">
        <v>736</v>
      </c>
    </row>
    <row r="229" spans="1:2" x14ac:dyDescent="0.3">
      <c r="A229" s="4">
        <v>2014</v>
      </c>
      <c r="B229" s="3" t="s">
        <v>738</v>
      </c>
    </row>
    <row r="230" spans="1:2" x14ac:dyDescent="0.3">
      <c r="A230" s="4">
        <v>2014</v>
      </c>
      <c r="B230" s="3" t="s">
        <v>740</v>
      </c>
    </row>
    <row r="231" spans="1:2" x14ac:dyDescent="0.3">
      <c r="A231" s="4">
        <v>2014</v>
      </c>
      <c r="B231" s="3" t="s">
        <v>742</v>
      </c>
    </row>
    <row r="232" spans="1:2" x14ac:dyDescent="0.3">
      <c r="A232" s="4">
        <v>2014</v>
      </c>
      <c r="B232" s="3" t="s">
        <v>743</v>
      </c>
    </row>
    <row r="233" spans="1:2" x14ac:dyDescent="0.3">
      <c r="A233" s="4">
        <v>2014</v>
      </c>
      <c r="B233" s="3" t="s">
        <v>748</v>
      </c>
    </row>
    <row r="234" spans="1:2" x14ac:dyDescent="0.3">
      <c r="A234" s="4">
        <v>2014</v>
      </c>
      <c r="B234" s="3" t="s">
        <v>749</v>
      </c>
    </row>
    <row r="235" spans="1:2" x14ac:dyDescent="0.3">
      <c r="A235" s="4">
        <v>2014</v>
      </c>
      <c r="B235" s="3" t="s">
        <v>752</v>
      </c>
    </row>
    <row r="236" spans="1:2" x14ac:dyDescent="0.3">
      <c r="A236" s="4">
        <v>2014</v>
      </c>
      <c r="B236" s="3" t="s">
        <v>757</v>
      </c>
    </row>
    <row r="237" spans="1:2" x14ac:dyDescent="0.3">
      <c r="A237" s="4">
        <v>2014</v>
      </c>
      <c r="B237" s="3" t="s">
        <v>760</v>
      </c>
    </row>
    <row r="238" spans="1:2" x14ac:dyDescent="0.3">
      <c r="A238" s="4">
        <v>2014</v>
      </c>
      <c r="B238" s="3" t="s">
        <v>768</v>
      </c>
    </row>
    <row r="239" spans="1:2" x14ac:dyDescent="0.3">
      <c r="A239" s="4">
        <v>2014</v>
      </c>
      <c r="B239" s="3" t="s">
        <v>769</v>
      </c>
    </row>
    <row r="240" spans="1:2" x14ac:dyDescent="0.3">
      <c r="A240" s="4">
        <v>2014</v>
      </c>
      <c r="B240" s="3" t="s">
        <v>771</v>
      </c>
    </row>
    <row r="241" spans="1:2" x14ac:dyDescent="0.3">
      <c r="A241" s="4">
        <v>2014</v>
      </c>
      <c r="B241" s="3" t="s">
        <v>774</v>
      </c>
    </row>
    <row r="242" spans="1:2" x14ac:dyDescent="0.3">
      <c r="A242" s="4">
        <v>2014</v>
      </c>
      <c r="B242" s="3" t="s">
        <v>778</v>
      </c>
    </row>
    <row r="243" spans="1:2" x14ac:dyDescent="0.3">
      <c r="A243" s="4">
        <v>2014</v>
      </c>
      <c r="B243" s="3" t="s">
        <v>780</v>
      </c>
    </row>
    <row r="244" spans="1:2" x14ac:dyDescent="0.3">
      <c r="A244" s="4">
        <v>2014</v>
      </c>
      <c r="B244" s="3" t="s">
        <v>784</v>
      </c>
    </row>
    <row r="245" spans="1:2" x14ac:dyDescent="0.3">
      <c r="A245" s="4">
        <v>2014</v>
      </c>
      <c r="B245" s="3" t="s">
        <v>786</v>
      </c>
    </row>
    <row r="246" spans="1:2" x14ac:dyDescent="0.3">
      <c r="A246" s="4">
        <v>2014</v>
      </c>
      <c r="B246" s="3" t="s">
        <v>788</v>
      </c>
    </row>
    <row r="247" spans="1:2" x14ac:dyDescent="0.3">
      <c r="A247" s="4">
        <v>2014</v>
      </c>
      <c r="B247" s="3" t="s">
        <v>789</v>
      </c>
    </row>
    <row r="248" spans="1:2" x14ac:dyDescent="0.3">
      <c r="A248" s="4">
        <v>2014</v>
      </c>
      <c r="B248" s="3" t="s">
        <v>791</v>
      </c>
    </row>
    <row r="249" spans="1:2" x14ac:dyDescent="0.3">
      <c r="A249" s="4">
        <v>2014</v>
      </c>
      <c r="B249" s="3" t="s">
        <v>794</v>
      </c>
    </row>
    <row r="250" spans="1:2" x14ac:dyDescent="0.3">
      <c r="A250" s="4">
        <v>2014</v>
      </c>
      <c r="B250" s="3" t="s">
        <v>796</v>
      </c>
    </row>
    <row r="251" spans="1:2" x14ac:dyDescent="0.3">
      <c r="A251" s="4">
        <v>2014</v>
      </c>
      <c r="B251" s="3" t="s">
        <v>803</v>
      </c>
    </row>
    <row r="252" spans="1:2" x14ac:dyDescent="0.3">
      <c r="A252" s="4">
        <v>2014</v>
      </c>
      <c r="B252" s="3" t="s">
        <v>806</v>
      </c>
    </row>
    <row r="253" spans="1:2" x14ac:dyDescent="0.3">
      <c r="A253" s="4">
        <v>2014</v>
      </c>
      <c r="B253" s="3" t="s">
        <v>809</v>
      </c>
    </row>
    <row r="254" spans="1:2" x14ac:dyDescent="0.3">
      <c r="A254" s="4">
        <v>2014</v>
      </c>
      <c r="B254" s="3" t="s">
        <v>813</v>
      </c>
    </row>
    <row r="255" spans="1:2" x14ac:dyDescent="0.3">
      <c r="A255" s="4">
        <v>2014</v>
      </c>
      <c r="B255" s="3" t="s">
        <v>815</v>
      </c>
    </row>
    <row r="256" spans="1:2" x14ac:dyDescent="0.3">
      <c r="A256" s="4">
        <v>2014</v>
      </c>
      <c r="B256" s="3" t="s">
        <v>817</v>
      </c>
    </row>
    <row r="257" spans="1:2" x14ac:dyDescent="0.3">
      <c r="A257" s="4">
        <v>2014</v>
      </c>
      <c r="B257" s="3" t="s">
        <v>820</v>
      </c>
    </row>
    <row r="258" spans="1:2" x14ac:dyDescent="0.3">
      <c r="A258" s="4">
        <v>2014</v>
      </c>
      <c r="B258" s="3" t="s">
        <v>822</v>
      </c>
    </row>
    <row r="259" spans="1:2" x14ac:dyDescent="0.3">
      <c r="A259" s="4">
        <v>2014</v>
      </c>
      <c r="B259" s="3" t="s">
        <v>824</v>
      </c>
    </row>
    <row r="260" spans="1:2" x14ac:dyDescent="0.3">
      <c r="A260" s="4">
        <v>2014</v>
      </c>
      <c r="B260" s="3" t="s">
        <v>826</v>
      </c>
    </row>
    <row r="261" spans="1:2" x14ac:dyDescent="0.3">
      <c r="A261" s="4">
        <v>2014</v>
      </c>
      <c r="B261" s="3" t="s">
        <v>829</v>
      </c>
    </row>
    <row r="262" spans="1:2" x14ac:dyDescent="0.3">
      <c r="A262" s="4">
        <v>2014</v>
      </c>
      <c r="B262" s="3" t="s">
        <v>831</v>
      </c>
    </row>
    <row r="263" spans="1:2" x14ac:dyDescent="0.3">
      <c r="A263" s="4">
        <v>2014</v>
      </c>
      <c r="B263" s="3" t="s">
        <v>839</v>
      </c>
    </row>
    <row r="264" spans="1:2" x14ac:dyDescent="0.3">
      <c r="A264" s="4">
        <v>2014</v>
      </c>
      <c r="B264" s="3" t="s">
        <v>848</v>
      </c>
    </row>
    <row r="265" spans="1:2" x14ac:dyDescent="0.3">
      <c r="A265" s="4">
        <v>2014</v>
      </c>
      <c r="B265" s="3" t="s">
        <v>853</v>
      </c>
    </row>
    <row r="266" spans="1:2" x14ac:dyDescent="0.3">
      <c r="A266" s="4">
        <v>2014</v>
      </c>
      <c r="B266" s="3" t="s">
        <v>857</v>
      </c>
    </row>
    <row r="267" spans="1:2" x14ac:dyDescent="0.3">
      <c r="A267" s="4">
        <v>2014</v>
      </c>
      <c r="B267" s="3" t="s">
        <v>859</v>
      </c>
    </row>
    <row r="268" spans="1:2" x14ac:dyDescent="0.3">
      <c r="A268" s="4">
        <v>2014</v>
      </c>
      <c r="B268" s="3" t="s">
        <v>861</v>
      </c>
    </row>
    <row r="269" spans="1:2" x14ac:dyDescent="0.3">
      <c r="A269" s="4">
        <v>2014</v>
      </c>
      <c r="B269" s="3" t="s">
        <v>866</v>
      </c>
    </row>
    <row r="270" spans="1:2" x14ac:dyDescent="0.3">
      <c r="A270" s="4">
        <v>2014</v>
      </c>
      <c r="B270" s="3" t="s">
        <v>868</v>
      </c>
    </row>
    <row r="271" spans="1:2" x14ac:dyDescent="0.3">
      <c r="A271" s="4">
        <v>2014</v>
      </c>
      <c r="B271" s="3" t="s">
        <v>871</v>
      </c>
    </row>
    <row r="272" spans="1:2" x14ac:dyDescent="0.3">
      <c r="A272" s="4">
        <v>2014</v>
      </c>
      <c r="B272" s="3" t="s">
        <v>873</v>
      </c>
    </row>
    <row r="273" spans="1:2" x14ac:dyDescent="0.3">
      <c r="A273" s="4">
        <v>2014</v>
      </c>
      <c r="B273" s="3" t="s">
        <v>875</v>
      </c>
    </row>
    <row r="274" spans="1:2" x14ac:dyDescent="0.3">
      <c r="A274" s="4">
        <v>2014</v>
      </c>
      <c r="B274" s="3" t="s">
        <v>878</v>
      </c>
    </row>
    <row r="275" spans="1:2" x14ac:dyDescent="0.3">
      <c r="A275" s="4">
        <v>2014</v>
      </c>
      <c r="B275" s="3" t="s">
        <v>879</v>
      </c>
    </row>
    <row r="276" spans="1:2" x14ac:dyDescent="0.3">
      <c r="A276" s="4">
        <v>2014</v>
      </c>
      <c r="B276" s="3" t="s">
        <v>883</v>
      </c>
    </row>
    <row r="277" spans="1:2" x14ac:dyDescent="0.3">
      <c r="A277" s="4">
        <v>2014</v>
      </c>
      <c r="B277" s="3" t="s">
        <v>884</v>
      </c>
    </row>
    <row r="278" spans="1:2" x14ac:dyDescent="0.3">
      <c r="A278" s="4">
        <v>2014</v>
      </c>
      <c r="B278" s="3" t="s">
        <v>887</v>
      </c>
    </row>
    <row r="279" spans="1:2" x14ac:dyDescent="0.3">
      <c r="A279" s="4">
        <v>2014</v>
      </c>
      <c r="B279" s="3" t="s">
        <v>889</v>
      </c>
    </row>
    <row r="280" spans="1:2" x14ac:dyDescent="0.3">
      <c r="A280" s="4">
        <v>2014</v>
      </c>
      <c r="B280" s="3" t="s">
        <v>891</v>
      </c>
    </row>
    <row r="281" spans="1:2" x14ac:dyDescent="0.3">
      <c r="A281" s="4">
        <v>2014</v>
      </c>
      <c r="B281" s="3" t="s">
        <v>892</v>
      </c>
    </row>
    <row r="282" spans="1:2" x14ac:dyDescent="0.3">
      <c r="A282" s="4">
        <v>2014</v>
      </c>
      <c r="B282" s="3" t="s">
        <v>895</v>
      </c>
    </row>
    <row r="283" spans="1:2" x14ac:dyDescent="0.3">
      <c r="A283" s="4">
        <v>2014</v>
      </c>
      <c r="B283" s="3" t="s">
        <v>900</v>
      </c>
    </row>
    <row r="284" spans="1:2" x14ac:dyDescent="0.3">
      <c r="A284" s="4">
        <v>2014</v>
      </c>
      <c r="B284" s="3" t="s">
        <v>902</v>
      </c>
    </row>
    <row r="285" spans="1:2" x14ac:dyDescent="0.3">
      <c r="A285" s="4">
        <v>2014</v>
      </c>
      <c r="B285" s="3" t="s">
        <v>904</v>
      </c>
    </row>
    <row r="286" spans="1:2" x14ac:dyDescent="0.3">
      <c r="A286" s="4">
        <v>2014</v>
      </c>
      <c r="B286" s="3" t="s">
        <v>907</v>
      </c>
    </row>
    <row r="287" spans="1:2" x14ac:dyDescent="0.3">
      <c r="A287" s="4">
        <v>2014</v>
      </c>
      <c r="B287" s="3" t="s">
        <v>910</v>
      </c>
    </row>
    <row r="288" spans="1:2" x14ac:dyDescent="0.3">
      <c r="A288" s="4">
        <v>2014</v>
      </c>
      <c r="B288" s="3" t="s">
        <v>912</v>
      </c>
    </row>
    <row r="289" spans="1:2" x14ac:dyDescent="0.3">
      <c r="A289" s="4">
        <v>2014</v>
      </c>
      <c r="B289" s="3" t="s">
        <v>915</v>
      </c>
    </row>
    <row r="290" spans="1:2" x14ac:dyDescent="0.3">
      <c r="A290" s="4">
        <v>2014</v>
      </c>
      <c r="B290" s="3" t="s">
        <v>917</v>
      </c>
    </row>
    <row r="291" spans="1:2" x14ac:dyDescent="0.3">
      <c r="A291" s="4">
        <v>2014</v>
      </c>
      <c r="B291" s="3" t="s">
        <v>921</v>
      </c>
    </row>
    <row r="292" spans="1:2" x14ac:dyDescent="0.3">
      <c r="A292" s="4">
        <v>2014</v>
      </c>
      <c r="B292" s="3" t="s">
        <v>922</v>
      </c>
    </row>
    <row r="293" spans="1:2" x14ac:dyDescent="0.3">
      <c r="A293" s="4">
        <v>2014</v>
      </c>
      <c r="B293" s="3" t="s">
        <v>923</v>
      </c>
    </row>
    <row r="294" spans="1:2" x14ac:dyDescent="0.3">
      <c r="A294" s="4">
        <v>2014</v>
      </c>
      <c r="B294" s="3" t="s">
        <v>925</v>
      </c>
    </row>
    <row r="295" spans="1:2" x14ac:dyDescent="0.3">
      <c r="A295" s="4">
        <v>2014</v>
      </c>
      <c r="B295" s="3" t="s">
        <v>928</v>
      </c>
    </row>
    <row r="296" spans="1:2" x14ac:dyDescent="0.3">
      <c r="A296" s="4">
        <v>2014</v>
      </c>
      <c r="B296" s="3" t="s">
        <v>935</v>
      </c>
    </row>
    <row r="297" spans="1:2" x14ac:dyDescent="0.3">
      <c r="A297" s="4">
        <v>2014</v>
      </c>
      <c r="B297" s="3" t="s">
        <v>938</v>
      </c>
    </row>
    <row r="298" spans="1:2" x14ac:dyDescent="0.3">
      <c r="A298" s="4">
        <v>2014</v>
      </c>
      <c r="B298" s="3" t="s">
        <v>940</v>
      </c>
    </row>
    <row r="299" spans="1:2" x14ac:dyDescent="0.3">
      <c r="A299" s="4">
        <v>2014</v>
      </c>
      <c r="B299" s="3" t="s">
        <v>945</v>
      </c>
    </row>
    <row r="300" spans="1:2" x14ac:dyDescent="0.3">
      <c r="A300" s="4">
        <v>2014</v>
      </c>
      <c r="B300" s="3" t="s">
        <v>947</v>
      </c>
    </row>
    <row r="301" spans="1:2" x14ac:dyDescent="0.3">
      <c r="A301" s="4">
        <v>2014</v>
      </c>
      <c r="B301" s="3" t="s">
        <v>951</v>
      </c>
    </row>
    <row r="302" spans="1:2" x14ac:dyDescent="0.3">
      <c r="A302" s="4">
        <v>2014</v>
      </c>
      <c r="B302" s="3" t="s">
        <v>953</v>
      </c>
    </row>
    <row r="303" spans="1:2" x14ac:dyDescent="0.3">
      <c r="A303" s="4">
        <v>2014</v>
      </c>
      <c r="B303" s="3" t="s">
        <v>957</v>
      </c>
    </row>
    <row r="304" spans="1:2" x14ac:dyDescent="0.3">
      <c r="A304" s="4">
        <v>2014</v>
      </c>
      <c r="B304" s="3" t="s">
        <v>959</v>
      </c>
    </row>
    <row r="305" spans="1:2" x14ac:dyDescent="0.3">
      <c r="A305" s="4">
        <v>2014</v>
      </c>
      <c r="B305" s="3" t="s">
        <v>963</v>
      </c>
    </row>
    <row r="306" spans="1:2" x14ac:dyDescent="0.3">
      <c r="A306" s="4">
        <v>2014</v>
      </c>
      <c r="B306" s="3" t="s">
        <v>965</v>
      </c>
    </row>
    <row r="307" spans="1:2" x14ac:dyDescent="0.3">
      <c r="A307" s="4">
        <v>2014</v>
      </c>
      <c r="B307" s="3" t="s">
        <v>967</v>
      </c>
    </row>
    <row r="308" spans="1:2" x14ac:dyDescent="0.3">
      <c r="A308" s="4">
        <v>2014</v>
      </c>
      <c r="B308" s="3" t="s">
        <v>971</v>
      </c>
    </row>
    <row r="309" spans="1:2" x14ac:dyDescent="0.3">
      <c r="A309" s="4">
        <v>2014</v>
      </c>
      <c r="B309" s="3" t="s">
        <v>973</v>
      </c>
    </row>
    <row r="310" spans="1:2" x14ac:dyDescent="0.3">
      <c r="A310" s="4">
        <v>2014</v>
      </c>
      <c r="B310" s="3" t="s">
        <v>977</v>
      </c>
    </row>
    <row r="311" spans="1:2" x14ac:dyDescent="0.3">
      <c r="A311" s="4">
        <v>2014</v>
      </c>
      <c r="B311" s="3" t="s">
        <v>978</v>
      </c>
    </row>
    <row r="312" spans="1:2" x14ac:dyDescent="0.3">
      <c r="A312" s="4">
        <v>2014</v>
      </c>
      <c r="B312" s="3" t="s">
        <v>983</v>
      </c>
    </row>
    <row r="313" spans="1:2" x14ac:dyDescent="0.3">
      <c r="A313" s="4">
        <v>2014</v>
      </c>
      <c r="B313" s="3" t="s">
        <v>989</v>
      </c>
    </row>
    <row r="314" spans="1:2" x14ac:dyDescent="0.3">
      <c r="A314" s="4">
        <v>2014</v>
      </c>
      <c r="B314" s="3" t="s">
        <v>992</v>
      </c>
    </row>
    <row r="315" spans="1:2" x14ac:dyDescent="0.3">
      <c r="A315" s="4">
        <v>2014</v>
      </c>
      <c r="B315" s="3" t="s">
        <v>997</v>
      </c>
    </row>
    <row r="316" spans="1:2" x14ac:dyDescent="0.3">
      <c r="A316" s="4">
        <v>2014</v>
      </c>
      <c r="B316" s="3" t="s">
        <v>1003</v>
      </c>
    </row>
    <row r="317" spans="1:2" x14ac:dyDescent="0.3">
      <c r="A317" s="4">
        <v>2014</v>
      </c>
      <c r="B317" s="3" t="s">
        <v>1004</v>
      </c>
    </row>
    <row r="318" spans="1:2" x14ac:dyDescent="0.3">
      <c r="A318" s="4">
        <v>2014</v>
      </c>
      <c r="B318" s="3" t="s">
        <v>1005</v>
      </c>
    </row>
    <row r="319" spans="1:2" x14ac:dyDescent="0.3">
      <c r="A319" s="4">
        <v>2014</v>
      </c>
      <c r="B319" s="3" t="s">
        <v>1009</v>
      </c>
    </row>
    <row r="320" spans="1:2" x14ac:dyDescent="0.3">
      <c r="A320" s="4">
        <v>2014</v>
      </c>
      <c r="B320" s="3" t="s">
        <v>1012</v>
      </c>
    </row>
    <row r="321" spans="1:2" x14ac:dyDescent="0.3">
      <c r="A321" s="4">
        <v>2014</v>
      </c>
      <c r="B321" s="3" t="s">
        <v>1016</v>
      </c>
    </row>
    <row r="322" spans="1:2" x14ac:dyDescent="0.3">
      <c r="A322" s="4">
        <v>2014</v>
      </c>
      <c r="B322" s="3" t="s">
        <v>1023</v>
      </c>
    </row>
    <row r="323" spans="1:2" x14ac:dyDescent="0.3">
      <c r="A323" s="4">
        <v>2014</v>
      </c>
      <c r="B323" s="3" t="s">
        <v>1027</v>
      </c>
    </row>
    <row r="324" spans="1:2" x14ac:dyDescent="0.3">
      <c r="A324" s="4">
        <v>2014</v>
      </c>
      <c r="B324" s="3" t="s">
        <v>1033</v>
      </c>
    </row>
    <row r="325" spans="1:2" x14ac:dyDescent="0.3">
      <c r="A325" s="4">
        <v>2014</v>
      </c>
      <c r="B325" s="3" t="s">
        <v>1035</v>
      </c>
    </row>
    <row r="326" spans="1:2" x14ac:dyDescent="0.3">
      <c r="A326" s="4">
        <v>2014</v>
      </c>
      <c r="B326" s="3" t="s">
        <v>1038</v>
      </c>
    </row>
    <row r="327" spans="1:2" x14ac:dyDescent="0.3">
      <c r="A327" s="4">
        <v>2014</v>
      </c>
      <c r="B327" s="3" t="s">
        <v>1042</v>
      </c>
    </row>
    <row r="328" spans="1:2" x14ac:dyDescent="0.3">
      <c r="A328" s="4">
        <v>2014</v>
      </c>
      <c r="B328" s="3" t="s">
        <v>1044</v>
      </c>
    </row>
    <row r="329" spans="1:2" x14ac:dyDescent="0.3">
      <c r="A329" s="4">
        <v>2014</v>
      </c>
      <c r="B329" s="3" t="s">
        <v>1046</v>
      </c>
    </row>
    <row r="330" spans="1:2" x14ac:dyDescent="0.3">
      <c r="A330" s="4">
        <v>2014</v>
      </c>
      <c r="B330" s="3" t="s">
        <v>1051</v>
      </c>
    </row>
    <row r="331" spans="1:2" x14ac:dyDescent="0.3">
      <c r="A331" s="4">
        <v>2014</v>
      </c>
      <c r="B331" s="3" t="s">
        <v>1055</v>
      </c>
    </row>
    <row r="332" spans="1:2" x14ac:dyDescent="0.3">
      <c r="A332" s="4">
        <v>2014</v>
      </c>
      <c r="B332" s="3" t="s">
        <v>1064</v>
      </c>
    </row>
    <row r="333" spans="1:2" x14ac:dyDescent="0.3">
      <c r="A333" s="4">
        <v>2014</v>
      </c>
      <c r="B333" s="3" t="s">
        <v>1067</v>
      </c>
    </row>
    <row r="334" spans="1:2" x14ac:dyDescent="0.3">
      <c r="A334" s="4">
        <v>2014</v>
      </c>
      <c r="B334" s="3" t="s">
        <v>1070</v>
      </c>
    </row>
    <row r="335" spans="1:2" x14ac:dyDescent="0.3">
      <c r="A335" s="4">
        <v>2014</v>
      </c>
      <c r="B335" s="3" t="s">
        <v>1074</v>
      </c>
    </row>
    <row r="336" spans="1:2" x14ac:dyDescent="0.3">
      <c r="A336" s="4">
        <v>2014</v>
      </c>
      <c r="B336" s="3" t="s">
        <v>1076</v>
      </c>
    </row>
    <row r="337" spans="1:2" x14ac:dyDescent="0.3">
      <c r="A337" s="4">
        <v>2014</v>
      </c>
      <c r="B337" s="3" t="s">
        <v>1077</v>
      </c>
    </row>
    <row r="338" spans="1:2" x14ac:dyDescent="0.3">
      <c r="A338" s="4">
        <v>2014</v>
      </c>
      <c r="B338" s="3" t="s">
        <v>1079</v>
      </c>
    </row>
    <row r="339" spans="1:2" x14ac:dyDescent="0.3">
      <c r="A339" s="4">
        <v>2014</v>
      </c>
      <c r="B339" s="3" t="s">
        <v>1084</v>
      </c>
    </row>
    <row r="340" spans="1:2" x14ac:dyDescent="0.3">
      <c r="A340" s="4">
        <v>2014</v>
      </c>
      <c r="B340" s="3" t="s">
        <v>1088</v>
      </c>
    </row>
    <row r="341" spans="1:2" x14ac:dyDescent="0.3">
      <c r="A341" s="4">
        <v>2014</v>
      </c>
      <c r="B341" s="3" t="s">
        <v>1093</v>
      </c>
    </row>
    <row r="342" spans="1:2" x14ac:dyDescent="0.3">
      <c r="A342" s="4">
        <v>2014</v>
      </c>
      <c r="B342" s="3" t="s">
        <v>1095</v>
      </c>
    </row>
    <row r="343" spans="1:2" x14ac:dyDescent="0.3">
      <c r="A343" s="4">
        <v>2014</v>
      </c>
      <c r="B343" s="3" t="s">
        <v>1097</v>
      </c>
    </row>
    <row r="344" spans="1:2" x14ac:dyDescent="0.3">
      <c r="A344" s="4">
        <v>2014</v>
      </c>
      <c r="B344" s="3" t="s">
        <v>1099</v>
      </c>
    </row>
    <row r="345" spans="1:2" x14ac:dyDescent="0.3">
      <c r="A345" s="4">
        <v>2014</v>
      </c>
      <c r="B345" s="3" t="s">
        <v>1102</v>
      </c>
    </row>
    <row r="346" spans="1:2" x14ac:dyDescent="0.3">
      <c r="A346" s="4">
        <v>2014</v>
      </c>
      <c r="B346" s="3" t="s">
        <v>1104</v>
      </c>
    </row>
    <row r="347" spans="1:2" x14ac:dyDescent="0.3">
      <c r="A347" s="4">
        <v>2014</v>
      </c>
      <c r="B347" s="3" t="s">
        <v>1111</v>
      </c>
    </row>
    <row r="348" spans="1:2" x14ac:dyDescent="0.3">
      <c r="A348" s="4">
        <v>2014</v>
      </c>
      <c r="B348" s="3" t="s">
        <v>1113</v>
      </c>
    </row>
    <row r="349" spans="1:2" x14ac:dyDescent="0.3">
      <c r="A349" s="4">
        <v>2014</v>
      </c>
      <c r="B349" s="3" t="s">
        <v>1115</v>
      </c>
    </row>
    <row r="350" spans="1:2" x14ac:dyDescent="0.3">
      <c r="A350" s="4">
        <v>2014</v>
      </c>
      <c r="B350" s="3" t="s">
        <v>1121</v>
      </c>
    </row>
    <row r="351" spans="1:2" x14ac:dyDescent="0.3">
      <c r="A351" s="4">
        <v>2014</v>
      </c>
      <c r="B351" s="3" t="s">
        <v>1122</v>
      </c>
    </row>
    <row r="352" spans="1:2" x14ac:dyDescent="0.3">
      <c r="A352" s="4">
        <v>2014</v>
      </c>
      <c r="B352" s="3" t="s">
        <v>1129</v>
      </c>
    </row>
    <row r="353" spans="1:2" x14ac:dyDescent="0.3">
      <c r="A353" s="4">
        <v>2014</v>
      </c>
      <c r="B353" s="3" t="s">
        <v>1131</v>
      </c>
    </row>
    <row r="354" spans="1:2" x14ac:dyDescent="0.3">
      <c r="A354" s="4">
        <v>2014</v>
      </c>
      <c r="B354" s="3" t="s">
        <v>1138</v>
      </c>
    </row>
    <row r="355" spans="1:2" x14ac:dyDescent="0.3">
      <c r="A355" s="4">
        <v>2014</v>
      </c>
      <c r="B355" s="3" t="s">
        <v>1140</v>
      </c>
    </row>
    <row r="356" spans="1:2" x14ac:dyDescent="0.3">
      <c r="A356" s="4">
        <v>2014</v>
      </c>
      <c r="B356" s="3" t="s">
        <v>1143</v>
      </c>
    </row>
    <row r="357" spans="1:2" x14ac:dyDescent="0.3">
      <c r="A357" s="4">
        <v>2014</v>
      </c>
      <c r="B357" s="3" t="s">
        <v>1145</v>
      </c>
    </row>
    <row r="358" spans="1:2" x14ac:dyDescent="0.3">
      <c r="A358" s="4">
        <v>2014</v>
      </c>
      <c r="B358" s="3" t="s">
        <v>1148</v>
      </c>
    </row>
    <row r="359" spans="1:2" x14ac:dyDescent="0.3">
      <c r="A359" s="4">
        <v>2014</v>
      </c>
      <c r="B359" s="3" t="s">
        <v>1151</v>
      </c>
    </row>
    <row r="360" spans="1:2" x14ac:dyDescent="0.3">
      <c r="A360" s="4">
        <v>2014</v>
      </c>
      <c r="B360" s="3" t="s">
        <v>1152</v>
      </c>
    </row>
    <row r="361" spans="1:2" x14ac:dyDescent="0.3">
      <c r="A361" s="4">
        <v>2014</v>
      </c>
      <c r="B361" s="3" t="s">
        <v>1161</v>
      </c>
    </row>
    <row r="362" spans="1:2" x14ac:dyDescent="0.3">
      <c r="A362" s="4">
        <v>2014</v>
      </c>
      <c r="B362" s="3" t="s">
        <v>1163</v>
      </c>
    </row>
    <row r="363" spans="1:2" x14ac:dyDescent="0.3">
      <c r="A363" s="4">
        <v>2014</v>
      </c>
      <c r="B363" s="3" t="s">
        <v>1164</v>
      </c>
    </row>
    <row r="364" spans="1:2" x14ac:dyDescent="0.3">
      <c r="A364" s="4">
        <v>2014</v>
      </c>
      <c r="B364" s="3" t="s">
        <v>1167</v>
      </c>
    </row>
    <row r="365" spans="1:2" x14ac:dyDescent="0.3">
      <c r="A365" s="4">
        <v>2014</v>
      </c>
      <c r="B365" s="3" t="s">
        <v>1172</v>
      </c>
    </row>
    <row r="366" spans="1:2" x14ac:dyDescent="0.3">
      <c r="A366" s="4">
        <v>2014</v>
      </c>
      <c r="B366" s="3" t="s">
        <v>1173</v>
      </c>
    </row>
    <row r="367" spans="1:2" x14ac:dyDescent="0.3">
      <c r="A367" s="4">
        <v>2014</v>
      </c>
      <c r="B367" s="3" t="s">
        <v>1177</v>
      </c>
    </row>
    <row r="368" spans="1:2" x14ac:dyDescent="0.3">
      <c r="A368" s="4">
        <v>2014</v>
      </c>
      <c r="B368" s="3" t="s">
        <v>1178</v>
      </c>
    </row>
    <row r="369" spans="1:2" x14ac:dyDescent="0.3">
      <c r="A369" s="4">
        <v>2014</v>
      </c>
      <c r="B369" s="3" t="s">
        <v>1181</v>
      </c>
    </row>
    <row r="370" spans="1:2" x14ac:dyDescent="0.3">
      <c r="A370" s="4">
        <v>2014</v>
      </c>
      <c r="B370" s="3" t="s">
        <v>1183</v>
      </c>
    </row>
    <row r="371" spans="1:2" x14ac:dyDescent="0.3">
      <c r="A371" s="4">
        <v>2014</v>
      </c>
      <c r="B371" s="3" t="s">
        <v>1186</v>
      </c>
    </row>
    <row r="372" spans="1:2" x14ac:dyDescent="0.3">
      <c r="A372" s="4">
        <v>2014</v>
      </c>
      <c r="B372" s="3" t="s">
        <v>1190</v>
      </c>
    </row>
    <row r="373" spans="1:2" x14ac:dyDescent="0.3">
      <c r="A373" s="4">
        <v>2014</v>
      </c>
      <c r="B373" s="3" t="s">
        <v>1193</v>
      </c>
    </row>
    <row r="374" spans="1:2" x14ac:dyDescent="0.3">
      <c r="A374" s="4">
        <v>2014</v>
      </c>
      <c r="B374" s="3" t="s">
        <v>1196</v>
      </c>
    </row>
    <row r="375" spans="1:2" x14ac:dyDescent="0.3">
      <c r="A375" s="4">
        <v>2014</v>
      </c>
      <c r="B375" s="3" t="s">
        <v>1198</v>
      </c>
    </row>
    <row r="376" spans="1:2" x14ac:dyDescent="0.3">
      <c r="A376" s="4">
        <v>2014</v>
      </c>
      <c r="B376" s="3" t="s">
        <v>1200</v>
      </c>
    </row>
    <row r="377" spans="1:2" x14ac:dyDescent="0.3">
      <c r="A377" s="4">
        <v>2014</v>
      </c>
      <c r="B377" s="3" t="s">
        <v>1207</v>
      </c>
    </row>
    <row r="378" spans="1:2" x14ac:dyDescent="0.3">
      <c r="A378" s="4">
        <v>2014</v>
      </c>
      <c r="B378" s="3" t="s">
        <v>1209</v>
      </c>
    </row>
    <row r="379" spans="1:2" x14ac:dyDescent="0.3">
      <c r="A379" s="4">
        <v>2014</v>
      </c>
      <c r="B379" s="3" t="s">
        <v>1211</v>
      </c>
    </row>
    <row r="380" spans="1:2" x14ac:dyDescent="0.3">
      <c r="A380" s="4">
        <v>2014</v>
      </c>
      <c r="B380" s="3" t="s">
        <v>1212</v>
      </c>
    </row>
    <row r="381" spans="1:2" x14ac:dyDescent="0.3">
      <c r="A381" s="4">
        <v>2014</v>
      </c>
      <c r="B381" s="3" t="s">
        <v>1214</v>
      </c>
    </row>
    <row r="382" spans="1:2" x14ac:dyDescent="0.3">
      <c r="A382" s="4">
        <v>2014</v>
      </c>
      <c r="B382" s="3" t="s">
        <v>1221</v>
      </c>
    </row>
    <row r="383" spans="1:2" x14ac:dyDescent="0.3">
      <c r="A383" s="4">
        <v>2014</v>
      </c>
      <c r="B383" s="3" t="s">
        <v>1223</v>
      </c>
    </row>
    <row r="384" spans="1:2" x14ac:dyDescent="0.3">
      <c r="A384" s="4">
        <v>2014</v>
      </c>
      <c r="B384" s="3" t="s">
        <v>1230</v>
      </c>
    </row>
    <row r="385" spans="1:2" x14ac:dyDescent="0.3">
      <c r="A385" s="4">
        <v>2014</v>
      </c>
      <c r="B385" s="3" t="s">
        <v>1234</v>
      </c>
    </row>
    <row r="386" spans="1:2" x14ac:dyDescent="0.3">
      <c r="A386" s="4">
        <v>2014</v>
      </c>
      <c r="B386" s="3" t="s">
        <v>1241</v>
      </c>
    </row>
    <row r="387" spans="1:2" x14ac:dyDescent="0.3">
      <c r="A387" s="4">
        <v>2014</v>
      </c>
      <c r="B387" s="3" t="s">
        <v>1242</v>
      </c>
    </row>
    <row r="388" spans="1:2" x14ac:dyDescent="0.3">
      <c r="A388" s="4">
        <v>2014</v>
      </c>
      <c r="B388" s="3" t="s">
        <v>1249</v>
      </c>
    </row>
    <row r="389" spans="1:2" x14ac:dyDescent="0.3">
      <c r="A389" s="4">
        <v>2014</v>
      </c>
      <c r="B389" s="3" t="s">
        <v>1251</v>
      </c>
    </row>
    <row r="390" spans="1:2" x14ac:dyDescent="0.3">
      <c r="A390" s="4">
        <v>2014</v>
      </c>
      <c r="B390" s="3" t="s">
        <v>1254</v>
      </c>
    </row>
    <row r="391" spans="1:2" x14ac:dyDescent="0.3">
      <c r="A391" s="4">
        <v>2014</v>
      </c>
      <c r="B391" s="3" t="s">
        <v>1258</v>
      </c>
    </row>
    <row r="392" spans="1:2" x14ac:dyDescent="0.3">
      <c r="A392" s="4">
        <v>2014</v>
      </c>
      <c r="B392" s="3" t="s">
        <v>1260</v>
      </c>
    </row>
    <row r="393" spans="1:2" x14ac:dyDescent="0.3">
      <c r="A393" s="4">
        <v>2014</v>
      </c>
      <c r="B393" s="3" t="s">
        <v>1263</v>
      </c>
    </row>
    <row r="394" spans="1:2" x14ac:dyDescent="0.3">
      <c r="A394" s="4">
        <v>2014</v>
      </c>
      <c r="B394" s="3" t="s">
        <v>1267</v>
      </c>
    </row>
    <row r="395" spans="1:2" x14ac:dyDescent="0.3">
      <c r="A395" s="4">
        <v>2014</v>
      </c>
      <c r="B395" s="3" t="s">
        <v>1271</v>
      </c>
    </row>
    <row r="396" spans="1:2" x14ac:dyDescent="0.3">
      <c r="A396" s="4">
        <v>2014</v>
      </c>
      <c r="B396" s="3" t="s">
        <v>1273</v>
      </c>
    </row>
    <row r="397" spans="1:2" x14ac:dyDescent="0.3">
      <c r="A397" s="4">
        <v>2014</v>
      </c>
      <c r="B397" s="3" t="s">
        <v>1275</v>
      </c>
    </row>
    <row r="398" spans="1:2" x14ac:dyDescent="0.3">
      <c r="A398" s="4">
        <v>2014</v>
      </c>
      <c r="B398" s="3" t="s">
        <v>1277</v>
      </c>
    </row>
    <row r="399" spans="1:2" x14ac:dyDescent="0.3">
      <c r="A399" s="4">
        <v>2014</v>
      </c>
      <c r="B399" s="3" t="s">
        <v>1279</v>
      </c>
    </row>
    <row r="400" spans="1:2" x14ac:dyDescent="0.3">
      <c r="A400" s="4">
        <v>2014</v>
      </c>
      <c r="B400" s="3" t="s">
        <v>1282</v>
      </c>
    </row>
    <row r="401" spans="1:2" x14ac:dyDescent="0.3">
      <c r="A401" s="4">
        <v>2014</v>
      </c>
      <c r="B401" s="3" t="s">
        <v>1286</v>
      </c>
    </row>
    <row r="402" spans="1:2" x14ac:dyDescent="0.3">
      <c r="A402" s="4">
        <v>2014</v>
      </c>
      <c r="B402" s="3" t="s">
        <v>1287</v>
      </c>
    </row>
    <row r="403" spans="1:2" x14ac:dyDescent="0.3">
      <c r="A403" s="4">
        <v>2014</v>
      </c>
      <c r="B403" s="3" t="s">
        <v>1288</v>
      </c>
    </row>
    <row r="404" spans="1:2" x14ac:dyDescent="0.3">
      <c r="A404" s="4">
        <v>2014</v>
      </c>
      <c r="B404" s="3" t="s">
        <v>1289</v>
      </c>
    </row>
    <row r="405" spans="1:2" x14ac:dyDescent="0.3">
      <c r="A405" s="4">
        <v>2014</v>
      </c>
      <c r="B405" s="3" t="s">
        <v>1295</v>
      </c>
    </row>
    <row r="406" spans="1:2" x14ac:dyDescent="0.3">
      <c r="A406" s="4">
        <v>2014</v>
      </c>
      <c r="B406" s="3" t="s">
        <v>1298</v>
      </c>
    </row>
    <row r="407" spans="1:2" x14ac:dyDescent="0.3">
      <c r="A407" s="4">
        <v>2014</v>
      </c>
      <c r="B407" s="3" t="s">
        <v>1301</v>
      </c>
    </row>
    <row r="408" spans="1:2" x14ac:dyDescent="0.3">
      <c r="A408" s="4">
        <v>2014</v>
      </c>
      <c r="B408" s="3" t="s">
        <v>1303</v>
      </c>
    </row>
    <row r="409" spans="1:2" x14ac:dyDescent="0.3">
      <c r="A409" s="4">
        <v>2014</v>
      </c>
      <c r="B409" s="3" t="s">
        <v>1310</v>
      </c>
    </row>
    <row r="410" spans="1:2" x14ac:dyDescent="0.3">
      <c r="A410" s="4">
        <v>2014</v>
      </c>
      <c r="B410" s="3" t="s">
        <v>1312</v>
      </c>
    </row>
    <row r="411" spans="1:2" x14ac:dyDescent="0.3">
      <c r="A411" s="4">
        <v>2014</v>
      </c>
      <c r="B411" s="3" t="s">
        <v>1320</v>
      </c>
    </row>
    <row r="412" spans="1:2" x14ac:dyDescent="0.3">
      <c r="A412" s="4">
        <v>2014</v>
      </c>
      <c r="B412" s="3" t="s">
        <v>1327</v>
      </c>
    </row>
    <row r="413" spans="1:2" x14ac:dyDescent="0.3">
      <c r="A413" s="4">
        <v>2014</v>
      </c>
      <c r="B413" s="3" t="s">
        <v>1330</v>
      </c>
    </row>
    <row r="414" spans="1:2" x14ac:dyDescent="0.3">
      <c r="A414" s="4">
        <v>2014</v>
      </c>
      <c r="B414" s="3" t="s">
        <v>1332</v>
      </c>
    </row>
    <row r="415" spans="1:2" x14ac:dyDescent="0.3">
      <c r="A415" s="4">
        <v>2014</v>
      </c>
      <c r="B415" s="3" t="s">
        <v>1334</v>
      </c>
    </row>
    <row r="416" spans="1:2" x14ac:dyDescent="0.3">
      <c r="A416" s="4">
        <v>2014</v>
      </c>
      <c r="B416" s="3" t="s">
        <v>1335</v>
      </c>
    </row>
    <row r="417" spans="1:2" x14ac:dyDescent="0.3">
      <c r="A417" s="4">
        <v>2014</v>
      </c>
      <c r="B417" s="3" t="s">
        <v>1338</v>
      </c>
    </row>
    <row r="418" spans="1:2" x14ac:dyDescent="0.3">
      <c r="A418" s="4">
        <v>2014</v>
      </c>
      <c r="B418" s="3" t="s">
        <v>1339</v>
      </c>
    </row>
    <row r="419" spans="1:2" x14ac:dyDescent="0.3">
      <c r="A419" s="4">
        <v>2014</v>
      </c>
      <c r="B419" s="3" t="s">
        <v>1341</v>
      </c>
    </row>
    <row r="420" spans="1:2" x14ac:dyDescent="0.3">
      <c r="A420" s="4">
        <v>2014</v>
      </c>
      <c r="B420" s="3" t="s">
        <v>1343</v>
      </c>
    </row>
    <row r="421" spans="1:2" x14ac:dyDescent="0.3">
      <c r="A421" s="4">
        <v>2014</v>
      </c>
      <c r="B421" s="3" t="s">
        <v>1346</v>
      </c>
    </row>
    <row r="422" spans="1:2" x14ac:dyDescent="0.3">
      <c r="A422" s="4">
        <v>2014</v>
      </c>
      <c r="B422" s="3" t="s">
        <v>1356</v>
      </c>
    </row>
    <row r="423" spans="1:2" x14ac:dyDescent="0.3">
      <c r="A423" s="4">
        <v>2014</v>
      </c>
      <c r="B423" s="3" t="s">
        <v>1357</v>
      </c>
    </row>
    <row r="424" spans="1:2" x14ac:dyDescent="0.3">
      <c r="A424" s="4">
        <v>2014</v>
      </c>
      <c r="B424" s="3" t="s">
        <v>1359</v>
      </c>
    </row>
    <row r="425" spans="1:2" x14ac:dyDescent="0.3">
      <c r="A425" s="4">
        <v>2014</v>
      </c>
      <c r="B425" s="3" t="s">
        <v>1361</v>
      </c>
    </row>
    <row r="426" spans="1:2" x14ac:dyDescent="0.3">
      <c r="A426" s="4">
        <v>2014</v>
      </c>
      <c r="B426" s="3" t="s">
        <v>1368</v>
      </c>
    </row>
    <row r="427" spans="1:2" x14ac:dyDescent="0.3">
      <c r="A427" s="4">
        <v>2014</v>
      </c>
      <c r="B427" s="3" t="s">
        <v>1369</v>
      </c>
    </row>
    <row r="428" spans="1:2" x14ac:dyDescent="0.3">
      <c r="A428" s="4">
        <v>2014</v>
      </c>
      <c r="B428" s="3" t="s">
        <v>1371</v>
      </c>
    </row>
    <row r="429" spans="1:2" x14ac:dyDescent="0.3">
      <c r="A429" s="4">
        <v>2014</v>
      </c>
      <c r="B429" s="3" t="s">
        <v>1373</v>
      </c>
    </row>
    <row r="430" spans="1:2" x14ac:dyDescent="0.3">
      <c r="A430" s="4">
        <v>2014</v>
      </c>
      <c r="B430" s="3" t="s">
        <v>1375</v>
      </c>
    </row>
    <row r="431" spans="1:2" x14ac:dyDescent="0.3">
      <c r="A431" s="4">
        <v>2014</v>
      </c>
      <c r="B431" s="3" t="s">
        <v>1378</v>
      </c>
    </row>
    <row r="432" spans="1:2" x14ac:dyDescent="0.3">
      <c r="A432" s="4">
        <v>2014</v>
      </c>
      <c r="B432" s="3" t="s">
        <v>1381</v>
      </c>
    </row>
    <row r="433" spans="1:2" x14ac:dyDescent="0.3">
      <c r="A433" s="4">
        <v>2014</v>
      </c>
      <c r="B433" s="3" t="s">
        <v>1383</v>
      </c>
    </row>
    <row r="434" spans="1:2" x14ac:dyDescent="0.3">
      <c r="A434" s="4">
        <v>2014</v>
      </c>
      <c r="B434" s="3" t="s">
        <v>1385</v>
      </c>
    </row>
    <row r="435" spans="1:2" x14ac:dyDescent="0.3">
      <c r="A435" s="4">
        <v>2014</v>
      </c>
      <c r="B435" s="3" t="s">
        <v>1392</v>
      </c>
    </row>
    <row r="436" spans="1:2" x14ac:dyDescent="0.3">
      <c r="A436" s="4">
        <v>2014</v>
      </c>
      <c r="B436" s="3" t="s">
        <v>1393</v>
      </c>
    </row>
    <row r="437" spans="1:2" x14ac:dyDescent="0.3">
      <c r="A437" s="4">
        <v>2014</v>
      </c>
      <c r="B437" s="3" t="s">
        <v>1394</v>
      </c>
    </row>
    <row r="438" spans="1:2" x14ac:dyDescent="0.3">
      <c r="A438" s="4">
        <v>2014</v>
      </c>
      <c r="B438" s="3" t="s">
        <v>1401</v>
      </c>
    </row>
    <row r="439" spans="1:2" x14ac:dyDescent="0.3">
      <c r="A439" s="4">
        <v>2014</v>
      </c>
      <c r="B439" s="3" t="s">
        <v>1405</v>
      </c>
    </row>
    <row r="440" spans="1:2" x14ac:dyDescent="0.3">
      <c r="A440" s="4">
        <v>2014</v>
      </c>
      <c r="B440" s="3" t="s">
        <v>1408</v>
      </c>
    </row>
    <row r="441" spans="1:2" x14ac:dyDescent="0.3">
      <c r="A441" s="4">
        <v>2014</v>
      </c>
      <c r="B441" s="3" t="s">
        <v>1412</v>
      </c>
    </row>
    <row r="442" spans="1:2" x14ac:dyDescent="0.3">
      <c r="A442" s="4">
        <v>2014</v>
      </c>
      <c r="B442" s="3" t="s">
        <v>1413</v>
      </c>
    </row>
    <row r="443" spans="1:2" x14ac:dyDescent="0.3">
      <c r="A443" s="4">
        <v>2014</v>
      </c>
      <c r="B443" s="3" t="s">
        <v>1414</v>
      </c>
    </row>
    <row r="444" spans="1:2" x14ac:dyDescent="0.3">
      <c r="A444" s="4">
        <v>2014</v>
      </c>
      <c r="B444" s="3" t="s">
        <v>1417</v>
      </c>
    </row>
    <row r="445" spans="1:2" x14ac:dyDescent="0.3">
      <c r="A445" s="4">
        <v>2014</v>
      </c>
      <c r="B445" s="3" t="s">
        <v>1423</v>
      </c>
    </row>
    <row r="446" spans="1:2" x14ac:dyDescent="0.3">
      <c r="A446" s="4">
        <v>2014</v>
      </c>
      <c r="B446" s="3" t="s">
        <v>1424</v>
      </c>
    </row>
    <row r="447" spans="1:2" x14ac:dyDescent="0.3">
      <c r="A447" s="4">
        <v>2014</v>
      </c>
      <c r="B447" s="3" t="s">
        <v>1426</v>
      </c>
    </row>
    <row r="448" spans="1:2" x14ac:dyDescent="0.3">
      <c r="A448" s="4">
        <v>2014</v>
      </c>
      <c r="B448" s="3" t="s">
        <v>1429</v>
      </c>
    </row>
    <row r="449" spans="1:2" x14ac:dyDescent="0.3">
      <c r="A449" s="4">
        <v>2014</v>
      </c>
      <c r="B449" s="3" t="s">
        <v>1431</v>
      </c>
    </row>
    <row r="450" spans="1:2" x14ac:dyDescent="0.3">
      <c r="A450" s="4">
        <v>2014</v>
      </c>
      <c r="B450" s="3" t="s">
        <v>1433</v>
      </c>
    </row>
    <row r="451" spans="1:2" x14ac:dyDescent="0.3">
      <c r="A451" s="4">
        <v>2014</v>
      </c>
      <c r="B451" s="3" t="s">
        <v>1436</v>
      </c>
    </row>
    <row r="452" spans="1:2" x14ac:dyDescent="0.3">
      <c r="A452" s="4">
        <v>2014</v>
      </c>
      <c r="B452" s="3" t="s">
        <v>1438</v>
      </c>
    </row>
    <row r="453" spans="1:2" x14ac:dyDescent="0.3">
      <c r="A453" s="4">
        <v>2014</v>
      </c>
      <c r="B453" s="3" t="s">
        <v>1443</v>
      </c>
    </row>
    <row r="454" spans="1:2" x14ac:dyDescent="0.3">
      <c r="A454" s="4">
        <v>2014</v>
      </c>
      <c r="B454" s="3" t="s">
        <v>1446</v>
      </c>
    </row>
    <row r="455" spans="1:2" x14ac:dyDescent="0.3">
      <c r="A455" s="4">
        <v>2014</v>
      </c>
      <c r="B455" s="3" t="s">
        <v>1448</v>
      </c>
    </row>
    <row r="456" spans="1:2" x14ac:dyDescent="0.3">
      <c r="A456" s="4">
        <v>2014</v>
      </c>
      <c r="B456" s="3" t="s">
        <v>1452</v>
      </c>
    </row>
    <row r="457" spans="1:2" x14ac:dyDescent="0.3">
      <c r="A457" s="4">
        <v>2014</v>
      </c>
      <c r="B457" s="3" t="s">
        <v>1457</v>
      </c>
    </row>
    <row r="458" spans="1:2" x14ac:dyDescent="0.3">
      <c r="A458" s="4">
        <v>2014</v>
      </c>
      <c r="B458" s="3" t="s">
        <v>1459</v>
      </c>
    </row>
    <row r="459" spans="1:2" x14ac:dyDescent="0.3">
      <c r="A459" s="4">
        <v>2014</v>
      </c>
      <c r="B459" s="3" t="s">
        <v>1463</v>
      </c>
    </row>
    <row r="460" spans="1:2" x14ac:dyDescent="0.3">
      <c r="A460" s="4">
        <v>2014</v>
      </c>
      <c r="B460" s="3" t="s">
        <v>1466</v>
      </c>
    </row>
    <row r="461" spans="1:2" x14ac:dyDescent="0.3">
      <c r="A461" s="4">
        <v>2014</v>
      </c>
      <c r="B461" s="3" t="s">
        <v>1467</v>
      </c>
    </row>
    <row r="462" spans="1:2" x14ac:dyDescent="0.3">
      <c r="A462" s="4">
        <v>2014</v>
      </c>
      <c r="B462" s="3" t="s">
        <v>1471</v>
      </c>
    </row>
    <row r="463" spans="1:2" x14ac:dyDescent="0.3">
      <c r="A463" s="4">
        <v>2014</v>
      </c>
      <c r="B463" s="3" t="s">
        <v>1474</v>
      </c>
    </row>
    <row r="464" spans="1:2" x14ac:dyDescent="0.3">
      <c r="A464" s="4">
        <v>2014</v>
      </c>
      <c r="B464" s="3" t="s">
        <v>1475</v>
      </c>
    </row>
    <row r="465" spans="1:2" x14ac:dyDescent="0.3">
      <c r="A465" s="4">
        <v>2014</v>
      </c>
      <c r="B465" s="3" t="s">
        <v>1477</v>
      </c>
    </row>
    <row r="466" spans="1:2" x14ac:dyDescent="0.3">
      <c r="A466" s="4">
        <v>2014</v>
      </c>
      <c r="B466" s="3" t="s">
        <v>1478</v>
      </c>
    </row>
    <row r="467" spans="1:2" x14ac:dyDescent="0.3">
      <c r="A467" s="4">
        <v>2014</v>
      </c>
      <c r="B467" s="3" t="s">
        <v>1483</v>
      </c>
    </row>
    <row r="468" spans="1:2" x14ac:dyDescent="0.3">
      <c r="A468" s="4">
        <v>2014</v>
      </c>
      <c r="B468" s="3" t="s">
        <v>1485</v>
      </c>
    </row>
    <row r="469" spans="1:2" x14ac:dyDescent="0.3">
      <c r="A469" s="4">
        <v>2014</v>
      </c>
      <c r="B469" s="3" t="s">
        <v>1487</v>
      </c>
    </row>
    <row r="470" spans="1:2" x14ac:dyDescent="0.3">
      <c r="A470" s="4">
        <v>2014</v>
      </c>
      <c r="B470" s="3" t="s">
        <v>1489</v>
      </c>
    </row>
    <row r="471" spans="1:2" x14ac:dyDescent="0.3">
      <c r="A471" s="4">
        <v>2014</v>
      </c>
      <c r="B471" s="3" t="s">
        <v>1494</v>
      </c>
    </row>
    <row r="472" spans="1:2" x14ac:dyDescent="0.3">
      <c r="A472" s="4">
        <v>2014</v>
      </c>
      <c r="B472" s="3" t="s">
        <v>1495</v>
      </c>
    </row>
    <row r="473" spans="1:2" x14ac:dyDescent="0.3">
      <c r="A473" s="4">
        <v>2014</v>
      </c>
      <c r="B473" s="3" t="s">
        <v>1497</v>
      </c>
    </row>
    <row r="474" spans="1:2" x14ac:dyDescent="0.3">
      <c r="A474" s="4">
        <v>2014</v>
      </c>
      <c r="B474" s="3" t="s">
        <v>1502</v>
      </c>
    </row>
    <row r="475" spans="1:2" x14ac:dyDescent="0.3">
      <c r="A475" s="4">
        <v>2014</v>
      </c>
      <c r="B475" s="3" t="s">
        <v>1505</v>
      </c>
    </row>
    <row r="476" spans="1:2" x14ac:dyDescent="0.3">
      <c r="A476" s="4">
        <v>2014</v>
      </c>
      <c r="B476" s="3" t="s">
        <v>1507</v>
      </c>
    </row>
    <row r="477" spans="1:2" x14ac:dyDescent="0.3">
      <c r="A477" s="4">
        <v>2014</v>
      </c>
      <c r="B477" s="3" t="s">
        <v>1511</v>
      </c>
    </row>
    <row r="478" spans="1:2" x14ac:dyDescent="0.3">
      <c r="A478" s="4">
        <v>2014</v>
      </c>
      <c r="B478" s="3" t="s">
        <v>1513</v>
      </c>
    </row>
    <row r="479" spans="1:2" x14ac:dyDescent="0.3">
      <c r="A479" s="4">
        <v>2014</v>
      </c>
      <c r="B479" s="3" t="s">
        <v>1514</v>
      </c>
    </row>
    <row r="480" spans="1:2" x14ac:dyDescent="0.3">
      <c r="A480" s="4">
        <v>2014</v>
      </c>
      <c r="B480" s="3" t="s">
        <v>1517</v>
      </c>
    </row>
    <row r="481" spans="1:2" x14ac:dyDescent="0.3">
      <c r="A481" s="4">
        <v>2014</v>
      </c>
      <c r="B481" s="3" t="s">
        <v>1519</v>
      </c>
    </row>
    <row r="482" spans="1:2" x14ac:dyDescent="0.3">
      <c r="A482" s="4">
        <v>2014</v>
      </c>
      <c r="B482" s="3" t="s">
        <v>1521</v>
      </c>
    </row>
    <row r="483" spans="1:2" x14ac:dyDescent="0.3">
      <c r="A483" s="4">
        <v>2014</v>
      </c>
      <c r="B483" s="3" t="s">
        <v>1528</v>
      </c>
    </row>
    <row r="484" spans="1:2" x14ac:dyDescent="0.3">
      <c r="A484" s="4">
        <v>2014</v>
      </c>
      <c r="B484" s="3" t="s">
        <v>1534</v>
      </c>
    </row>
    <row r="485" spans="1:2" x14ac:dyDescent="0.3">
      <c r="A485" s="4">
        <v>2014</v>
      </c>
      <c r="B485" s="3" t="s">
        <v>1535</v>
      </c>
    </row>
    <row r="486" spans="1:2" x14ac:dyDescent="0.3">
      <c r="A486" s="4">
        <v>2014</v>
      </c>
      <c r="B486" s="3" t="s">
        <v>1538</v>
      </c>
    </row>
    <row r="487" spans="1:2" x14ac:dyDescent="0.3">
      <c r="A487" s="4">
        <v>2014</v>
      </c>
      <c r="B487" s="3" t="s">
        <v>1541</v>
      </c>
    </row>
    <row r="488" spans="1:2" x14ac:dyDescent="0.3">
      <c r="A488" s="4">
        <v>2014</v>
      </c>
      <c r="B488" s="3" t="s">
        <v>1544</v>
      </c>
    </row>
    <row r="489" spans="1:2" x14ac:dyDescent="0.3">
      <c r="A489" s="4">
        <v>2014</v>
      </c>
      <c r="B489" s="3" t="s">
        <v>1546</v>
      </c>
    </row>
    <row r="490" spans="1:2" x14ac:dyDescent="0.3">
      <c r="A490" s="4">
        <v>2014</v>
      </c>
      <c r="B490" s="3" t="s">
        <v>1547</v>
      </c>
    </row>
    <row r="491" spans="1:2" x14ac:dyDescent="0.3">
      <c r="A491" s="4">
        <v>2014</v>
      </c>
      <c r="B491" s="3" t="s">
        <v>1548</v>
      </c>
    </row>
    <row r="492" spans="1:2" x14ac:dyDescent="0.3">
      <c r="A492" s="4">
        <v>2014</v>
      </c>
      <c r="B492" s="3" t="s">
        <v>1550</v>
      </c>
    </row>
    <row r="493" spans="1:2" x14ac:dyDescent="0.3">
      <c r="A493" s="4">
        <v>2014</v>
      </c>
      <c r="B493" s="3" t="s">
        <v>1555</v>
      </c>
    </row>
    <row r="494" spans="1:2" x14ac:dyDescent="0.3">
      <c r="A494" s="4">
        <v>2014</v>
      </c>
      <c r="B494" s="3" t="s">
        <v>1557</v>
      </c>
    </row>
    <row r="495" spans="1:2" x14ac:dyDescent="0.3">
      <c r="A495" s="4">
        <v>2014</v>
      </c>
      <c r="B495" s="3" t="s">
        <v>1562</v>
      </c>
    </row>
    <row r="496" spans="1:2" x14ac:dyDescent="0.3">
      <c r="A496" s="4">
        <v>2014</v>
      </c>
      <c r="B496" s="3" t="s">
        <v>1563</v>
      </c>
    </row>
    <row r="497" spans="1:2" x14ac:dyDescent="0.3">
      <c r="A497" s="4">
        <v>2014</v>
      </c>
      <c r="B497" s="3" t="s">
        <v>1568</v>
      </c>
    </row>
    <row r="498" spans="1:2" x14ac:dyDescent="0.3">
      <c r="A498" s="4">
        <v>2014</v>
      </c>
      <c r="B498" s="3" t="s">
        <v>1571</v>
      </c>
    </row>
    <row r="499" spans="1:2" x14ac:dyDescent="0.3">
      <c r="A499" s="4">
        <v>2014</v>
      </c>
      <c r="B499" s="3" t="s">
        <v>1574</v>
      </c>
    </row>
    <row r="500" spans="1:2" x14ac:dyDescent="0.3">
      <c r="A500" s="4">
        <v>2014</v>
      </c>
      <c r="B500" s="3" t="s">
        <v>1576</v>
      </c>
    </row>
    <row r="501" spans="1:2" x14ac:dyDescent="0.3">
      <c r="A501" s="4">
        <v>2014</v>
      </c>
      <c r="B501" s="3" t="s">
        <v>1584</v>
      </c>
    </row>
    <row r="502" spans="1:2" x14ac:dyDescent="0.3">
      <c r="A502" s="4">
        <v>2014</v>
      </c>
      <c r="B502" s="3" t="s">
        <v>1593</v>
      </c>
    </row>
    <row r="503" spans="1:2" x14ac:dyDescent="0.3">
      <c r="A503" s="4">
        <v>2014</v>
      </c>
      <c r="B503" s="3" t="s">
        <v>1595</v>
      </c>
    </row>
    <row r="504" spans="1:2" x14ac:dyDescent="0.3">
      <c r="A504" s="4">
        <v>2014</v>
      </c>
      <c r="B504" s="3" t="s">
        <v>1598</v>
      </c>
    </row>
    <row r="505" spans="1:2" x14ac:dyDescent="0.3">
      <c r="A505" s="4">
        <v>2014</v>
      </c>
      <c r="B505" s="3" t="s">
        <v>1610</v>
      </c>
    </row>
    <row r="506" spans="1:2" x14ac:dyDescent="0.3">
      <c r="A506" s="4">
        <v>2014</v>
      </c>
      <c r="B506" s="3" t="s">
        <v>1614</v>
      </c>
    </row>
    <row r="507" spans="1:2" x14ac:dyDescent="0.3">
      <c r="A507" s="4">
        <v>2014</v>
      </c>
      <c r="B507" s="3" t="s">
        <v>1616</v>
      </c>
    </row>
    <row r="508" spans="1:2" x14ac:dyDescent="0.3">
      <c r="A508" s="4">
        <v>2014</v>
      </c>
      <c r="B508" s="3" t="s">
        <v>1617</v>
      </c>
    </row>
    <row r="509" spans="1:2" x14ac:dyDescent="0.3">
      <c r="A509" s="4">
        <v>2014</v>
      </c>
      <c r="B509" s="3" t="s">
        <v>1618</v>
      </c>
    </row>
    <row r="510" spans="1:2" x14ac:dyDescent="0.3">
      <c r="A510" s="4">
        <v>2014</v>
      </c>
      <c r="B510" s="3" t="s">
        <v>1620</v>
      </c>
    </row>
    <row r="511" spans="1:2" x14ac:dyDescent="0.3">
      <c r="A511" s="4">
        <v>2014</v>
      </c>
      <c r="B511" s="3" t="s">
        <v>1623</v>
      </c>
    </row>
    <row r="512" spans="1:2" x14ac:dyDescent="0.3">
      <c r="A512" s="4">
        <v>2014</v>
      </c>
      <c r="B512" s="3" t="s">
        <v>1625</v>
      </c>
    </row>
    <row r="513" spans="1:2" x14ac:dyDescent="0.3">
      <c r="A513" s="4">
        <v>2014</v>
      </c>
      <c r="B513" s="3" t="s">
        <v>1629</v>
      </c>
    </row>
    <row r="514" spans="1:2" x14ac:dyDescent="0.3">
      <c r="A514" s="4">
        <v>2014</v>
      </c>
      <c r="B514" s="3" t="s">
        <v>1631</v>
      </c>
    </row>
    <row r="515" spans="1:2" x14ac:dyDescent="0.3">
      <c r="A515" s="4">
        <v>2014</v>
      </c>
      <c r="B515" s="3" t="s">
        <v>1633</v>
      </c>
    </row>
    <row r="516" spans="1:2" x14ac:dyDescent="0.3">
      <c r="A516" s="4">
        <v>2014</v>
      </c>
      <c r="B516" s="3" t="s">
        <v>1635</v>
      </c>
    </row>
    <row r="517" spans="1:2" x14ac:dyDescent="0.3">
      <c r="A517" s="4">
        <v>2014</v>
      </c>
      <c r="B517" s="3" t="s">
        <v>1638</v>
      </c>
    </row>
    <row r="518" spans="1:2" x14ac:dyDescent="0.3">
      <c r="A518" s="4">
        <v>2014</v>
      </c>
      <c r="B518" s="3" t="s">
        <v>1641</v>
      </c>
    </row>
    <row r="519" spans="1:2" x14ac:dyDescent="0.3">
      <c r="A519" s="4">
        <v>2014</v>
      </c>
      <c r="B519" s="3" t="s">
        <v>1643</v>
      </c>
    </row>
    <row r="520" spans="1:2" x14ac:dyDescent="0.3">
      <c r="A520" s="4">
        <v>2014</v>
      </c>
      <c r="B520" s="3" t="s">
        <v>1648</v>
      </c>
    </row>
    <row r="521" spans="1:2" x14ac:dyDescent="0.3">
      <c r="A521" s="4">
        <v>2014</v>
      </c>
      <c r="B521" s="3" t="s">
        <v>1652</v>
      </c>
    </row>
    <row r="522" spans="1:2" x14ac:dyDescent="0.3">
      <c r="A522" s="4">
        <v>2014</v>
      </c>
      <c r="B522" s="3" t="s">
        <v>1655</v>
      </c>
    </row>
    <row r="523" spans="1:2" x14ac:dyDescent="0.3">
      <c r="A523" s="4">
        <v>2014</v>
      </c>
      <c r="B523" s="3" t="s">
        <v>1657</v>
      </c>
    </row>
    <row r="524" spans="1:2" x14ac:dyDescent="0.3">
      <c r="A524" s="4">
        <v>2014</v>
      </c>
      <c r="B524" s="3" t="s">
        <v>1661</v>
      </c>
    </row>
    <row r="525" spans="1:2" x14ac:dyDescent="0.3">
      <c r="A525" s="4">
        <v>2014</v>
      </c>
      <c r="B525" s="3" t="s">
        <v>1662</v>
      </c>
    </row>
    <row r="526" spans="1:2" x14ac:dyDescent="0.3">
      <c r="A526" s="4">
        <v>2014</v>
      </c>
      <c r="B526" s="3" t="s">
        <v>1663</v>
      </c>
    </row>
    <row r="527" spans="1:2" x14ac:dyDescent="0.3">
      <c r="A527" s="4">
        <v>2014</v>
      </c>
      <c r="B527" s="3" t="s">
        <v>1665</v>
      </c>
    </row>
    <row r="528" spans="1:2" x14ac:dyDescent="0.3">
      <c r="A528" s="4">
        <v>2014</v>
      </c>
      <c r="B528" s="3" t="s">
        <v>1669</v>
      </c>
    </row>
    <row r="529" spans="1:2" x14ac:dyDescent="0.3">
      <c r="A529" s="4">
        <v>2014</v>
      </c>
      <c r="B529" s="3" t="s">
        <v>1671</v>
      </c>
    </row>
    <row r="530" spans="1:2" x14ac:dyDescent="0.3">
      <c r="A530" s="4">
        <v>2014</v>
      </c>
      <c r="B530" s="3" t="s">
        <v>1672</v>
      </c>
    </row>
    <row r="531" spans="1:2" x14ac:dyDescent="0.3">
      <c r="A531" s="4">
        <v>2014</v>
      </c>
      <c r="B531" s="3" t="s">
        <v>1676</v>
      </c>
    </row>
    <row r="532" spans="1:2" x14ac:dyDescent="0.3">
      <c r="A532" s="4">
        <v>2014</v>
      </c>
      <c r="B532" s="3" t="s">
        <v>1677</v>
      </c>
    </row>
    <row r="533" spans="1:2" x14ac:dyDescent="0.3">
      <c r="A533" s="4">
        <v>2014</v>
      </c>
      <c r="B533" s="3" t="s">
        <v>1680</v>
      </c>
    </row>
    <row r="534" spans="1:2" x14ac:dyDescent="0.3">
      <c r="A534" s="4">
        <v>2014</v>
      </c>
      <c r="B534" s="3" t="s">
        <v>1682</v>
      </c>
    </row>
    <row r="535" spans="1:2" x14ac:dyDescent="0.3">
      <c r="A535" s="4">
        <v>2014</v>
      </c>
      <c r="B535" s="3" t="s">
        <v>1684</v>
      </c>
    </row>
    <row r="536" spans="1:2" x14ac:dyDescent="0.3">
      <c r="A536" s="4">
        <v>2014</v>
      </c>
      <c r="B536" s="3" t="s">
        <v>1687</v>
      </c>
    </row>
    <row r="537" spans="1:2" x14ac:dyDescent="0.3">
      <c r="A537" s="4">
        <v>2014</v>
      </c>
      <c r="B537" s="3" t="s">
        <v>1688</v>
      </c>
    </row>
    <row r="538" spans="1:2" x14ac:dyDescent="0.3">
      <c r="A538" s="4">
        <v>2014</v>
      </c>
      <c r="B538" s="3" t="s">
        <v>1693</v>
      </c>
    </row>
    <row r="539" spans="1:2" x14ac:dyDescent="0.3">
      <c r="A539" s="4">
        <v>2014</v>
      </c>
      <c r="B539" s="3" t="s">
        <v>1696</v>
      </c>
    </row>
    <row r="540" spans="1:2" x14ac:dyDescent="0.3">
      <c r="A540" s="4">
        <v>2014</v>
      </c>
      <c r="B540" s="3" t="s">
        <v>1699</v>
      </c>
    </row>
    <row r="541" spans="1:2" x14ac:dyDescent="0.3">
      <c r="A541" s="4">
        <v>2014</v>
      </c>
      <c r="B541" s="3" t="s">
        <v>1705</v>
      </c>
    </row>
    <row r="542" spans="1:2" x14ac:dyDescent="0.3">
      <c r="A542" s="4">
        <v>2014</v>
      </c>
      <c r="B542" s="3" t="s">
        <v>1712</v>
      </c>
    </row>
    <row r="543" spans="1:2" x14ac:dyDescent="0.3">
      <c r="A543" s="4">
        <v>2014</v>
      </c>
      <c r="B543" s="3" t="s">
        <v>1714</v>
      </c>
    </row>
    <row r="544" spans="1:2" x14ac:dyDescent="0.3">
      <c r="A544" s="4">
        <v>2014</v>
      </c>
      <c r="B544" s="3" t="s">
        <v>1719</v>
      </c>
    </row>
    <row r="545" spans="1:2" x14ac:dyDescent="0.3">
      <c r="A545" s="4">
        <v>2014</v>
      </c>
      <c r="B545" s="3" t="s">
        <v>1720</v>
      </c>
    </row>
    <row r="546" spans="1:2" x14ac:dyDescent="0.3">
      <c r="A546" s="4">
        <v>2014</v>
      </c>
      <c r="B546" s="3" t="s">
        <v>1722</v>
      </c>
    </row>
    <row r="547" spans="1:2" x14ac:dyDescent="0.3">
      <c r="A547" s="4">
        <v>2014</v>
      </c>
      <c r="B547" s="3" t="s">
        <v>1723</v>
      </c>
    </row>
    <row r="548" spans="1:2" x14ac:dyDescent="0.3">
      <c r="A548" s="4">
        <v>2014</v>
      </c>
      <c r="B548" s="3" t="s">
        <v>1727</v>
      </c>
    </row>
    <row r="549" spans="1:2" x14ac:dyDescent="0.3">
      <c r="A549" s="4">
        <v>2014</v>
      </c>
      <c r="B549" s="3" t="s">
        <v>1733</v>
      </c>
    </row>
    <row r="550" spans="1:2" x14ac:dyDescent="0.3">
      <c r="A550" s="4">
        <v>2014</v>
      </c>
      <c r="B550" s="3" t="s">
        <v>1734</v>
      </c>
    </row>
    <row r="551" spans="1:2" x14ac:dyDescent="0.3">
      <c r="A551" s="4">
        <v>2014</v>
      </c>
      <c r="B551" s="3" t="s">
        <v>1736</v>
      </c>
    </row>
    <row r="552" spans="1:2" x14ac:dyDescent="0.3">
      <c r="A552" s="4">
        <v>2014</v>
      </c>
      <c r="B552" s="3" t="s">
        <v>1738</v>
      </c>
    </row>
    <row r="553" spans="1:2" x14ac:dyDescent="0.3">
      <c r="A553" s="4">
        <v>2014</v>
      </c>
      <c r="B553" s="3" t="s">
        <v>1741</v>
      </c>
    </row>
    <row r="554" spans="1:2" x14ac:dyDescent="0.3">
      <c r="A554" s="4">
        <v>2014</v>
      </c>
      <c r="B554" s="3" t="s">
        <v>1744</v>
      </c>
    </row>
    <row r="555" spans="1:2" x14ac:dyDescent="0.3">
      <c r="A555" s="4">
        <v>2014</v>
      </c>
      <c r="B555" s="3" t="s">
        <v>1746</v>
      </c>
    </row>
    <row r="556" spans="1:2" x14ac:dyDescent="0.3">
      <c r="A556" s="4">
        <v>2014</v>
      </c>
      <c r="B556" s="3" t="s">
        <v>1747</v>
      </c>
    </row>
    <row r="557" spans="1:2" x14ac:dyDescent="0.3">
      <c r="A557" s="4">
        <v>2014</v>
      </c>
      <c r="B557" s="3" t="s">
        <v>1748</v>
      </c>
    </row>
    <row r="558" spans="1:2" x14ac:dyDescent="0.3">
      <c r="A558" s="4">
        <v>2014</v>
      </c>
      <c r="B558" s="3" t="s">
        <v>1751</v>
      </c>
    </row>
    <row r="559" spans="1:2" x14ac:dyDescent="0.3">
      <c r="A559" s="4">
        <v>2014</v>
      </c>
      <c r="B559" s="3" t="s">
        <v>1752</v>
      </c>
    </row>
    <row r="560" spans="1:2" x14ac:dyDescent="0.3">
      <c r="A560" s="4">
        <v>2014</v>
      </c>
      <c r="B560" s="3" t="s">
        <v>1758</v>
      </c>
    </row>
    <row r="561" spans="1:2" x14ac:dyDescent="0.3">
      <c r="A561" s="4">
        <v>2014</v>
      </c>
      <c r="B561" s="3" t="s">
        <v>1760</v>
      </c>
    </row>
    <row r="562" spans="1:2" x14ac:dyDescent="0.3">
      <c r="A562" s="4">
        <v>2014</v>
      </c>
      <c r="B562" s="3" t="s">
        <v>1762</v>
      </c>
    </row>
    <row r="563" spans="1:2" x14ac:dyDescent="0.3">
      <c r="A563" s="4">
        <v>2014</v>
      </c>
      <c r="B563" s="3" t="s">
        <v>1766</v>
      </c>
    </row>
    <row r="564" spans="1:2" x14ac:dyDescent="0.3">
      <c r="A564" s="4">
        <v>2014</v>
      </c>
      <c r="B564" s="3" t="s">
        <v>1771</v>
      </c>
    </row>
    <row r="565" spans="1:2" x14ac:dyDescent="0.3">
      <c r="A565" s="4">
        <v>2014</v>
      </c>
      <c r="B565" s="3" t="s">
        <v>1776</v>
      </c>
    </row>
    <row r="566" spans="1:2" x14ac:dyDescent="0.3">
      <c r="A566" s="4">
        <v>2014</v>
      </c>
      <c r="B566" s="3" t="s">
        <v>1778</v>
      </c>
    </row>
    <row r="567" spans="1:2" x14ac:dyDescent="0.3">
      <c r="A567" s="4">
        <v>2014</v>
      </c>
      <c r="B567" s="3" t="s">
        <v>1781</v>
      </c>
    </row>
    <row r="568" spans="1:2" x14ac:dyDescent="0.3">
      <c r="A568" s="4">
        <v>2014</v>
      </c>
      <c r="B568" s="3" t="s">
        <v>1783</v>
      </c>
    </row>
    <row r="569" spans="1:2" x14ac:dyDescent="0.3">
      <c r="A569" s="4">
        <v>2014</v>
      </c>
      <c r="B569" s="3" t="s">
        <v>1785</v>
      </c>
    </row>
    <row r="570" spans="1:2" x14ac:dyDescent="0.3">
      <c r="A570" s="4">
        <v>2014</v>
      </c>
      <c r="B570" s="3" t="s">
        <v>1788</v>
      </c>
    </row>
    <row r="571" spans="1:2" x14ac:dyDescent="0.3">
      <c r="A571" s="4">
        <v>2014</v>
      </c>
      <c r="B571" s="3" t="s">
        <v>1791</v>
      </c>
    </row>
    <row r="572" spans="1:2" x14ac:dyDescent="0.3">
      <c r="A572" s="4">
        <v>2014</v>
      </c>
      <c r="B572" s="3" t="s">
        <v>1793</v>
      </c>
    </row>
    <row r="573" spans="1:2" x14ac:dyDescent="0.3">
      <c r="A573" s="4">
        <v>2014</v>
      </c>
      <c r="B573" s="3" t="s">
        <v>1797</v>
      </c>
    </row>
    <row r="574" spans="1:2" x14ac:dyDescent="0.3">
      <c r="A574" s="4">
        <v>2014</v>
      </c>
      <c r="B574" s="3" t="s">
        <v>1798</v>
      </c>
    </row>
    <row r="575" spans="1:2" x14ac:dyDescent="0.3">
      <c r="A575" s="4">
        <v>2014</v>
      </c>
      <c r="B575" s="3" t="s">
        <v>1799</v>
      </c>
    </row>
    <row r="576" spans="1:2" x14ac:dyDescent="0.3">
      <c r="A576" s="4">
        <v>2014</v>
      </c>
      <c r="B576" s="3" t="s">
        <v>1800</v>
      </c>
    </row>
    <row r="577" spans="1:2" x14ac:dyDescent="0.3">
      <c r="A577" s="4">
        <v>2014</v>
      </c>
      <c r="B577" s="3" t="s">
        <v>1801</v>
      </c>
    </row>
    <row r="578" spans="1:2" x14ac:dyDescent="0.3">
      <c r="A578" s="4">
        <v>2014</v>
      </c>
      <c r="B578" s="3" t="s">
        <v>1803</v>
      </c>
    </row>
    <row r="579" spans="1:2" x14ac:dyDescent="0.3">
      <c r="A579" s="4">
        <v>2014</v>
      </c>
      <c r="B579" s="3" t="s">
        <v>1811</v>
      </c>
    </row>
    <row r="580" spans="1:2" x14ac:dyDescent="0.3">
      <c r="A580" s="4">
        <v>2014</v>
      </c>
      <c r="B580" s="3" t="s">
        <v>1813</v>
      </c>
    </row>
    <row r="581" spans="1:2" x14ac:dyDescent="0.3">
      <c r="A581" s="4">
        <v>2014</v>
      </c>
      <c r="B581" s="3" t="s">
        <v>1817</v>
      </c>
    </row>
    <row r="582" spans="1:2" x14ac:dyDescent="0.3">
      <c r="A582" s="4">
        <v>2014</v>
      </c>
      <c r="B582" s="3" t="s">
        <v>1822</v>
      </c>
    </row>
    <row r="583" spans="1:2" x14ac:dyDescent="0.3">
      <c r="A583" s="4">
        <v>2014</v>
      </c>
      <c r="B583" s="3" t="s">
        <v>1826</v>
      </c>
    </row>
    <row r="584" spans="1:2" x14ac:dyDescent="0.3">
      <c r="A584" s="4">
        <v>2014</v>
      </c>
      <c r="B584" s="3" t="s">
        <v>1828</v>
      </c>
    </row>
    <row r="585" spans="1:2" x14ac:dyDescent="0.3">
      <c r="A585" s="4">
        <v>2014</v>
      </c>
      <c r="B585" s="3" t="s">
        <v>1831</v>
      </c>
    </row>
    <row r="586" spans="1:2" x14ac:dyDescent="0.3">
      <c r="A586" s="4">
        <v>2014</v>
      </c>
      <c r="B586" s="3" t="s">
        <v>1840</v>
      </c>
    </row>
    <row r="587" spans="1:2" x14ac:dyDescent="0.3">
      <c r="A587" s="4">
        <v>2014</v>
      </c>
      <c r="B587" s="3" t="s">
        <v>1842</v>
      </c>
    </row>
    <row r="588" spans="1:2" x14ac:dyDescent="0.3">
      <c r="A588" s="4">
        <v>2014</v>
      </c>
      <c r="B588" s="3" t="s">
        <v>1846</v>
      </c>
    </row>
    <row r="589" spans="1:2" x14ac:dyDescent="0.3">
      <c r="A589" s="4">
        <v>2014</v>
      </c>
      <c r="B589" s="3" t="s">
        <v>1856</v>
      </c>
    </row>
    <row r="590" spans="1:2" x14ac:dyDescent="0.3">
      <c r="A590" s="4">
        <v>2014</v>
      </c>
      <c r="B590" s="3" t="s">
        <v>1863</v>
      </c>
    </row>
    <row r="591" spans="1:2" x14ac:dyDescent="0.3">
      <c r="A591" s="4">
        <v>2014</v>
      </c>
      <c r="B591" s="3" t="s">
        <v>1865</v>
      </c>
    </row>
    <row r="592" spans="1:2" x14ac:dyDescent="0.3">
      <c r="A592" s="4">
        <v>2014</v>
      </c>
      <c r="B592" s="3" t="s">
        <v>1866</v>
      </c>
    </row>
    <row r="593" spans="1:2" x14ac:dyDescent="0.3">
      <c r="A593" s="4">
        <v>2014</v>
      </c>
      <c r="B593" s="3" t="s">
        <v>1867</v>
      </c>
    </row>
    <row r="594" spans="1:2" x14ac:dyDescent="0.3">
      <c r="A594" s="4">
        <v>2014</v>
      </c>
      <c r="B594" s="3" t="s">
        <v>1868</v>
      </c>
    </row>
    <row r="595" spans="1:2" x14ac:dyDescent="0.3">
      <c r="A595" s="4">
        <v>2014</v>
      </c>
      <c r="B595" s="3" t="s">
        <v>1871</v>
      </c>
    </row>
    <row r="596" spans="1:2" x14ac:dyDescent="0.3">
      <c r="A596" s="4">
        <v>2014</v>
      </c>
      <c r="B596" s="3" t="s">
        <v>1877</v>
      </c>
    </row>
    <row r="597" spans="1:2" x14ac:dyDescent="0.3">
      <c r="A597" s="4">
        <v>2015</v>
      </c>
      <c r="B597" s="3" t="s">
        <v>659</v>
      </c>
    </row>
    <row r="598" spans="1:2" x14ac:dyDescent="0.3">
      <c r="A598" s="4">
        <v>2015</v>
      </c>
      <c r="B598" s="3" t="s">
        <v>1883</v>
      </c>
    </row>
    <row r="599" spans="1:2" x14ac:dyDescent="0.3">
      <c r="A599" s="4">
        <v>2015</v>
      </c>
      <c r="B599" s="3" t="s">
        <v>1502</v>
      </c>
    </row>
    <row r="600" spans="1:2" x14ac:dyDescent="0.3">
      <c r="A600" s="4">
        <v>2015</v>
      </c>
      <c r="B600" s="3" t="s">
        <v>1885</v>
      </c>
    </row>
    <row r="601" spans="1:2" x14ac:dyDescent="0.3">
      <c r="A601" s="4">
        <v>2015</v>
      </c>
      <c r="B601" s="3" t="s">
        <v>61</v>
      </c>
    </row>
    <row r="602" spans="1:2" x14ac:dyDescent="0.3">
      <c r="A602" s="4">
        <v>2015</v>
      </c>
      <c r="B602" s="3" t="s">
        <v>1886</v>
      </c>
    </row>
    <row r="603" spans="1:2" x14ac:dyDescent="0.3">
      <c r="A603" s="4">
        <v>2015</v>
      </c>
      <c r="B603" s="3" t="s">
        <v>215</v>
      </c>
    </row>
    <row r="604" spans="1:2" x14ac:dyDescent="0.3">
      <c r="A604" s="4">
        <v>2015</v>
      </c>
      <c r="B604" s="3" t="s">
        <v>657</v>
      </c>
    </row>
    <row r="605" spans="1:2" x14ac:dyDescent="0.3">
      <c r="A605" s="4">
        <v>2015</v>
      </c>
      <c r="B605" s="3" t="s">
        <v>1877</v>
      </c>
    </row>
    <row r="606" spans="1:2" x14ac:dyDescent="0.3">
      <c r="A606" s="4">
        <v>2015</v>
      </c>
      <c r="B606" s="3" t="s">
        <v>1249</v>
      </c>
    </row>
    <row r="607" spans="1:2" x14ac:dyDescent="0.3">
      <c r="A607" s="4">
        <v>2015</v>
      </c>
      <c r="B607" s="3" t="s">
        <v>366</v>
      </c>
    </row>
    <row r="608" spans="1:2" x14ac:dyDescent="0.3">
      <c r="A608" s="4">
        <v>2015</v>
      </c>
      <c r="B608" s="3" t="s">
        <v>77</v>
      </c>
    </row>
    <row r="609" spans="1:2" x14ac:dyDescent="0.3">
      <c r="A609" s="4">
        <v>2015</v>
      </c>
      <c r="B609" s="3" t="s">
        <v>1891</v>
      </c>
    </row>
    <row r="610" spans="1:2" x14ac:dyDescent="0.3">
      <c r="A610" s="4">
        <v>2015</v>
      </c>
      <c r="B610" s="3" t="s">
        <v>1892</v>
      </c>
    </row>
    <row r="611" spans="1:2" x14ac:dyDescent="0.3">
      <c r="A611" s="4">
        <v>2015</v>
      </c>
      <c r="B611" s="3" t="s">
        <v>953</v>
      </c>
    </row>
    <row r="612" spans="1:2" x14ac:dyDescent="0.3">
      <c r="A612" s="4">
        <v>2015</v>
      </c>
      <c r="B612" s="3" t="s">
        <v>1898</v>
      </c>
    </row>
    <row r="613" spans="1:2" x14ac:dyDescent="0.3">
      <c r="A613" s="4">
        <v>2015</v>
      </c>
      <c r="B613" s="3" t="s">
        <v>605</v>
      </c>
    </row>
    <row r="614" spans="1:2" x14ac:dyDescent="0.3">
      <c r="A614" s="4">
        <v>2015</v>
      </c>
      <c r="B614" s="3" t="s">
        <v>475</v>
      </c>
    </row>
    <row r="615" spans="1:2" x14ac:dyDescent="0.3">
      <c r="A615" s="4">
        <v>2015</v>
      </c>
      <c r="B615" s="3" t="s">
        <v>610</v>
      </c>
    </row>
    <row r="616" spans="1:2" x14ac:dyDescent="0.3">
      <c r="A616" s="4">
        <v>2015</v>
      </c>
      <c r="B616" s="3" t="s">
        <v>803</v>
      </c>
    </row>
    <row r="617" spans="1:2" x14ac:dyDescent="0.3">
      <c r="A617" s="4">
        <v>2015</v>
      </c>
      <c r="B617" s="3" t="s">
        <v>1900</v>
      </c>
    </row>
    <row r="618" spans="1:2" x14ac:dyDescent="0.3">
      <c r="A618" s="4">
        <v>2015</v>
      </c>
      <c r="B618" s="3" t="s">
        <v>1741</v>
      </c>
    </row>
    <row r="619" spans="1:2" x14ac:dyDescent="0.3">
      <c r="A619" s="4">
        <v>2015</v>
      </c>
      <c r="B619" s="3" t="s">
        <v>58</v>
      </c>
    </row>
    <row r="620" spans="1:2" x14ac:dyDescent="0.3">
      <c r="A620" s="4">
        <v>2015</v>
      </c>
      <c r="B620" s="3" t="s">
        <v>1799</v>
      </c>
    </row>
    <row r="621" spans="1:2" x14ac:dyDescent="0.3">
      <c r="A621" s="4">
        <v>2015</v>
      </c>
      <c r="B621" s="3" t="s">
        <v>1102</v>
      </c>
    </row>
    <row r="622" spans="1:2" x14ac:dyDescent="0.3">
      <c r="A622" s="4">
        <v>2015</v>
      </c>
      <c r="B622" s="3" t="s">
        <v>1145</v>
      </c>
    </row>
    <row r="623" spans="1:2" x14ac:dyDescent="0.3">
      <c r="A623" s="4">
        <v>2015</v>
      </c>
      <c r="B623" s="3" t="s">
        <v>978</v>
      </c>
    </row>
    <row r="624" spans="1:2" x14ac:dyDescent="0.3">
      <c r="A624" s="4">
        <v>2015</v>
      </c>
      <c r="B624" s="3" t="s">
        <v>1178</v>
      </c>
    </row>
    <row r="625" spans="1:2" x14ac:dyDescent="0.3">
      <c r="A625" s="4">
        <v>2015</v>
      </c>
      <c r="B625" s="3" t="s">
        <v>554</v>
      </c>
    </row>
    <row r="626" spans="1:2" x14ac:dyDescent="0.3">
      <c r="A626" s="4">
        <v>2015</v>
      </c>
      <c r="B626" s="3" t="s">
        <v>1907</v>
      </c>
    </row>
    <row r="627" spans="1:2" x14ac:dyDescent="0.3">
      <c r="A627" s="4">
        <v>2015</v>
      </c>
      <c r="B627" s="3" t="s">
        <v>1538</v>
      </c>
    </row>
    <row r="628" spans="1:2" x14ac:dyDescent="0.3">
      <c r="A628" s="4">
        <v>2015</v>
      </c>
      <c r="B628" s="3" t="s">
        <v>809</v>
      </c>
    </row>
    <row r="629" spans="1:2" x14ac:dyDescent="0.3">
      <c r="A629" s="4">
        <v>2015</v>
      </c>
      <c r="B629" s="3" t="s">
        <v>671</v>
      </c>
    </row>
    <row r="630" spans="1:2" x14ac:dyDescent="0.3">
      <c r="A630" s="4">
        <v>2015</v>
      </c>
      <c r="B630" s="3" t="s">
        <v>1042</v>
      </c>
    </row>
    <row r="631" spans="1:2" x14ac:dyDescent="0.3">
      <c r="A631" s="4">
        <v>2015</v>
      </c>
      <c r="B631" s="3" t="s">
        <v>1910</v>
      </c>
    </row>
    <row r="632" spans="1:2" x14ac:dyDescent="0.3">
      <c r="A632" s="4">
        <v>2015</v>
      </c>
      <c r="B632" s="3" t="s">
        <v>1912</v>
      </c>
    </row>
    <row r="633" spans="1:2" x14ac:dyDescent="0.3">
      <c r="A633" s="4">
        <v>2015</v>
      </c>
      <c r="B633" s="3" t="s">
        <v>389</v>
      </c>
    </row>
    <row r="634" spans="1:2" x14ac:dyDescent="0.3">
      <c r="A634" s="4">
        <v>2015</v>
      </c>
      <c r="B634" s="3" t="s">
        <v>1241</v>
      </c>
    </row>
    <row r="635" spans="1:2" x14ac:dyDescent="0.3">
      <c r="A635" s="4">
        <v>2015</v>
      </c>
      <c r="B635" s="3" t="s">
        <v>796</v>
      </c>
    </row>
    <row r="636" spans="1:2" x14ac:dyDescent="0.3">
      <c r="A636" s="4">
        <v>2015</v>
      </c>
      <c r="B636" s="3" t="s">
        <v>892</v>
      </c>
    </row>
    <row r="637" spans="1:2" x14ac:dyDescent="0.3">
      <c r="A637" s="4">
        <v>2015</v>
      </c>
      <c r="B637" s="3" t="s">
        <v>1327</v>
      </c>
    </row>
    <row r="638" spans="1:2" x14ac:dyDescent="0.3">
      <c r="A638" s="4">
        <v>2015</v>
      </c>
      <c r="B638" s="3" t="s">
        <v>1916</v>
      </c>
    </row>
    <row r="639" spans="1:2" x14ac:dyDescent="0.3">
      <c r="A639" s="4">
        <v>2015</v>
      </c>
      <c r="B639" s="3" t="s">
        <v>1448</v>
      </c>
    </row>
    <row r="640" spans="1:2" x14ac:dyDescent="0.3">
      <c r="A640" s="4">
        <v>2015</v>
      </c>
      <c r="B640" s="3" t="s">
        <v>1748</v>
      </c>
    </row>
    <row r="641" spans="1:2" x14ac:dyDescent="0.3">
      <c r="A641" s="4">
        <v>2015</v>
      </c>
      <c r="B641" s="3" t="s">
        <v>677</v>
      </c>
    </row>
    <row r="642" spans="1:2" x14ac:dyDescent="0.3">
      <c r="A642" s="4">
        <v>2015</v>
      </c>
      <c r="B642" s="3" t="s">
        <v>468</v>
      </c>
    </row>
    <row r="643" spans="1:2" x14ac:dyDescent="0.3">
      <c r="A643" s="4">
        <v>2015</v>
      </c>
      <c r="B643" s="3" t="s">
        <v>599</v>
      </c>
    </row>
    <row r="644" spans="1:2" x14ac:dyDescent="0.3">
      <c r="A644" s="4">
        <v>2015</v>
      </c>
      <c r="B644" s="3" t="s">
        <v>1791</v>
      </c>
    </row>
    <row r="645" spans="1:2" x14ac:dyDescent="0.3">
      <c r="A645" s="4">
        <v>2015</v>
      </c>
      <c r="B645" s="3" t="s">
        <v>437</v>
      </c>
    </row>
    <row r="646" spans="1:2" x14ac:dyDescent="0.3">
      <c r="A646" s="4">
        <v>2015</v>
      </c>
      <c r="B646" s="3" t="s">
        <v>1648</v>
      </c>
    </row>
    <row r="647" spans="1:2" x14ac:dyDescent="0.3">
      <c r="A647" s="4">
        <v>2015</v>
      </c>
      <c r="B647" s="3" t="s">
        <v>1920</v>
      </c>
    </row>
    <row r="648" spans="1:2" x14ac:dyDescent="0.3">
      <c r="A648" s="4">
        <v>2015</v>
      </c>
      <c r="B648" s="3" t="s">
        <v>878</v>
      </c>
    </row>
    <row r="649" spans="1:2" x14ac:dyDescent="0.3">
      <c r="A649" s="4">
        <v>2015</v>
      </c>
      <c r="B649" s="3" t="s">
        <v>283</v>
      </c>
    </row>
    <row r="650" spans="1:2" x14ac:dyDescent="0.3">
      <c r="A650" s="4">
        <v>2015</v>
      </c>
      <c r="B650" s="3" t="s">
        <v>1173</v>
      </c>
    </row>
    <row r="651" spans="1:2" x14ac:dyDescent="0.3">
      <c r="A651" s="4">
        <v>2015</v>
      </c>
      <c r="B651" s="3" t="s">
        <v>1643</v>
      </c>
    </row>
    <row r="652" spans="1:2" x14ac:dyDescent="0.3">
      <c r="A652" s="4">
        <v>2015</v>
      </c>
      <c r="B652" s="3" t="s">
        <v>1811</v>
      </c>
    </row>
    <row r="653" spans="1:2" x14ac:dyDescent="0.3">
      <c r="A653" s="4">
        <v>2015</v>
      </c>
      <c r="B653" s="3" t="s">
        <v>1922</v>
      </c>
    </row>
    <row r="654" spans="1:2" x14ac:dyDescent="0.3">
      <c r="A654" s="4">
        <v>2015</v>
      </c>
      <c r="B654" s="3" t="s">
        <v>1785</v>
      </c>
    </row>
    <row r="655" spans="1:2" x14ac:dyDescent="0.3">
      <c r="A655" s="4">
        <v>2015</v>
      </c>
      <c r="B655" s="3" t="s">
        <v>1517</v>
      </c>
    </row>
    <row r="656" spans="1:2" x14ac:dyDescent="0.3">
      <c r="A656" s="4">
        <v>2015</v>
      </c>
      <c r="B656" s="3" t="s">
        <v>1417</v>
      </c>
    </row>
    <row r="657" spans="1:2" x14ac:dyDescent="0.3">
      <c r="A657" s="4">
        <v>2015</v>
      </c>
      <c r="B657" s="3" t="s">
        <v>1926</v>
      </c>
    </row>
    <row r="658" spans="1:2" x14ac:dyDescent="0.3">
      <c r="A658" s="4">
        <v>2015</v>
      </c>
      <c r="B658" s="3" t="s">
        <v>1055</v>
      </c>
    </row>
    <row r="659" spans="1:2" x14ac:dyDescent="0.3">
      <c r="A659" s="4">
        <v>2015</v>
      </c>
      <c r="B659" s="3" t="s">
        <v>195</v>
      </c>
    </row>
    <row r="660" spans="1:2" x14ac:dyDescent="0.3">
      <c r="A660" s="4">
        <v>2015</v>
      </c>
      <c r="B660" s="3" t="s">
        <v>1669</v>
      </c>
    </row>
    <row r="661" spans="1:2" x14ac:dyDescent="0.3">
      <c r="A661" s="4">
        <v>2015</v>
      </c>
      <c r="B661" s="3" t="s">
        <v>712</v>
      </c>
    </row>
    <row r="662" spans="1:2" x14ac:dyDescent="0.3">
      <c r="A662" s="4">
        <v>2015</v>
      </c>
      <c r="B662" s="3" t="s">
        <v>270</v>
      </c>
    </row>
    <row r="663" spans="1:2" x14ac:dyDescent="0.3">
      <c r="A663" s="4">
        <v>2015</v>
      </c>
      <c r="B663" s="3" t="s">
        <v>1931</v>
      </c>
    </row>
    <row r="664" spans="1:2" x14ac:dyDescent="0.3">
      <c r="A664" s="4">
        <v>2015</v>
      </c>
      <c r="B664" s="3" t="s">
        <v>1933</v>
      </c>
    </row>
    <row r="665" spans="1:2" x14ac:dyDescent="0.3">
      <c r="A665" s="4">
        <v>2015</v>
      </c>
      <c r="B665" s="3" t="s">
        <v>674</v>
      </c>
    </row>
    <row r="666" spans="1:2" x14ac:dyDescent="0.3">
      <c r="A666" s="4">
        <v>2015</v>
      </c>
      <c r="B666" s="3" t="s">
        <v>1027</v>
      </c>
    </row>
    <row r="667" spans="1:2" x14ac:dyDescent="0.3">
      <c r="A667" s="4">
        <v>2015</v>
      </c>
      <c r="B667" s="3" t="s">
        <v>1828</v>
      </c>
    </row>
    <row r="668" spans="1:2" x14ac:dyDescent="0.3">
      <c r="A668" s="4">
        <v>2015</v>
      </c>
      <c r="B668" s="3" t="s">
        <v>1736</v>
      </c>
    </row>
    <row r="669" spans="1:2" x14ac:dyDescent="0.3">
      <c r="A669" s="4">
        <v>2015</v>
      </c>
      <c r="B669" s="3" t="s">
        <v>1935</v>
      </c>
    </row>
    <row r="670" spans="1:2" x14ac:dyDescent="0.3">
      <c r="A670" s="4">
        <v>2015</v>
      </c>
      <c r="B670" s="3" t="s">
        <v>151</v>
      </c>
    </row>
    <row r="671" spans="1:2" x14ac:dyDescent="0.3">
      <c r="A671" s="4">
        <v>2015</v>
      </c>
      <c r="B671" s="3" t="s">
        <v>1937</v>
      </c>
    </row>
    <row r="672" spans="1:2" x14ac:dyDescent="0.3">
      <c r="A672" s="4">
        <v>2015</v>
      </c>
      <c r="B672" s="3" t="s">
        <v>1258</v>
      </c>
    </row>
    <row r="673" spans="1:2" x14ac:dyDescent="0.3">
      <c r="A673" s="4">
        <v>2015</v>
      </c>
      <c r="B673" s="3" t="s">
        <v>1004</v>
      </c>
    </row>
    <row r="674" spans="1:2" x14ac:dyDescent="0.3">
      <c r="A674" s="4">
        <v>2015</v>
      </c>
      <c r="B674" s="3" t="s">
        <v>971</v>
      </c>
    </row>
    <row r="675" spans="1:2" x14ac:dyDescent="0.3">
      <c r="A675" s="4">
        <v>2015</v>
      </c>
      <c r="B675" s="3" t="s">
        <v>1941</v>
      </c>
    </row>
    <row r="676" spans="1:2" x14ac:dyDescent="0.3">
      <c r="A676" s="4">
        <v>2015</v>
      </c>
      <c r="B676" s="3" t="s">
        <v>891</v>
      </c>
    </row>
    <row r="677" spans="1:2" x14ac:dyDescent="0.3">
      <c r="A677" s="4">
        <v>2015</v>
      </c>
      <c r="B677" s="3" t="s">
        <v>1446</v>
      </c>
    </row>
    <row r="678" spans="1:2" x14ac:dyDescent="0.3">
      <c r="A678" s="4">
        <v>2015</v>
      </c>
      <c r="B678" s="3" t="s">
        <v>873</v>
      </c>
    </row>
    <row r="679" spans="1:2" x14ac:dyDescent="0.3">
      <c r="A679" s="4">
        <v>2015</v>
      </c>
      <c r="B679" s="3" t="s">
        <v>1945</v>
      </c>
    </row>
    <row r="680" spans="1:2" x14ac:dyDescent="0.3">
      <c r="A680" s="4">
        <v>2015</v>
      </c>
      <c r="B680" s="3" t="s">
        <v>94</v>
      </c>
    </row>
    <row r="681" spans="1:2" x14ac:dyDescent="0.3">
      <c r="A681" s="4">
        <v>2015</v>
      </c>
      <c r="B681" s="3" t="s">
        <v>452</v>
      </c>
    </row>
    <row r="682" spans="1:2" x14ac:dyDescent="0.3">
      <c r="A682" s="4">
        <v>2015</v>
      </c>
      <c r="B682" s="3" t="s">
        <v>1946</v>
      </c>
    </row>
    <row r="683" spans="1:2" x14ac:dyDescent="0.3">
      <c r="A683" s="4">
        <v>2015</v>
      </c>
      <c r="B683" s="3" t="s">
        <v>1408</v>
      </c>
    </row>
    <row r="684" spans="1:2" x14ac:dyDescent="0.3">
      <c r="A684" s="4">
        <v>2015</v>
      </c>
      <c r="B684" s="3" t="s">
        <v>1251</v>
      </c>
    </row>
    <row r="685" spans="1:2" x14ac:dyDescent="0.3">
      <c r="A685" s="4">
        <v>2015</v>
      </c>
      <c r="B685" s="3" t="s">
        <v>545</v>
      </c>
    </row>
    <row r="686" spans="1:2" x14ac:dyDescent="0.3">
      <c r="A686" s="4">
        <v>2015</v>
      </c>
      <c r="B686" s="3" t="s">
        <v>915</v>
      </c>
    </row>
    <row r="687" spans="1:2" x14ac:dyDescent="0.3">
      <c r="A687" s="4">
        <v>2015</v>
      </c>
      <c r="B687" s="3" t="s">
        <v>587</v>
      </c>
    </row>
    <row r="688" spans="1:2" x14ac:dyDescent="0.3">
      <c r="A688" s="4">
        <v>2015</v>
      </c>
      <c r="B688" s="3" t="s">
        <v>1948</v>
      </c>
    </row>
    <row r="689" spans="1:2" x14ac:dyDescent="0.3">
      <c r="A689" s="4">
        <v>2015</v>
      </c>
      <c r="B689" s="3" t="s">
        <v>1951</v>
      </c>
    </row>
    <row r="690" spans="1:2" x14ac:dyDescent="0.3">
      <c r="A690" s="4">
        <v>2015</v>
      </c>
      <c r="B690" s="3" t="s">
        <v>1310</v>
      </c>
    </row>
    <row r="691" spans="1:2" x14ac:dyDescent="0.3">
      <c r="A691" s="4">
        <v>2015</v>
      </c>
      <c r="B691" s="3" t="s">
        <v>380</v>
      </c>
    </row>
    <row r="692" spans="1:2" x14ac:dyDescent="0.3">
      <c r="A692" s="4">
        <v>2015</v>
      </c>
      <c r="B692" s="3" t="s">
        <v>1332</v>
      </c>
    </row>
    <row r="693" spans="1:2" x14ac:dyDescent="0.3">
      <c r="A693" s="4">
        <v>2015</v>
      </c>
      <c r="B693" s="3" t="s">
        <v>1688</v>
      </c>
    </row>
    <row r="694" spans="1:2" x14ac:dyDescent="0.3">
      <c r="A694" s="4">
        <v>2015</v>
      </c>
      <c r="B694" s="3" t="s">
        <v>1957</v>
      </c>
    </row>
    <row r="695" spans="1:2" x14ac:dyDescent="0.3">
      <c r="A695" s="4">
        <v>2015</v>
      </c>
      <c r="B695" s="3" t="s">
        <v>1495</v>
      </c>
    </row>
    <row r="696" spans="1:2" x14ac:dyDescent="0.3">
      <c r="A696" s="4">
        <v>2015</v>
      </c>
      <c r="B696" s="3" t="s">
        <v>1051</v>
      </c>
    </row>
    <row r="697" spans="1:2" x14ac:dyDescent="0.3">
      <c r="A697" s="4">
        <v>2015</v>
      </c>
      <c r="B697" s="3" t="s">
        <v>907</v>
      </c>
    </row>
    <row r="698" spans="1:2" x14ac:dyDescent="0.3">
      <c r="A698" s="4">
        <v>2015</v>
      </c>
      <c r="B698" s="3" t="s">
        <v>1330</v>
      </c>
    </row>
    <row r="699" spans="1:2" x14ac:dyDescent="0.3">
      <c r="A699" s="4">
        <v>2015</v>
      </c>
      <c r="B699" s="3" t="s">
        <v>185</v>
      </c>
    </row>
    <row r="700" spans="1:2" x14ac:dyDescent="0.3">
      <c r="A700" s="4">
        <v>2015</v>
      </c>
      <c r="B700" s="3" t="s">
        <v>1962</v>
      </c>
    </row>
    <row r="701" spans="1:2" x14ac:dyDescent="0.3">
      <c r="A701" s="4">
        <v>2015</v>
      </c>
      <c r="B701" s="3" t="s">
        <v>1963</v>
      </c>
    </row>
    <row r="702" spans="1:2" x14ac:dyDescent="0.3">
      <c r="A702" s="4">
        <v>2015</v>
      </c>
      <c r="B702" s="3" t="s">
        <v>1652</v>
      </c>
    </row>
    <row r="703" spans="1:2" x14ac:dyDescent="0.3">
      <c r="A703" s="4">
        <v>2015</v>
      </c>
      <c r="B703" s="3" t="s">
        <v>778</v>
      </c>
    </row>
    <row r="704" spans="1:2" x14ac:dyDescent="0.3">
      <c r="A704" s="4">
        <v>2015</v>
      </c>
      <c r="B704" s="3" t="s">
        <v>1966</v>
      </c>
    </row>
    <row r="705" spans="1:2" x14ac:dyDescent="0.3">
      <c r="A705" s="4">
        <v>2015</v>
      </c>
      <c r="B705" s="3" t="s">
        <v>1968</v>
      </c>
    </row>
    <row r="706" spans="1:2" x14ac:dyDescent="0.3">
      <c r="A706" s="4">
        <v>2015</v>
      </c>
      <c r="B706" s="3" t="s">
        <v>465</v>
      </c>
    </row>
    <row r="707" spans="1:2" x14ac:dyDescent="0.3">
      <c r="A707" s="4">
        <v>2015</v>
      </c>
      <c r="B707" s="3" t="s">
        <v>1635</v>
      </c>
    </row>
    <row r="708" spans="1:2" x14ac:dyDescent="0.3">
      <c r="A708" s="4">
        <v>2015</v>
      </c>
      <c r="B708" s="3" t="s">
        <v>1971</v>
      </c>
    </row>
    <row r="709" spans="1:2" x14ac:dyDescent="0.3">
      <c r="A709" s="4">
        <v>2015</v>
      </c>
      <c r="B709" s="3" t="s">
        <v>1856</v>
      </c>
    </row>
    <row r="710" spans="1:2" x14ac:dyDescent="0.3">
      <c r="A710" s="4">
        <v>2015</v>
      </c>
      <c r="B710" s="3" t="s">
        <v>1373</v>
      </c>
    </row>
    <row r="711" spans="1:2" x14ac:dyDescent="0.3">
      <c r="A711" s="4">
        <v>2015</v>
      </c>
      <c r="B711" s="3" t="s">
        <v>1023</v>
      </c>
    </row>
    <row r="712" spans="1:2" x14ac:dyDescent="0.3">
      <c r="A712" s="4">
        <v>2015</v>
      </c>
      <c r="B712" s="3" t="s">
        <v>788</v>
      </c>
    </row>
    <row r="713" spans="1:2" x14ac:dyDescent="0.3">
      <c r="A713" s="4">
        <v>2015</v>
      </c>
      <c r="B713" s="3" t="s">
        <v>1438</v>
      </c>
    </row>
    <row r="714" spans="1:2" x14ac:dyDescent="0.3">
      <c r="A714" s="4">
        <v>2015</v>
      </c>
      <c r="B714" s="3" t="s">
        <v>910</v>
      </c>
    </row>
    <row r="715" spans="1:2" x14ac:dyDescent="0.3">
      <c r="A715" s="4">
        <v>2015</v>
      </c>
      <c r="B715" s="3" t="s">
        <v>1974</v>
      </c>
    </row>
    <row r="716" spans="1:2" x14ac:dyDescent="0.3">
      <c r="A716" s="4">
        <v>2015</v>
      </c>
      <c r="B716" s="3" t="s">
        <v>1744</v>
      </c>
    </row>
    <row r="717" spans="1:2" x14ac:dyDescent="0.3">
      <c r="A717" s="4">
        <v>2015</v>
      </c>
      <c r="B717" s="3" t="s">
        <v>1977</v>
      </c>
    </row>
    <row r="718" spans="1:2" x14ac:dyDescent="0.3">
      <c r="A718" s="4">
        <v>2015</v>
      </c>
      <c r="B718" s="3" t="s">
        <v>1104</v>
      </c>
    </row>
    <row r="719" spans="1:2" x14ac:dyDescent="0.3">
      <c r="A719" s="4">
        <v>2015</v>
      </c>
      <c r="B719" s="3" t="s">
        <v>738</v>
      </c>
    </row>
    <row r="720" spans="1:2" x14ac:dyDescent="0.3">
      <c r="A720" s="4">
        <v>2015</v>
      </c>
      <c r="B720" s="3" t="s">
        <v>1401</v>
      </c>
    </row>
    <row r="721" spans="1:2" x14ac:dyDescent="0.3">
      <c r="A721" s="4">
        <v>2015</v>
      </c>
      <c r="B721" s="3" t="s">
        <v>107</v>
      </c>
    </row>
    <row r="722" spans="1:2" x14ac:dyDescent="0.3">
      <c r="A722" s="4">
        <v>2015</v>
      </c>
      <c r="B722" s="3" t="s">
        <v>1633</v>
      </c>
    </row>
    <row r="723" spans="1:2" x14ac:dyDescent="0.3">
      <c r="A723" s="4">
        <v>2015</v>
      </c>
      <c r="B723" s="3" t="s">
        <v>280</v>
      </c>
    </row>
    <row r="724" spans="1:2" x14ac:dyDescent="0.3">
      <c r="A724" s="4">
        <v>2015</v>
      </c>
      <c r="B724" s="3" t="s">
        <v>681</v>
      </c>
    </row>
    <row r="725" spans="1:2" x14ac:dyDescent="0.3">
      <c r="A725" s="4">
        <v>2015</v>
      </c>
      <c r="B725" s="3" t="s">
        <v>1357</v>
      </c>
    </row>
    <row r="726" spans="1:2" x14ac:dyDescent="0.3">
      <c r="A726" s="4">
        <v>2015</v>
      </c>
      <c r="B726" s="3" t="s">
        <v>1426</v>
      </c>
    </row>
    <row r="727" spans="1:2" x14ac:dyDescent="0.3">
      <c r="A727" s="4">
        <v>2015</v>
      </c>
      <c r="B727" s="3" t="s">
        <v>289</v>
      </c>
    </row>
    <row r="728" spans="1:2" x14ac:dyDescent="0.3">
      <c r="A728" s="4">
        <v>2015</v>
      </c>
      <c r="B728" s="3" t="s">
        <v>307</v>
      </c>
    </row>
    <row r="729" spans="1:2" x14ac:dyDescent="0.3">
      <c r="A729" s="4">
        <v>2015</v>
      </c>
      <c r="B729" s="3" t="s">
        <v>1986</v>
      </c>
    </row>
    <row r="730" spans="1:2" x14ac:dyDescent="0.3">
      <c r="A730" s="4">
        <v>2015</v>
      </c>
      <c r="B730" s="3" t="s">
        <v>398</v>
      </c>
    </row>
    <row r="731" spans="1:2" x14ac:dyDescent="0.3">
      <c r="A731" s="4">
        <v>2015</v>
      </c>
      <c r="B731" s="3" t="s">
        <v>922</v>
      </c>
    </row>
    <row r="732" spans="1:2" x14ac:dyDescent="0.3">
      <c r="A732" s="4">
        <v>2015</v>
      </c>
      <c r="B732" s="3" t="s">
        <v>1991</v>
      </c>
    </row>
    <row r="733" spans="1:2" x14ac:dyDescent="0.3">
      <c r="A733" s="4">
        <v>2015</v>
      </c>
      <c r="B733" s="3" t="s">
        <v>1788</v>
      </c>
    </row>
    <row r="734" spans="1:2" x14ac:dyDescent="0.3">
      <c r="A734" s="4">
        <v>2015</v>
      </c>
      <c r="B734" s="3" t="s">
        <v>1994</v>
      </c>
    </row>
    <row r="735" spans="1:2" x14ac:dyDescent="0.3">
      <c r="A735" s="4">
        <v>2015</v>
      </c>
      <c r="B735" s="3" t="s">
        <v>417</v>
      </c>
    </row>
    <row r="736" spans="1:2" x14ac:dyDescent="0.3">
      <c r="A736" s="4">
        <v>2015</v>
      </c>
      <c r="B736" s="3" t="s">
        <v>1521</v>
      </c>
    </row>
    <row r="737" spans="1:2" x14ac:dyDescent="0.3">
      <c r="A737" s="4">
        <v>2015</v>
      </c>
      <c r="B737" s="3" t="s">
        <v>786</v>
      </c>
    </row>
    <row r="738" spans="1:2" x14ac:dyDescent="0.3">
      <c r="A738" s="4">
        <v>2015</v>
      </c>
      <c r="B738" s="3" t="s">
        <v>139</v>
      </c>
    </row>
    <row r="739" spans="1:2" x14ac:dyDescent="0.3">
      <c r="A739" s="4">
        <v>2015</v>
      </c>
      <c r="B739" s="3" t="s">
        <v>829</v>
      </c>
    </row>
    <row r="740" spans="1:2" x14ac:dyDescent="0.3">
      <c r="A740" s="4">
        <v>2015</v>
      </c>
      <c r="B740" s="3" t="s">
        <v>1371</v>
      </c>
    </row>
    <row r="741" spans="1:2" x14ac:dyDescent="0.3">
      <c r="A741" s="4">
        <v>2015</v>
      </c>
      <c r="B741" s="3" t="s">
        <v>935</v>
      </c>
    </row>
    <row r="742" spans="1:2" x14ac:dyDescent="0.3">
      <c r="A742" s="4">
        <v>2015</v>
      </c>
      <c r="B742" s="3" t="s">
        <v>618</v>
      </c>
    </row>
    <row r="743" spans="1:2" x14ac:dyDescent="0.3">
      <c r="A743" s="4">
        <v>2015</v>
      </c>
      <c r="B743" s="3" t="s">
        <v>1177</v>
      </c>
    </row>
    <row r="744" spans="1:2" x14ac:dyDescent="0.3">
      <c r="A744" s="4">
        <v>2015</v>
      </c>
      <c r="B744" s="3" t="s">
        <v>505</v>
      </c>
    </row>
    <row r="745" spans="1:2" x14ac:dyDescent="0.3">
      <c r="A745" s="4">
        <v>2015</v>
      </c>
      <c r="B745" s="3" t="s">
        <v>831</v>
      </c>
    </row>
    <row r="746" spans="1:2" x14ac:dyDescent="0.3">
      <c r="A746" s="4">
        <v>2015</v>
      </c>
      <c r="B746" s="3" t="s">
        <v>1485</v>
      </c>
    </row>
    <row r="747" spans="1:2" x14ac:dyDescent="0.3">
      <c r="A747" s="4">
        <v>2015</v>
      </c>
      <c r="B747" s="3" t="s">
        <v>1414</v>
      </c>
    </row>
    <row r="748" spans="1:2" x14ac:dyDescent="0.3">
      <c r="A748" s="4">
        <v>2015</v>
      </c>
      <c r="B748" s="3" t="s">
        <v>1494</v>
      </c>
    </row>
    <row r="749" spans="1:2" x14ac:dyDescent="0.3">
      <c r="A749" s="4">
        <v>2015</v>
      </c>
      <c r="B749" s="3" t="s">
        <v>509</v>
      </c>
    </row>
    <row r="750" spans="1:2" x14ac:dyDescent="0.3">
      <c r="A750" s="4">
        <v>2015</v>
      </c>
      <c r="B750" s="3" t="s">
        <v>1212</v>
      </c>
    </row>
    <row r="751" spans="1:2" x14ac:dyDescent="0.3">
      <c r="A751" s="4">
        <v>2015</v>
      </c>
      <c r="B751" s="3" t="s">
        <v>1705</v>
      </c>
    </row>
    <row r="752" spans="1:2" x14ac:dyDescent="0.3">
      <c r="A752" s="4">
        <v>2015</v>
      </c>
      <c r="B752" s="3" t="s">
        <v>2011</v>
      </c>
    </row>
    <row r="753" spans="1:2" x14ac:dyDescent="0.3">
      <c r="A753" s="4">
        <v>2015</v>
      </c>
      <c r="B753" s="3" t="s">
        <v>1459</v>
      </c>
    </row>
    <row r="754" spans="1:2" x14ac:dyDescent="0.3">
      <c r="A754" s="4">
        <v>2015</v>
      </c>
      <c r="B754" s="3" t="s">
        <v>2012</v>
      </c>
    </row>
    <row r="755" spans="1:2" x14ac:dyDescent="0.3">
      <c r="A755" s="4">
        <v>2015</v>
      </c>
      <c r="B755" s="3" t="s">
        <v>2013</v>
      </c>
    </row>
    <row r="756" spans="1:2" x14ac:dyDescent="0.3">
      <c r="A756" s="4">
        <v>2015</v>
      </c>
      <c r="B756" s="3" t="s">
        <v>1067</v>
      </c>
    </row>
    <row r="757" spans="1:2" x14ac:dyDescent="0.3">
      <c r="A757" s="4">
        <v>2015</v>
      </c>
      <c r="B757" s="3" t="s">
        <v>2017</v>
      </c>
    </row>
    <row r="758" spans="1:2" x14ac:dyDescent="0.3">
      <c r="A758" s="4">
        <v>2015</v>
      </c>
      <c r="B758" s="3" t="s">
        <v>1392</v>
      </c>
    </row>
    <row r="759" spans="1:2" x14ac:dyDescent="0.3">
      <c r="A759" s="4">
        <v>2015</v>
      </c>
      <c r="B759" s="3" t="s">
        <v>1758</v>
      </c>
    </row>
    <row r="760" spans="1:2" x14ac:dyDescent="0.3">
      <c r="A760" s="4">
        <v>2015</v>
      </c>
      <c r="B760" s="3" t="s">
        <v>2021</v>
      </c>
    </row>
    <row r="761" spans="1:2" x14ac:dyDescent="0.3">
      <c r="A761" s="4">
        <v>2015</v>
      </c>
      <c r="B761" s="3" t="s">
        <v>560</v>
      </c>
    </row>
    <row r="762" spans="1:2" x14ac:dyDescent="0.3">
      <c r="A762" s="4">
        <v>2015</v>
      </c>
      <c r="B762" s="3" t="s">
        <v>1277</v>
      </c>
    </row>
    <row r="763" spans="1:2" x14ac:dyDescent="0.3">
      <c r="A763" s="4">
        <v>2015</v>
      </c>
      <c r="B763" s="3" t="s">
        <v>1341</v>
      </c>
    </row>
    <row r="764" spans="1:2" x14ac:dyDescent="0.3">
      <c r="A764" s="4">
        <v>2015</v>
      </c>
      <c r="B764" s="3" t="s">
        <v>590</v>
      </c>
    </row>
    <row r="765" spans="1:2" x14ac:dyDescent="0.3">
      <c r="A765" s="4">
        <v>2015</v>
      </c>
      <c r="B765" s="3" t="s">
        <v>1555</v>
      </c>
    </row>
    <row r="766" spans="1:2" x14ac:dyDescent="0.3">
      <c r="A766" s="4">
        <v>2015</v>
      </c>
      <c r="B766" s="3" t="s">
        <v>680</v>
      </c>
    </row>
    <row r="767" spans="1:2" x14ac:dyDescent="0.3">
      <c r="A767" s="4">
        <v>2015</v>
      </c>
      <c r="B767" s="3" t="s">
        <v>1288</v>
      </c>
    </row>
    <row r="768" spans="1:2" x14ac:dyDescent="0.3">
      <c r="A768" s="4">
        <v>2015</v>
      </c>
      <c r="B768" s="3" t="s">
        <v>9</v>
      </c>
    </row>
    <row r="769" spans="1:2" x14ac:dyDescent="0.3">
      <c r="A769" s="4">
        <v>2015</v>
      </c>
      <c r="B769" s="3" t="s">
        <v>1412</v>
      </c>
    </row>
    <row r="770" spans="1:2" x14ac:dyDescent="0.3">
      <c r="A770" s="4">
        <v>2015</v>
      </c>
      <c r="B770" s="3" t="s">
        <v>1076</v>
      </c>
    </row>
    <row r="771" spans="1:2" x14ac:dyDescent="0.3">
      <c r="A771" s="4">
        <v>2015</v>
      </c>
      <c r="B771" s="3" t="s">
        <v>1143</v>
      </c>
    </row>
    <row r="772" spans="1:2" x14ac:dyDescent="0.3">
      <c r="A772" s="4">
        <v>2015</v>
      </c>
      <c r="B772" s="3" t="s">
        <v>607</v>
      </c>
    </row>
    <row r="773" spans="1:2" x14ac:dyDescent="0.3">
      <c r="A773" s="4">
        <v>2015</v>
      </c>
      <c r="B773" s="3" t="s">
        <v>2033</v>
      </c>
    </row>
    <row r="774" spans="1:2" x14ac:dyDescent="0.3">
      <c r="A774" s="4">
        <v>2015</v>
      </c>
      <c r="B774" s="3" t="s">
        <v>635</v>
      </c>
    </row>
    <row r="775" spans="1:2" x14ac:dyDescent="0.3">
      <c r="A775" s="4">
        <v>2015</v>
      </c>
      <c r="B775" s="3" t="s">
        <v>1335</v>
      </c>
    </row>
    <row r="776" spans="1:2" x14ac:dyDescent="0.3">
      <c r="A776" s="4">
        <v>2015</v>
      </c>
      <c r="B776" s="3" t="s">
        <v>2037</v>
      </c>
    </row>
    <row r="777" spans="1:2" x14ac:dyDescent="0.3">
      <c r="A777" s="4">
        <v>2015</v>
      </c>
      <c r="B777" s="3" t="s">
        <v>2039</v>
      </c>
    </row>
    <row r="778" spans="1:2" x14ac:dyDescent="0.3">
      <c r="A778" s="4">
        <v>2015</v>
      </c>
      <c r="B778" s="3" t="s">
        <v>325</v>
      </c>
    </row>
    <row r="779" spans="1:2" x14ac:dyDescent="0.3">
      <c r="A779" s="4">
        <v>2015</v>
      </c>
      <c r="B779" s="3" t="s">
        <v>167</v>
      </c>
    </row>
    <row r="780" spans="1:2" x14ac:dyDescent="0.3">
      <c r="A780" s="4">
        <v>2015</v>
      </c>
      <c r="B780" s="3" t="s">
        <v>249</v>
      </c>
    </row>
    <row r="781" spans="1:2" x14ac:dyDescent="0.3">
      <c r="A781" s="4">
        <v>2015</v>
      </c>
      <c r="B781" s="3" t="s">
        <v>2042</v>
      </c>
    </row>
    <row r="782" spans="1:2" x14ac:dyDescent="0.3">
      <c r="A782" s="4">
        <v>2015</v>
      </c>
      <c r="B782" s="3" t="s">
        <v>857</v>
      </c>
    </row>
    <row r="783" spans="1:2" x14ac:dyDescent="0.3">
      <c r="A783" s="4">
        <v>2015</v>
      </c>
      <c r="B783" s="3" t="s">
        <v>218</v>
      </c>
    </row>
    <row r="784" spans="1:2" x14ac:dyDescent="0.3">
      <c r="A784" s="4">
        <v>2015</v>
      </c>
      <c r="B784" s="3" t="s">
        <v>709</v>
      </c>
    </row>
    <row r="785" spans="1:2" x14ac:dyDescent="0.3">
      <c r="A785" s="4">
        <v>2015</v>
      </c>
      <c r="B785" s="3" t="s">
        <v>1676</v>
      </c>
    </row>
    <row r="786" spans="1:2" x14ac:dyDescent="0.3">
      <c r="A786" s="4">
        <v>2015</v>
      </c>
      <c r="B786" s="3" t="s">
        <v>889</v>
      </c>
    </row>
    <row r="787" spans="1:2" x14ac:dyDescent="0.3">
      <c r="A787" s="4">
        <v>2015</v>
      </c>
      <c r="B787" s="3" t="s">
        <v>131</v>
      </c>
    </row>
    <row r="788" spans="1:2" x14ac:dyDescent="0.3">
      <c r="A788" s="4">
        <v>2015</v>
      </c>
      <c r="B788" s="3" t="s">
        <v>533</v>
      </c>
    </row>
    <row r="789" spans="1:2" x14ac:dyDescent="0.3">
      <c r="A789" s="4">
        <v>2015</v>
      </c>
      <c r="B789" s="3" t="s">
        <v>552</v>
      </c>
    </row>
    <row r="790" spans="1:2" x14ac:dyDescent="0.3">
      <c r="A790" s="4">
        <v>2015</v>
      </c>
      <c r="B790" s="3" t="s">
        <v>2048</v>
      </c>
    </row>
    <row r="791" spans="1:2" x14ac:dyDescent="0.3">
      <c r="A791" s="4">
        <v>2015</v>
      </c>
      <c r="B791" s="3" t="s">
        <v>1295</v>
      </c>
    </row>
    <row r="792" spans="1:2" x14ac:dyDescent="0.3">
      <c r="A792" s="4">
        <v>2015</v>
      </c>
      <c r="B792" s="3" t="s">
        <v>2053</v>
      </c>
    </row>
    <row r="793" spans="1:2" x14ac:dyDescent="0.3">
      <c r="A793" s="4">
        <v>2015</v>
      </c>
      <c r="B793" s="3" t="s">
        <v>1546</v>
      </c>
    </row>
    <row r="794" spans="1:2" x14ac:dyDescent="0.3">
      <c r="A794" s="4">
        <v>2015</v>
      </c>
      <c r="B794" s="3" t="s">
        <v>1519</v>
      </c>
    </row>
    <row r="795" spans="1:2" x14ac:dyDescent="0.3">
      <c r="A795" s="4">
        <v>2015</v>
      </c>
      <c r="B795" s="3" t="s">
        <v>2057</v>
      </c>
    </row>
    <row r="796" spans="1:2" x14ac:dyDescent="0.3">
      <c r="A796" s="4">
        <v>2015</v>
      </c>
      <c r="B796" s="3" t="s">
        <v>523</v>
      </c>
    </row>
    <row r="797" spans="1:2" x14ac:dyDescent="0.3">
      <c r="A797" s="4">
        <v>2015</v>
      </c>
      <c r="B797" s="3" t="s">
        <v>2060</v>
      </c>
    </row>
    <row r="798" spans="1:2" x14ac:dyDescent="0.3">
      <c r="A798" s="4">
        <v>2015</v>
      </c>
      <c r="B798" s="3" t="s">
        <v>1478</v>
      </c>
    </row>
    <row r="799" spans="1:2" x14ac:dyDescent="0.3">
      <c r="A799" s="4">
        <v>2015</v>
      </c>
      <c r="B799" s="3" t="s">
        <v>593</v>
      </c>
    </row>
    <row r="800" spans="1:2" x14ac:dyDescent="0.3">
      <c r="A800" s="4">
        <v>2015</v>
      </c>
      <c r="B800" s="3" t="s">
        <v>443</v>
      </c>
    </row>
    <row r="801" spans="1:2" x14ac:dyDescent="0.3">
      <c r="A801" s="4">
        <v>2015</v>
      </c>
      <c r="B801" s="3" t="s">
        <v>2064</v>
      </c>
    </row>
    <row r="802" spans="1:2" x14ac:dyDescent="0.3">
      <c r="A802" s="4">
        <v>2015</v>
      </c>
      <c r="B802" s="3" t="s">
        <v>2065</v>
      </c>
    </row>
    <row r="803" spans="1:2" x14ac:dyDescent="0.3">
      <c r="A803" s="4">
        <v>2015</v>
      </c>
      <c r="B803" s="3" t="s">
        <v>1271</v>
      </c>
    </row>
    <row r="804" spans="1:2" x14ac:dyDescent="0.3">
      <c r="A804" s="4">
        <v>2015</v>
      </c>
      <c r="B804" s="3" t="s">
        <v>1267</v>
      </c>
    </row>
    <row r="805" spans="1:2" x14ac:dyDescent="0.3">
      <c r="A805" s="4">
        <v>2015</v>
      </c>
      <c r="B805" s="3" t="s">
        <v>1003</v>
      </c>
    </row>
    <row r="806" spans="1:2" x14ac:dyDescent="0.3">
      <c r="A806" s="4">
        <v>2015</v>
      </c>
      <c r="B806" s="3" t="s">
        <v>848</v>
      </c>
    </row>
    <row r="807" spans="1:2" x14ac:dyDescent="0.3">
      <c r="A807" s="4">
        <v>2015</v>
      </c>
      <c r="B807" s="3" t="s">
        <v>945</v>
      </c>
    </row>
    <row r="808" spans="1:2" x14ac:dyDescent="0.3">
      <c r="A808" s="4">
        <v>2015</v>
      </c>
      <c r="B808" s="3" t="s">
        <v>392</v>
      </c>
    </row>
    <row r="809" spans="1:2" x14ac:dyDescent="0.3">
      <c r="A809" s="4">
        <v>2015</v>
      </c>
      <c r="B809" s="3" t="s">
        <v>1200</v>
      </c>
    </row>
    <row r="810" spans="1:2" x14ac:dyDescent="0.3">
      <c r="A810" s="4">
        <v>2015</v>
      </c>
      <c r="B810" s="3" t="s">
        <v>2071</v>
      </c>
    </row>
    <row r="811" spans="1:2" x14ac:dyDescent="0.3">
      <c r="A811" s="4">
        <v>2015</v>
      </c>
      <c r="B811" s="3" t="s">
        <v>742</v>
      </c>
    </row>
    <row r="812" spans="1:2" x14ac:dyDescent="0.3">
      <c r="A812" s="4">
        <v>2015</v>
      </c>
      <c r="B812" s="3" t="s">
        <v>530</v>
      </c>
    </row>
    <row r="813" spans="1:2" x14ac:dyDescent="0.3">
      <c r="A813" s="4">
        <v>2015</v>
      </c>
      <c r="B813" s="3" t="s">
        <v>1467</v>
      </c>
    </row>
    <row r="814" spans="1:2" x14ac:dyDescent="0.3">
      <c r="A814" s="4">
        <v>2015</v>
      </c>
      <c r="B814" s="3" t="s">
        <v>456</v>
      </c>
    </row>
    <row r="815" spans="1:2" x14ac:dyDescent="0.3">
      <c r="A815" s="4">
        <v>2015</v>
      </c>
      <c r="B815" s="3" t="s">
        <v>1289</v>
      </c>
    </row>
    <row r="816" spans="1:2" x14ac:dyDescent="0.3">
      <c r="A816" s="4">
        <v>2015</v>
      </c>
      <c r="B816" s="3" t="s">
        <v>859</v>
      </c>
    </row>
    <row r="817" spans="1:2" x14ac:dyDescent="0.3">
      <c r="A817" s="4">
        <v>2015</v>
      </c>
      <c r="B817" s="3" t="s">
        <v>54</v>
      </c>
    </row>
    <row r="818" spans="1:2" x14ac:dyDescent="0.3">
      <c r="A818" s="4">
        <v>2015</v>
      </c>
      <c r="B818" s="3" t="s">
        <v>989</v>
      </c>
    </row>
    <row r="819" spans="1:2" x14ac:dyDescent="0.3">
      <c r="A819" s="4">
        <v>2015</v>
      </c>
      <c r="B819" s="3" t="s">
        <v>1343</v>
      </c>
    </row>
    <row r="820" spans="1:2" x14ac:dyDescent="0.3">
      <c r="A820" s="4">
        <v>2015</v>
      </c>
      <c r="B820" s="3" t="s">
        <v>1287</v>
      </c>
    </row>
    <row r="821" spans="1:2" x14ac:dyDescent="0.3">
      <c r="A821" s="4">
        <v>2015</v>
      </c>
      <c r="B821" s="3" t="s">
        <v>622</v>
      </c>
    </row>
    <row r="822" spans="1:2" x14ac:dyDescent="0.3">
      <c r="A822" s="4">
        <v>2015</v>
      </c>
      <c r="B822" s="3" t="s">
        <v>357</v>
      </c>
    </row>
    <row r="823" spans="1:2" x14ac:dyDescent="0.3">
      <c r="A823" s="4">
        <v>2015</v>
      </c>
      <c r="B823" s="3" t="s">
        <v>180</v>
      </c>
    </row>
    <row r="824" spans="1:2" x14ac:dyDescent="0.3">
      <c r="A824" s="4">
        <v>2015</v>
      </c>
      <c r="B824" s="3" t="s">
        <v>46</v>
      </c>
    </row>
    <row r="825" spans="1:2" x14ac:dyDescent="0.3">
      <c r="A825" s="4">
        <v>2015</v>
      </c>
      <c r="B825" s="3" t="s">
        <v>2079</v>
      </c>
    </row>
    <row r="826" spans="1:2" x14ac:dyDescent="0.3">
      <c r="A826" s="4">
        <v>2015</v>
      </c>
      <c r="B826" s="3" t="s">
        <v>268</v>
      </c>
    </row>
    <row r="827" spans="1:2" x14ac:dyDescent="0.3">
      <c r="A827" s="4">
        <v>2015</v>
      </c>
      <c r="B827" s="3" t="s">
        <v>1776</v>
      </c>
    </row>
    <row r="828" spans="1:2" x14ac:dyDescent="0.3">
      <c r="A828" s="4">
        <v>2015</v>
      </c>
      <c r="B828" s="3" t="s">
        <v>119</v>
      </c>
    </row>
    <row r="829" spans="1:2" x14ac:dyDescent="0.3">
      <c r="A829" s="4">
        <v>2015</v>
      </c>
      <c r="B829" s="3" t="s">
        <v>820</v>
      </c>
    </row>
    <row r="830" spans="1:2" x14ac:dyDescent="0.3">
      <c r="A830" s="4">
        <v>2015</v>
      </c>
      <c r="B830" s="3" t="s">
        <v>2083</v>
      </c>
    </row>
    <row r="831" spans="1:2" x14ac:dyDescent="0.3">
      <c r="A831" s="4">
        <v>2015</v>
      </c>
      <c r="B831" s="3" t="s">
        <v>902</v>
      </c>
    </row>
    <row r="832" spans="1:2" x14ac:dyDescent="0.3">
      <c r="A832" s="4">
        <v>2015</v>
      </c>
      <c r="B832" s="3" t="s">
        <v>1077</v>
      </c>
    </row>
    <row r="833" spans="1:2" x14ac:dyDescent="0.3">
      <c r="A833" s="4">
        <v>2015</v>
      </c>
      <c r="B833" s="3" t="s">
        <v>1214</v>
      </c>
    </row>
    <row r="834" spans="1:2" x14ac:dyDescent="0.3">
      <c r="A834" s="4">
        <v>2015</v>
      </c>
      <c r="B834" s="3" t="s">
        <v>1793</v>
      </c>
    </row>
    <row r="835" spans="1:2" x14ac:dyDescent="0.3">
      <c r="A835" s="4">
        <v>2015</v>
      </c>
      <c r="B835" s="3" t="s">
        <v>2088</v>
      </c>
    </row>
    <row r="836" spans="1:2" x14ac:dyDescent="0.3">
      <c r="A836" s="4">
        <v>2015</v>
      </c>
      <c r="B836" s="3" t="s">
        <v>2091</v>
      </c>
    </row>
    <row r="837" spans="1:2" x14ac:dyDescent="0.3">
      <c r="A837" s="4">
        <v>2015</v>
      </c>
      <c r="B837" s="3" t="s">
        <v>536</v>
      </c>
    </row>
    <row r="838" spans="1:2" x14ac:dyDescent="0.3">
      <c r="A838" s="4">
        <v>2015</v>
      </c>
      <c r="B838" s="3" t="s">
        <v>343</v>
      </c>
    </row>
    <row r="839" spans="1:2" x14ac:dyDescent="0.3">
      <c r="A839" s="4">
        <v>2015</v>
      </c>
      <c r="B839" s="3" t="s">
        <v>217</v>
      </c>
    </row>
    <row r="840" spans="1:2" x14ac:dyDescent="0.3">
      <c r="A840" s="4">
        <v>2015</v>
      </c>
      <c r="B840" s="3" t="s">
        <v>2094</v>
      </c>
    </row>
    <row r="841" spans="1:2" x14ac:dyDescent="0.3">
      <c r="A841" s="4">
        <v>2015</v>
      </c>
      <c r="B841" s="3" t="s">
        <v>2095</v>
      </c>
    </row>
    <row r="842" spans="1:2" x14ac:dyDescent="0.3">
      <c r="A842" s="4">
        <v>2015</v>
      </c>
      <c r="B842" s="3" t="s">
        <v>1167</v>
      </c>
    </row>
    <row r="843" spans="1:2" x14ac:dyDescent="0.3">
      <c r="A843" s="4">
        <v>2015</v>
      </c>
      <c r="B843" s="3" t="s">
        <v>445</v>
      </c>
    </row>
    <row r="844" spans="1:2" x14ac:dyDescent="0.3">
      <c r="A844" s="4">
        <v>2015</v>
      </c>
      <c r="B844" s="3" t="s">
        <v>244</v>
      </c>
    </row>
    <row r="845" spans="1:2" x14ac:dyDescent="0.3">
      <c r="A845" s="4">
        <v>2015</v>
      </c>
      <c r="B845" s="3" t="s">
        <v>2100</v>
      </c>
    </row>
    <row r="846" spans="1:2" x14ac:dyDescent="0.3">
      <c r="A846" s="4">
        <v>2015</v>
      </c>
      <c r="B846" s="3" t="s">
        <v>1557</v>
      </c>
    </row>
    <row r="847" spans="1:2" x14ac:dyDescent="0.3">
      <c r="A847" s="4">
        <v>2015</v>
      </c>
      <c r="B847" s="3" t="s">
        <v>2101</v>
      </c>
    </row>
    <row r="848" spans="1:2" x14ac:dyDescent="0.3">
      <c r="A848" s="4">
        <v>2015</v>
      </c>
      <c r="B848" s="3" t="s">
        <v>2103</v>
      </c>
    </row>
    <row r="849" spans="1:2" x14ac:dyDescent="0.3">
      <c r="A849" s="4">
        <v>2015</v>
      </c>
      <c r="B849" s="3" t="s">
        <v>2104</v>
      </c>
    </row>
    <row r="850" spans="1:2" x14ac:dyDescent="0.3">
      <c r="A850" s="4">
        <v>2015</v>
      </c>
      <c r="B850" s="3" t="s">
        <v>661</v>
      </c>
    </row>
    <row r="851" spans="1:2" x14ac:dyDescent="0.3">
      <c r="A851" s="4">
        <v>2015</v>
      </c>
      <c r="B851" s="3" t="s">
        <v>1842</v>
      </c>
    </row>
    <row r="852" spans="1:2" x14ac:dyDescent="0.3">
      <c r="A852" s="4">
        <v>2015</v>
      </c>
      <c r="B852" s="3" t="s">
        <v>1312</v>
      </c>
    </row>
    <row r="853" spans="1:2" x14ac:dyDescent="0.3">
      <c r="A853" s="4">
        <v>2015</v>
      </c>
      <c r="B853" s="3" t="s">
        <v>429</v>
      </c>
    </row>
    <row r="854" spans="1:2" x14ac:dyDescent="0.3">
      <c r="A854" s="4">
        <v>2015</v>
      </c>
      <c r="B854" s="3" t="s">
        <v>2107</v>
      </c>
    </row>
    <row r="855" spans="1:2" x14ac:dyDescent="0.3">
      <c r="A855" s="4">
        <v>2015</v>
      </c>
      <c r="B855" s="3" t="s">
        <v>72</v>
      </c>
    </row>
    <row r="856" spans="1:2" x14ac:dyDescent="0.3">
      <c r="A856" s="3"/>
    </row>
    <row r="857" spans="1:2" x14ac:dyDescent="0.3">
      <c r="A857" s="3"/>
    </row>
    <row r="858" spans="1:2" x14ac:dyDescent="0.3">
      <c r="A858" s="3"/>
    </row>
    <row r="859" spans="1:2" x14ac:dyDescent="0.3">
      <c r="A859" s="3"/>
    </row>
    <row r="860" spans="1:2" x14ac:dyDescent="0.3">
      <c r="A860" s="3"/>
    </row>
    <row r="861" spans="1:2" x14ac:dyDescent="0.3">
      <c r="A861" s="3"/>
    </row>
    <row r="862" spans="1:2" x14ac:dyDescent="0.3">
      <c r="A862" s="3"/>
    </row>
    <row r="863" spans="1:2" x14ac:dyDescent="0.3">
      <c r="A863" s="3"/>
    </row>
    <row r="864" spans="1:2" x14ac:dyDescent="0.3">
      <c r="A864" s="3"/>
    </row>
    <row r="865" s="3" customFormat="1" x14ac:dyDescent="0.3"/>
    <row r="866" s="3" customFormat="1" x14ac:dyDescent="0.3"/>
    <row r="867" s="3" customFormat="1" x14ac:dyDescent="0.3"/>
    <row r="868" s="3" customFormat="1" x14ac:dyDescent="0.3"/>
    <row r="869" s="3" customFormat="1" x14ac:dyDescent="0.3"/>
    <row r="870" s="3" customFormat="1" x14ac:dyDescent="0.3"/>
    <row r="871" s="3" customFormat="1" x14ac:dyDescent="0.3"/>
    <row r="872" s="3" customFormat="1" x14ac:dyDescent="0.3"/>
    <row r="873" s="3" customFormat="1" x14ac:dyDescent="0.3"/>
    <row r="874" s="3" customFormat="1" x14ac:dyDescent="0.3"/>
    <row r="875" s="3" customFormat="1" x14ac:dyDescent="0.3"/>
    <row r="876" s="3" customFormat="1" x14ac:dyDescent="0.3"/>
    <row r="877" s="3" customFormat="1" x14ac:dyDescent="0.3"/>
    <row r="878" s="3" customFormat="1" x14ac:dyDescent="0.3"/>
    <row r="879" s="3" customFormat="1" x14ac:dyDescent="0.3"/>
    <row r="880" s="3" customFormat="1" x14ac:dyDescent="0.3"/>
    <row r="881" s="3" customFormat="1" x14ac:dyDescent="0.3"/>
    <row r="882" s="3" customFormat="1" x14ac:dyDescent="0.3"/>
    <row r="883" s="3" customFormat="1" x14ac:dyDescent="0.3"/>
    <row r="884" s="3" customFormat="1" x14ac:dyDescent="0.3"/>
    <row r="885" s="3" customFormat="1" x14ac:dyDescent="0.3"/>
    <row r="886" s="3" customFormat="1" x14ac:dyDescent="0.3"/>
    <row r="887" s="3" customFormat="1" x14ac:dyDescent="0.3"/>
    <row r="888" s="3" customFormat="1" x14ac:dyDescent="0.3"/>
    <row r="889" s="3" customFormat="1" x14ac:dyDescent="0.3"/>
    <row r="890" s="3" customFormat="1" x14ac:dyDescent="0.3"/>
    <row r="891" s="3" customFormat="1" x14ac:dyDescent="0.3"/>
    <row r="892" s="3" customFormat="1" x14ac:dyDescent="0.3"/>
    <row r="893" s="3" customFormat="1" x14ac:dyDescent="0.3"/>
    <row r="894" s="3" customFormat="1" x14ac:dyDescent="0.3"/>
    <row r="895" s="3" customFormat="1" x14ac:dyDescent="0.3"/>
    <row r="896" s="3" customFormat="1" x14ac:dyDescent="0.3"/>
    <row r="897" s="3" customFormat="1" x14ac:dyDescent="0.3"/>
    <row r="898" s="3" customFormat="1" x14ac:dyDescent="0.3"/>
    <row r="899" s="3" customFormat="1" x14ac:dyDescent="0.3"/>
    <row r="900" s="3" customFormat="1" x14ac:dyDescent="0.3"/>
    <row r="901" s="3" customFormat="1" x14ac:dyDescent="0.3"/>
    <row r="902" s="3" customFormat="1" x14ac:dyDescent="0.3"/>
    <row r="903" s="3" customFormat="1" x14ac:dyDescent="0.3"/>
    <row r="904" s="3" customFormat="1" x14ac:dyDescent="0.3"/>
    <row r="905" s="3" customFormat="1" x14ac:dyDescent="0.3"/>
    <row r="906" s="3" customFormat="1" x14ac:dyDescent="0.3"/>
    <row r="907" s="3" customFormat="1" x14ac:dyDescent="0.3"/>
    <row r="908" s="3" customFormat="1" x14ac:dyDescent="0.3"/>
    <row r="909" s="3" customFormat="1" x14ac:dyDescent="0.3"/>
    <row r="910" s="3" customFormat="1" x14ac:dyDescent="0.3"/>
    <row r="911" s="3" customFormat="1" x14ac:dyDescent="0.3"/>
    <row r="912" s="3" customFormat="1" x14ac:dyDescent="0.3"/>
    <row r="913" s="3" customFormat="1" x14ac:dyDescent="0.3"/>
    <row r="914" s="3" customFormat="1" x14ac:dyDescent="0.3"/>
    <row r="915" s="3" customFormat="1" x14ac:dyDescent="0.3"/>
    <row r="916" s="3" customFormat="1" x14ac:dyDescent="0.3"/>
    <row r="917" s="3" customFormat="1" x14ac:dyDescent="0.3"/>
    <row r="918" s="3" customFormat="1" x14ac:dyDescent="0.3"/>
    <row r="919" s="3" customFormat="1" x14ac:dyDescent="0.3"/>
    <row r="920" s="3" customFormat="1" x14ac:dyDescent="0.3"/>
    <row r="921" s="3" customFormat="1" x14ac:dyDescent="0.3"/>
    <row r="922" s="3" customFormat="1" x14ac:dyDescent="0.3"/>
    <row r="923" s="3" customFormat="1" x14ac:dyDescent="0.3"/>
    <row r="924" s="3" customFormat="1" x14ac:dyDescent="0.3"/>
    <row r="925" s="3" customFormat="1" x14ac:dyDescent="0.3"/>
    <row r="926" s="3" customFormat="1" x14ac:dyDescent="0.3"/>
    <row r="927" s="3" customFormat="1" x14ac:dyDescent="0.3"/>
    <row r="928" s="3" customFormat="1" x14ac:dyDescent="0.3"/>
    <row r="929" s="3" customFormat="1" x14ac:dyDescent="0.3"/>
    <row r="930" s="3" customFormat="1" x14ac:dyDescent="0.3"/>
    <row r="931" s="3" customFormat="1" x14ac:dyDescent="0.3"/>
    <row r="932" s="3" customFormat="1" x14ac:dyDescent="0.3"/>
    <row r="933" s="3" customFormat="1" x14ac:dyDescent="0.3"/>
    <row r="934" s="3" customFormat="1" x14ac:dyDescent="0.3"/>
    <row r="935" s="3" customFormat="1" x14ac:dyDescent="0.3"/>
    <row r="936" s="3" customFormat="1" x14ac:dyDescent="0.3"/>
    <row r="937" s="3" customFormat="1" x14ac:dyDescent="0.3"/>
    <row r="938" s="3" customFormat="1" x14ac:dyDescent="0.3"/>
    <row r="939" s="3" customFormat="1" x14ac:dyDescent="0.3"/>
    <row r="940" s="3" customFormat="1" x14ac:dyDescent="0.3"/>
    <row r="941" s="3" customFormat="1" x14ac:dyDescent="0.3"/>
    <row r="942" s="3" customFormat="1" x14ac:dyDescent="0.3"/>
    <row r="943" s="3" customFormat="1" x14ac:dyDescent="0.3"/>
    <row r="944" s="3" customFormat="1" x14ac:dyDescent="0.3"/>
    <row r="945" s="3" customFormat="1" x14ac:dyDescent="0.3"/>
    <row r="946" s="3" customFormat="1" x14ac:dyDescent="0.3"/>
    <row r="947" s="3" customFormat="1" x14ac:dyDescent="0.3"/>
    <row r="948" s="3" customFormat="1" x14ac:dyDescent="0.3"/>
    <row r="949" s="3" customFormat="1" x14ac:dyDescent="0.3"/>
    <row r="950" s="3" customFormat="1" x14ac:dyDescent="0.3"/>
    <row r="951" s="3" customFormat="1" x14ac:dyDescent="0.3"/>
    <row r="952" s="3" customFormat="1" x14ac:dyDescent="0.3"/>
    <row r="953" s="3" customFormat="1" x14ac:dyDescent="0.3"/>
    <row r="954" s="3" customFormat="1" x14ac:dyDescent="0.3"/>
    <row r="955" s="3" customFormat="1" x14ac:dyDescent="0.3"/>
    <row r="956" s="3" customFormat="1" x14ac:dyDescent="0.3"/>
    <row r="957" s="3" customFormat="1" x14ac:dyDescent="0.3"/>
    <row r="958" s="3" customFormat="1" x14ac:dyDescent="0.3"/>
    <row r="959" s="3" customFormat="1" x14ac:dyDescent="0.3"/>
    <row r="960" s="3" customFormat="1" x14ac:dyDescent="0.3"/>
    <row r="961" s="3" customFormat="1" x14ac:dyDescent="0.3"/>
    <row r="962" s="3" customFormat="1" x14ac:dyDescent="0.3"/>
    <row r="963" s="3" customFormat="1" x14ac:dyDescent="0.3"/>
    <row r="964" s="3" customFormat="1" x14ac:dyDescent="0.3"/>
    <row r="965" s="3" customFormat="1" x14ac:dyDescent="0.3"/>
    <row r="966" s="3" customFormat="1" x14ac:dyDescent="0.3"/>
    <row r="967" s="3" customFormat="1" x14ac:dyDescent="0.3"/>
    <row r="968" s="3" customFormat="1" x14ac:dyDescent="0.3"/>
    <row r="969" s="3" customFormat="1" x14ac:dyDescent="0.3"/>
    <row r="970" s="3" customFormat="1" x14ac:dyDescent="0.3"/>
    <row r="971" s="3" customFormat="1" x14ac:dyDescent="0.3"/>
    <row r="972" s="3" customFormat="1" x14ac:dyDescent="0.3"/>
    <row r="973" s="3" customFormat="1" x14ac:dyDescent="0.3"/>
    <row r="974" s="3" customFormat="1" x14ac:dyDescent="0.3"/>
    <row r="975" s="3" customFormat="1" x14ac:dyDescent="0.3"/>
    <row r="976" s="3" customFormat="1" x14ac:dyDescent="0.3"/>
    <row r="977" s="3" customFormat="1" x14ac:dyDescent="0.3"/>
    <row r="978" s="3" customFormat="1" x14ac:dyDescent="0.3"/>
    <row r="979" s="3" customFormat="1" x14ac:dyDescent="0.3"/>
    <row r="980" s="3" customFormat="1" x14ac:dyDescent="0.3"/>
    <row r="981" s="3" customFormat="1" x14ac:dyDescent="0.3"/>
    <row r="982" s="3" customFormat="1" x14ac:dyDescent="0.3"/>
    <row r="983" s="3" customFormat="1" x14ac:dyDescent="0.3"/>
    <row r="984" s="3" customFormat="1" x14ac:dyDescent="0.3"/>
    <row r="985" s="3" customFormat="1" x14ac:dyDescent="0.3"/>
    <row r="986" s="3" customFormat="1" x14ac:dyDescent="0.3"/>
    <row r="987" s="3" customFormat="1" x14ac:dyDescent="0.3"/>
    <row r="988" s="3" customFormat="1" x14ac:dyDescent="0.3"/>
    <row r="989" s="3" customFormat="1" x14ac:dyDescent="0.3"/>
    <row r="990" s="3" customFormat="1" x14ac:dyDescent="0.3"/>
    <row r="991" s="3" customFormat="1" x14ac:dyDescent="0.3"/>
    <row r="992" s="3" customFormat="1" x14ac:dyDescent="0.3"/>
    <row r="993" s="3" customFormat="1" x14ac:dyDescent="0.3"/>
    <row r="994" s="3" customFormat="1" x14ac:dyDescent="0.3"/>
    <row r="995" s="3" customFormat="1" x14ac:dyDescent="0.3"/>
    <row r="996" s="3" customFormat="1" x14ac:dyDescent="0.3"/>
    <row r="997" s="3" customFormat="1" x14ac:dyDescent="0.3"/>
    <row r="998" s="3" customFormat="1" x14ac:dyDescent="0.3"/>
    <row r="999" s="3" customFormat="1" x14ac:dyDescent="0.3"/>
    <row r="1000" s="3" customFormat="1" x14ac:dyDescent="0.3"/>
    <row r="1001" s="3" customFormat="1" x14ac:dyDescent="0.3"/>
    <row r="1002" s="3" customFormat="1" x14ac:dyDescent="0.3"/>
    <row r="1003" s="3" customFormat="1" x14ac:dyDescent="0.3"/>
    <row r="1004" s="3" customFormat="1" x14ac:dyDescent="0.3"/>
    <row r="1005" s="3" customFormat="1" x14ac:dyDescent="0.3"/>
    <row r="1006" s="3" customFormat="1" x14ac:dyDescent="0.3"/>
    <row r="1007" s="3" customFormat="1" x14ac:dyDescent="0.3"/>
    <row r="1008" s="3" customFormat="1" x14ac:dyDescent="0.3"/>
    <row r="1009" s="3" customFormat="1" x14ac:dyDescent="0.3"/>
    <row r="1010" s="3" customFormat="1" x14ac:dyDescent="0.3"/>
    <row r="1011" s="3" customFormat="1" x14ac:dyDescent="0.3"/>
    <row r="1012" s="3" customFormat="1" x14ac:dyDescent="0.3"/>
    <row r="1013" s="3" customFormat="1" x14ac:dyDescent="0.3"/>
    <row r="1014" s="3" customFormat="1" x14ac:dyDescent="0.3"/>
    <row r="1015" s="3" customFormat="1" x14ac:dyDescent="0.3"/>
    <row r="1016" s="3" customFormat="1" x14ac:dyDescent="0.3"/>
    <row r="1017" s="3" customFormat="1" x14ac:dyDescent="0.3"/>
    <row r="1018" s="3" customFormat="1" x14ac:dyDescent="0.3"/>
    <row r="1019" s="3" customFormat="1" x14ac:dyDescent="0.3"/>
    <row r="1020" s="3" customFormat="1" x14ac:dyDescent="0.3"/>
    <row r="1021" s="3" customFormat="1" x14ac:dyDescent="0.3"/>
    <row r="1022" s="3" customFormat="1" x14ac:dyDescent="0.3"/>
    <row r="1023" s="3" customFormat="1" x14ac:dyDescent="0.3"/>
    <row r="1024" s="3" customFormat="1" x14ac:dyDescent="0.3"/>
    <row r="1025" s="3" customFormat="1" x14ac:dyDescent="0.3"/>
    <row r="1026" s="3" customFormat="1" x14ac:dyDescent="0.3"/>
    <row r="1027" s="3" customFormat="1" x14ac:dyDescent="0.3"/>
    <row r="1028" s="3" customFormat="1" x14ac:dyDescent="0.3"/>
    <row r="1029" s="3" customFormat="1" x14ac:dyDescent="0.3"/>
    <row r="1030" s="3" customFormat="1" x14ac:dyDescent="0.3"/>
    <row r="1031" s="3" customFormat="1" x14ac:dyDescent="0.3"/>
    <row r="1032" s="3" customFormat="1" x14ac:dyDescent="0.3"/>
    <row r="1033" s="3" customFormat="1" x14ac:dyDescent="0.3"/>
    <row r="1034" s="3" customFormat="1" x14ac:dyDescent="0.3"/>
    <row r="1035" s="3" customFormat="1" x14ac:dyDescent="0.3"/>
    <row r="1036" s="3" customFormat="1" x14ac:dyDescent="0.3"/>
    <row r="1037" s="3" customFormat="1" x14ac:dyDescent="0.3"/>
    <row r="1038" s="3" customFormat="1" x14ac:dyDescent="0.3"/>
    <row r="1039" s="3" customFormat="1" x14ac:dyDescent="0.3"/>
    <row r="1040" s="3" customFormat="1" x14ac:dyDescent="0.3"/>
    <row r="1041" s="3" customFormat="1" x14ac:dyDescent="0.3"/>
    <row r="1042" s="3" customFormat="1" x14ac:dyDescent="0.3"/>
    <row r="1043" s="3" customFormat="1" x14ac:dyDescent="0.3"/>
    <row r="1044" s="3" customFormat="1" x14ac:dyDescent="0.3"/>
    <row r="1045" s="3" customFormat="1" x14ac:dyDescent="0.3"/>
    <row r="1046" s="3" customFormat="1" x14ac:dyDescent="0.3"/>
    <row r="1047" s="3" customFormat="1" x14ac:dyDescent="0.3"/>
    <row r="1048" s="3" customFormat="1" x14ac:dyDescent="0.3"/>
    <row r="1049" s="3" customFormat="1" x14ac:dyDescent="0.3"/>
    <row r="1050" s="3" customFormat="1" x14ac:dyDescent="0.3"/>
    <row r="1051" s="3" customFormat="1" x14ac:dyDescent="0.3"/>
    <row r="1052" s="3" customFormat="1" x14ac:dyDescent="0.3"/>
    <row r="1053" s="3" customFormat="1" x14ac:dyDescent="0.3"/>
    <row r="1054" s="3" customFormat="1" x14ac:dyDescent="0.3"/>
    <row r="1055" s="3" customFormat="1" x14ac:dyDescent="0.3"/>
    <row r="1056" s="3" customFormat="1" x14ac:dyDescent="0.3"/>
    <row r="1057" s="3" customFormat="1" x14ac:dyDescent="0.3"/>
    <row r="1058" s="3" customFormat="1" x14ac:dyDescent="0.3"/>
    <row r="1059" s="3" customFormat="1" x14ac:dyDescent="0.3"/>
    <row r="1060" s="3" customFormat="1" x14ac:dyDescent="0.3"/>
    <row r="1061" s="3" customFormat="1" x14ac:dyDescent="0.3"/>
    <row r="1062" s="3" customFormat="1" x14ac:dyDescent="0.3"/>
    <row r="1063" s="3" customFormat="1" x14ac:dyDescent="0.3"/>
    <row r="1064" s="3" customFormat="1" x14ac:dyDescent="0.3"/>
    <row r="1065" s="3" customFormat="1" x14ac:dyDescent="0.3"/>
    <row r="1066" s="3" customFormat="1" x14ac:dyDescent="0.3"/>
    <row r="1067" s="3" customFormat="1" x14ac:dyDescent="0.3"/>
    <row r="1068" s="3" customFormat="1" x14ac:dyDescent="0.3"/>
    <row r="1069" s="3" customFormat="1" x14ac:dyDescent="0.3"/>
    <row r="1070" s="3" customFormat="1" x14ac:dyDescent="0.3"/>
    <row r="1071" s="3" customFormat="1" x14ac:dyDescent="0.3"/>
    <row r="1072" s="3" customFormat="1" x14ac:dyDescent="0.3"/>
    <row r="1073" s="3" customFormat="1" x14ac:dyDescent="0.3"/>
    <row r="1074" s="3" customFormat="1" x14ac:dyDescent="0.3"/>
    <row r="1075" s="3" customFormat="1" x14ac:dyDescent="0.3"/>
    <row r="1076" s="3" customFormat="1" x14ac:dyDescent="0.3"/>
    <row r="1077" s="3" customFormat="1" x14ac:dyDescent="0.3"/>
    <row r="1078" s="3" customFormat="1" x14ac:dyDescent="0.3"/>
    <row r="1079" s="3" customFormat="1" x14ac:dyDescent="0.3"/>
    <row r="1080" s="3" customFormat="1" x14ac:dyDescent="0.3"/>
    <row r="1081" s="3" customFormat="1" x14ac:dyDescent="0.3"/>
    <row r="1082" s="3" customFormat="1" x14ac:dyDescent="0.3"/>
    <row r="1083" s="3" customFormat="1" x14ac:dyDescent="0.3"/>
    <row r="1084" s="3" customFormat="1" x14ac:dyDescent="0.3"/>
    <row r="1085" s="3" customFormat="1" x14ac:dyDescent="0.3"/>
    <row r="1086" s="3" customFormat="1" x14ac:dyDescent="0.3"/>
    <row r="1087" s="3" customFormat="1" x14ac:dyDescent="0.3"/>
    <row r="1088" s="3" customFormat="1" x14ac:dyDescent="0.3"/>
    <row r="1089" s="3" customFormat="1" x14ac:dyDescent="0.3"/>
    <row r="1090" s="3" customFormat="1" x14ac:dyDescent="0.3"/>
    <row r="1091" s="3" customFormat="1" x14ac:dyDescent="0.3"/>
    <row r="1092" s="3" customFormat="1" x14ac:dyDescent="0.3"/>
    <row r="1093" s="3" customFormat="1" x14ac:dyDescent="0.3"/>
    <row r="1094" s="3" customFormat="1" x14ac:dyDescent="0.3"/>
    <row r="1095" s="3" customFormat="1" x14ac:dyDescent="0.3"/>
    <row r="1096" s="3" customFormat="1" x14ac:dyDescent="0.3"/>
    <row r="1097" s="3" customFormat="1" x14ac:dyDescent="0.3"/>
    <row r="1098" s="3" customFormat="1" x14ac:dyDescent="0.3"/>
    <row r="1099" s="3" customFormat="1" x14ac:dyDescent="0.3"/>
    <row r="1100" s="3" customFormat="1" x14ac:dyDescent="0.3"/>
    <row r="1101" s="3" customFormat="1" x14ac:dyDescent="0.3"/>
    <row r="1102" s="3" customFormat="1" x14ac:dyDescent="0.3"/>
    <row r="1103" s="3" customFormat="1" x14ac:dyDescent="0.3"/>
    <row r="1104" s="3" customFormat="1" x14ac:dyDescent="0.3"/>
    <row r="1105" s="3" customFormat="1" x14ac:dyDescent="0.3"/>
    <row r="1106" s="3" customFormat="1" x14ac:dyDescent="0.3"/>
    <row r="1107" s="3" customFormat="1" x14ac:dyDescent="0.3"/>
    <row r="1108" s="3" customFormat="1" x14ac:dyDescent="0.3"/>
    <row r="1109" s="3" customFormat="1" x14ac:dyDescent="0.3"/>
    <row r="1110" s="3" customFormat="1" x14ac:dyDescent="0.3"/>
    <row r="1111" s="3" customFormat="1" x14ac:dyDescent="0.3"/>
    <row r="1112" s="3" customFormat="1" x14ac:dyDescent="0.3"/>
    <row r="1113" s="3" customFormat="1" x14ac:dyDescent="0.3"/>
    <row r="1114" s="3" customFormat="1" x14ac:dyDescent="0.3"/>
    <row r="1115" s="3" customFormat="1" x14ac:dyDescent="0.3"/>
    <row r="1116" s="3" customFormat="1" x14ac:dyDescent="0.3"/>
    <row r="1117" s="3" customFormat="1" x14ac:dyDescent="0.3"/>
    <row r="1118" s="3" customFormat="1" x14ac:dyDescent="0.3"/>
    <row r="1119" s="3" customFormat="1" x14ac:dyDescent="0.3"/>
    <row r="1120" s="3" customFormat="1" x14ac:dyDescent="0.3"/>
    <row r="1121" s="3" customFormat="1" x14ac:dyDescent="0.3"/>
    <row r="1122" s="3" customFormat="1" x14ac:dyDescent="0.3"/>
    <row r="1123" s="3" customFormat="1" x14ac:dyDescent="0.3"/>
    <row r="1124" s="3" customFormat="1" x14ac:dyDescent="0.3"/>
    <row r="1125" s="3" customFormat="1" x14ac:dyDescent="0.3"/>
    <row r="1126" s="3" customFormat="1" x14ac:dyDescent="0.3"/>
    <row r="1127" s="3" customFormat="1" x14ac:dyDescent="0.3"/>
    <row r="1128" s="3" customFormat="1" x14ac:dyDescent="0.3"/>
    <row r="1129" s="3" customFormat="1" x14ac:dyDescent="0.3"/>
    <row r="1130" s="3" customFormat="1" x14ac:dyDescent="0.3"/>
    <row r="1131" s="3" customFormat="1" x14ac:dyDescent="0.3"/>
    <row r="1132" s="3" customFormat="1" x14ac:dyDescent="0.3"/>
    <row r="1133" s="3" customFormat="1" x14ac:dyDescent="0.3"/>
    <row r="1134" s="3" customFormat="1" x14ac:dyDescent="0.3"/>
    <row r="1135" s="3" customFormat="1" x14ac:dyDescent="0.3"/>
    <row r="1136" s="3" customFormat="1" x14ac:dyDescent="0.3"/>
    <row r="1137" s="3" customFormat="1" x14ac:dyDescent="0.3"/>
    <row r="1138" s="3" customFormat="1" x14ac:dyDescent="0.3"/>
    <row r="1139" s="3" customFormat="1" x14ac:dyDescent="0.3"/>
    <row r="1140" s="3" customFormat="1" x14ac:dyDescent="0.3"/>
    <row r="1141" s="3" customFormat="1" x14ac:dyDescent="0.3"/>
    <row r="1142" s="3" customFormat="1" x14ac:dyDescent="0.3"/>
    <row r="1143" s="3" customFormat="1" x14ac:dyDescent="0.3"/>
    <row r="1144" s="3" customFormat="1" x14ac:dyDescent="0.3"/>
    <row r="1145" s="3" customFormat="1" x14ac:dyDescent="0.3"/>
    <row r="1146" s="3" customFormat="1" x14ac:dyDescent="0.3"/>
    <row r="1147" s="3" customFormat="1" x14ac:dyDescent="0.3"/>
    <row r="1148" s="3" customFormat="1" x14ac:dyDescent="0.3"/>
    <row r="1149" s="3" customFormat="1" x14ac:dyDescent="0.3"/>
    <row r="1150" s="3" customFormat="1" x14ac:dyDescent="0.3"/>
    <row r="1151" s="3" customFormat="1" x14ac:dyDescent="0.3"/>
    <row r="1152" s="3" customFormat="1" x14ac:dyDescent="0.3"/>
    <row r="1153" s="3" customFormat="1" x14ac:dyDescent="0.3"/>
    <row r="1154" s="3" customFormat="1" x14ac:dyDescent="0.3"/>
    <row r="1155" s="3" customFormat="1" x14ac:dyDescent="0.3"/>
    <row r="1156" s="3" customFormat="1" x14ac:dyDescent="0.3"/>
    <row r="1157" s="3" customFormat="1" x14ac:dyDescent="0.3"/>
    <row r="1158" s="3" customFormat="1" x14ac:dyDescent="0.3"/>
    <row r="1159" s="3" customFormat="1" x14ac:dyDescent="0.3"/>
    <row r="1160" s="3" customFormat="1" x14ac:dyDescent="0.3"/>
    <row r="1161" s="3" customFormat="1" x14ac:dyDescent="0.3"/>
    <row r="1162" s="3" customFormat="1" x14ac:dyDescent="0.3"/>
    <row r="1163" s="3" customFormat="1" x14ac:dyDescent="0.3"/>
    <row r="1164" s="3" customFormat="1" x14ac:dyDescent="0.3"/>
    <row r="1165" s="3" customFormat="1" x14ac:dyDescent="0.3"/>
    <row r="1166" s="3" customFormat="1" x14ac:dyDescent="0.3"/>
    <row r="1167" s="3" customFormat="1" x14ac:dyDescent="0.3"/>
    <row r="1168" s="3" customFormat="1" x14ac:dyDescent="0.3"/>
    <row r="1169" s="3" customFormat="1" x14ac:dyDescent="0.3"/>
    <row r="1170" s="3" customFormat="1" x14ac:dyDescent="0.3"/>
    <row r="1171" s="3" customFormat="1" x14ac:dyDescent="0.3"/>
    <row r="1172" s="3" customFormat="1" x14ac:dyDescent="0.3"/>
    <row r="1173" s="3" customFormat="1" x14ac:dyDescent="0.3"/>
    <row r="1174" s="3" customFormat="1" x14ac:dyDescent="0.3"/>
    <row r="1175" s="3" customFormat="1" x14ac:dyDescent="0.3"/>
    <row r="1176" s="3" customFormat="1" x14ac:dyDescent="0.3"/>
    <row r="1177" s="3" customFormat="1" x14ac:dyDescent="0.3"/>
    <row r="1178" s="3" customFormat="1" x14ac:dyDescent="0.3"/>
    <row r="1179" s="3" customFormat="1" x14ac:dyDescent="0.3"/>
    <row r="1180" s="3" customFormat="1" x14ac:dyDescent="0.3"/>
    <row r="1181" s="3" customFormat="1" x14ac:dyDescent="0.3"/>
    <row r="1182" s="3" customFormat="1" x14ac:dyDescent="0.3"/>
    <row r="1183" s="3" customFormat="1" x14ac:dyDescent="0.3"/>
    <row r="1184" s="3" customFormat="1" x14ac:dyDescent="0.3"/>
    <row r="1185" s="3" customFormat="1" x14ac:dyDescent="0.3"/>
    <row r="1186" s="3" customFormat="1" x14ac:dyDescent="0.3"/>
    <row r="1187" s="3" customFormat="1" x14ac:dyDescent="0.3"/>
    <row r="1188" s="3" customFormat="1" x14ac:dyDescent="0.3"/>
    <row r="1189" s="3" customFormat="1" x14ac:dyDescent="0.3"/>
    <row r="1190" s="3" customFormat="1" x14ac:dyDescent="0.3"/>
    <row r="1191" s="3" customFormat="1" x14ac:dyDescent="0.3"/>
    <row r="1192" s="3" customFormat="1" x14ac:dyDescent="0.3"/>
    <row r="1193" s="3" customFormat="1" x14ac:dyDescent="0.3"/>
    <row r="1194" s="3" customFormat="1" x14ac:dyDescent="0.3"/>
    <row r="1195" s="3" customFormat="1" x14ac:dyDescent="0.3"/>
    <row r="1196" s="3" customFormat="1" x14ac:dyDescent="0.3"/>
    <row r="1197" s="3" customFormat="1" x14ac:dyDescent="0.3"/>
    <row r="1198" s="3" customFormat="1" x14ac:dyDescent="0.3"/>
    <row r="1199" s="3" customFormat="1" x14ac:dyDescent="0.3"/>
    <row r="1200" s="3" customFormat="1" x14ac:dyDescent="0.3"/>
    <row r="1201" s="3" customFormat="1" x14ac:dyDescent="0.3"/>
    <row r="1202" s="3" customFormat="1" x14ac:dyDescent="0.3"/>
    <row r="1203" s="3" customFormat="1" x14ac:dyDescent="0.3"/>
    <row r="1204" s="3" customFormat="1" x14ac:dyDescent="0.3"/>
    <row r="1205" s="3" customFormat="1" x14ac:dyDescent="0.3"/>
    <row r="1206" s="3" customFormat="1" x14ac:dyDescent="0.3"/>
    <row r="1207" s="3" customFormat="1" x14ac:dyDescent="0.3"/>
    <row r="1208" s="3" customFormat="1" x14ac:dyDescent="0.3"/>
    <row r="1209" s="3" customFormat="1" x14ac:dyDescent="0.3"/>
    <row r="1210" s="3" customFormat="1" x14ac:dyDescent="0.3"/>
    <row r="1211" s="3" customFormat="1" x14ac:dyDescent="0.3"/>
    <row r="1212" s="3" customFormat="1" x14ac:dyDescent="0.3"/>
    <row r="1213" s="3" customFormat="1" x14ac:dyDescent="0.3"/>
    <row r="1214" s="3" customFormat="1" x14ac:dyDescent="0.3"/>
    <row r="1215" s="3" customFormat="1" x14ac:dyDescent="0.3"/>
    <row r="1216" s="3" customFormat="1" x14ac:dyDescent="0.3"/>
    <row r="1217" s="3" customFormat="1" x14ac:dyDescent="0.3"/>
    <row r="1218" s="3" customFormat="1" x14ac:dyDescent="0.3"/>
    <row r="1219" s="3" customFormat="1" x14ac:dyDescent="0.3"/>
    <row r="1220" s="3" customFormat="1" x14ac:dyDescent="0.3"/>
    <row r="1221" s="3" customFormat="1" x14ac:dyDescent="0.3"/>
    <row r="1222" s="3" customFormat="1" x14ac:dyDescent="0.3"/>
    <row r="1223" s="3" customFormat="1" x14ac:dyDescent="0.3"/>
    <row r="1224" s="3" customFormat="1" x14ac:dyDescent="0.3"/>
    <row r="1225" s="3" customFormat="1" x14ac:dyDescent="0.3"/>
    <row r="1226" s="3" customFormat="1" x14ac:dyDescent="0.3"/>
    <row r="1227" s="3" customFormat="1" x14ac:dyDescent="0.3"/>
    <row r="1228" s="3" customFormat="1" x14ac:dyDescent="0.3"/>
    <row r="1229" s="3" customFormat="1" x14ac:dyDescent="0.3"/>
    <row r="1230" s="3" customFormat="1" x14ac:dyDescent="0.3"/>
    <row r="1231" s="3" customFormat="1" x14ac:dyDescent="0.3"/>
    <row r="1232" s="3" customFormat="1" x14ac:dyDescent="0.3"/>
    <row r="1233" s="3" customFormat="1" x14ac:dyDescent="0.3"/>
    <row r="1234" s="3" customFormat="1" x14ac:dyDescent="0.3"/>
    <row r="1235" s="3" customFormat="1" x14ac:dyDescent="0.3"/>
    <row r="1236" s="3" customFormat="1" x14ac:dyDescent="0.3"/>
    <row r="1237" s="3" customFormat="1" x14ac:dyDescent="0.3"/>
    <row r="1238" s="3" customFormat="1" x14ac:dyDescent="0.3"/>
    <row r="1239" s="3" customFormat="1" x14ac:dyDescent="0.3"/>
    <row r="1240" s="3" customFormat="1" x14ac:dyDescent="0.3"/>
    <row r="1241" s="3" customFormat="1" x14ac:dyDescent="0.3"/>
    <row r="1242" s="3" customFormat="1" x14ac:dyDescent="0.3"/>
    <row r="1243" s="3" customFormat="1" x14ac:dyDescent="0.3"/>
    <row r="1244" s="3" customFormat="1" x14ac:dyDescent="0.3"/>
    <row r="1245" s="3" customFormat="1" x14ac:dyDescent="0.3"/>
    <row r="1246" s="3" customFormat="1" x14ac:dyDescent="0.3"/>
    <row r="1247" s="3" customFormat="1" x14ac:dyDescent="0.3"/>
    <row r="1248" s="3" customFormat="1" x14ac:dyDescent="0.3"/>
    <row r="1249" s="3" customFormat="1" x14ac:dyDescent="0.3"/>
    <row r="1250" s="3" customFormat="1" x14ac:dyDescent="0.3"/>
    <row r="1251" s="3" customFormat="1" x14ac:dyDescent="0.3"/>
    <row r="1252" s="3" customFormat="1" x14ac:dyDescent="0.3"/>
    <row r="1253" s="3" customFormat="1" x14ac:dyDescent="0.3"/>
    <row r="1254" s="3" customFormat="1" x14ac:dyDescent="0.3"/>
    <row r="1255" s="3" customFormat="1" x14ac:dyDescent="0.3"/>
    <row r="1256" s="3" customFormat="1" x14ac:dyDescent="0.3"/>
    <row r="1257" s="3" customFormat="1" x14ac:dyDescent="0.3"/>
    <row r="1258" s="3" customFormat="1" x14ac:dyDescent="0.3"/>
    <row r="1259" s="3" customFormat="1" x14ac:dyDescent="0.3"/>
    <row r="1260" s="3" customFormat="1" x14ac:dyDescent="0.3"/>
    <row r="1261" s="3" customFormat="1" x14ac:dyDescent="0.3"/>
    <row r="1262" s="3" customFormat="1" x14ac:dyDescent="0.3"/>
    <row r="1263" s="3" customFormat="1" x14ac:dyDescent="0.3"/>
    <row r="1264" s="3" customFormat="1" x14ac:dyDescent="0.3"/>
    <row r="1265" s="3" customFormat="1" x14ac:dyDescent="0.3"/>
    <row r="1266" s="3" customFormat="1" x14ac:dyDescent="0.3"/>
    <row r="1267" s="3" customFormat="1" x14ac:dyDescent="0.3"/>
    <row r="1268" s="3" customFormat="1" x14ac:dyDescent="0.3"/>
    <row r="1269" s="3" customFormat="1" x14ac:dyDescent="0.3"/>
    <row r="1270" s="3" customFormat="1" x14ac:dyDescent="0.3"/>
    <row r="1271" s="3" customFormat="1" x14ac:dyDescent="0.3"/>
    <row r="1272" s="3" customFormat="1" x14ac:dyDescent="0.3"/>
    <row r="1273" s="3" customFormat="1" x14ac:dyDescent="0.3"/>
    <row r="1274" s="3" customFormat="1" x14ac:dyDescent="0.3"/>
    <row r="1275" s="3" customFormat="1" x14ac:dyDescent="0.3"/>
    <row r="1276" s="3" customFormat="1" x14ac:dyDescent="0.3"/>
    <row r="1277" s="3" customFormat="1" x14ac:dyDescent="0.3"/>
    <row r="1278" s="3" customFormat="1" x14ac:dyDescent="0.3"/>
    <row r="1279" s="3" customFormat="1" x14ac:dyDescent="0.3"/>
    <row r="1280" s="3" customFormat="1" x14ac:dyDescent="0.3"/>
    <row r="1281" s="3" customFormat="1" x14ac:dyDescent="0.3"/>
    <row r="1282" s="3" customFormat="1" x14ac:dyDescent="0.3"/>
    <row r="1283" s="3" customFormat="1" x14ac:dyDescent="0.3"/>
    <row r="1284" s="3" customFormat="1" x14ac:dyDescent="0.3"/>
    <row r="1285" s="3" customFormat="1" x14ac:dyDescent="0.3"/>
    <row r="1286" s="3" customFormat="1" x14ac:dyDescent="0.3"/>
    <row r="1287" s="3" customFormat="1" x14ac:dyDescent="0.3"/>
    <row r="1288" s="3" customFormat="1" x14ac:dyDescent="0.3"/>
    <row r="1289" s="3" customFormat="1" x14ac:dyDescent="0.3"/>
    <row r="1290" s="3" customFormat="1" x14ac:dyDescent="0.3"/>
    <row r="1291" s="3" customFormat="1" x14ac:dyDescent="0.3"/>
    <row r="1292" s="3" customFormat="1" x14ac:dyDescent="0.3"/>
    <row r="1293" s="3" customFormat="1" x14ac:dyDescent="0.3"/>
    <row r="1294" s="3" customFormat="1" x14ac:dyDescent="0.3"/>
    <row r="1295" s="3" customFormat="1" x14ac:dyDescent="0.3"/>
    <row r="1296" s="3" customFormat="1" x14ac:dyDescent="0.3"/>
    <row r="1297" s="3" customFormat="1" x14ac:dyDescent="0.3"/>
    <row r="1298" s="3" customFormat="1" x14ac:dyDescent="0.3"/>
    <row r="1299" s="3" customFormat="1" x14ac:dyDescent="0.3"/>
    <row r="1300" s="3" customFormat="1" x14ac:dyDescent="0.3"/>
    <row r="1301" s="3" customFormat="1" x14ac:dyDescent="0.3"/>
    <row r="1302" s="3" customFormat="1" x14ac:dyDescent="0.3"/>
    <row r="1303" s="3" customFormat="1" x14ac:dyDescent="0.3"/>
    <row r="1304" s="3" customFormat="1" x14ac:dyDescent="0.3"/>
    <row r="1305" s="3" customFormat="1" x14ac:dyDescent="0.3"/>
    <row r="1306" s="3" customFormat="1" x14ac:dyDescent="0.3"/>
    <row r="1307" s="3" customFormat="1" x14ac:dyDescent="0.3"/>
    <row r="1308" s="3" customFormat="1" x14ac:dyDescent="0.3"/>
    <row r="1309" s="3" customFormat="1" x14ac:dyDescent="0.3"/>
    <row r="1310" s="3" customFormat="1" x14ac:dyDescent="0.3"/>
    <row r="1311" s="3" customFormat="1" x14ac:dyDescent="0.3"/>
    <row r="1312" s="3" customFormat="1" x14ac:dyDescent="0.3"/>
    <row r="1313" s="3" customFormat="1" x14ac:dyDescent="0.3"/>
    <row r="1314" s="3" customFormat="1" x14ac:dyDescent="0.3"/>
    <row r="1315" s="3" customFormat="1" x14ac:dyDescent="0.3"/>
    <row r="1316" s="3" customFormat="1" x14ac:dyDescent="0.3"/>
    <row r="1317" s="3" customFormat="1" x14ac:dyDescent="0.3"/>
    <row r="1318" s="3" customFormat="1" x14ac:dyDescent="0.3"/>
    <row r="1319" s="3" customFormat="1" x14ac:dyDescent="0.3"/>
    <row r="1320" s="3" customFormat="1" x14ac:dyDescent="0.3"/>
    <row r="1321" s="3" customFormat="1" x14ac:dyDescent="0.3"/>
    <row r="1322" s="3" customFormat="1" x14ac:dyDescent="0.3"/>
    <row r="1323" s="3" customFormat="1" x14ac:dyDescent="0.3"/>
    <row r="1324" s="3" customFormat="1" x14ac:dyDescent="0.3"/>
    <row r="1325" s="3" customFormat="1" x14ac:dyDescent="0.3"/>
    <row r="1326" s="3" customFormat="1" x14ac:dyDescent="0.3"/>
    <row r="1327" s="3" customFormat="1" x14ac:dyDescent="0.3"/>
    <row r="1328" s="3" customFormat="1" x14ac:dyDescent="0.3"/>
    <row r="1329" s="3" customFormat="1" x14ac:dyDescent="0.3"/>
    <row r="1330" s="3" customFormat="1" x14ac:dyDescent="0.3"/>
    <row r="1331" s="3" customFormat="1" x14ac:dyDescent="0.3"/>
    <row r="1332" s="3" customFormat="1" x14ac:dyDescent="0.3"/>
    <row r="1333" s="3" customFormat="1" x14ac:dyDescent="0.3"/>
    <row r="1334" s="3" customFormat="1" x14ac:dyDescent="0.3"/>
    <row r="1335" s="3" customFormat="1" x14ac:dyDescent="0.3"/>
    <row r="1336" s="3" customFormat="1" x14ac:dyDescent="0.3"/>
    <row r="1337" s="3" customFormat="1" x14ac:dyDescent="0.3"/>
    <row r="1338" s="3" customFormat="1" x14ac:dyDescent="0.3"/>
    <row r="1339" s="3" customFormat="1" x14ac:dyDescent="0.3"/>
    <row r="1340" s="3" customFormat="1" x14ac:dyDescent="0.3"/>
    <row r="1341" s="3" customFormat="1" x14ac:dyDescent="0.3"/>
    <row r="1342" s="3" customFormat="1" x14ac:dyDescent="0.3"/>
    <row r="1343" s="3" customFormat="1" x14ac:dyDescent="0.3"/>
    <row r="1344" s="3" customFormat="1" x14ac:dyDescent="0.3"/>
    <row r="1345" s="3" customFormat="1" x14ac:dyDescent="0.3"/>
    <row r="1346" s="3" customFormat="1" x14ac:dyDescent="0.3"/>
    <row r="1347" s="3" customFormat="1" x14ac:dyDescent="0.3"/>
    <row r="1348" s="3" customFormat="1" x14ac:dyDescent="0.3"/>
    <row r="1349" s="3" customFormat="1" x14ac:dyDescent="0.3"/>
    <row r="1350" s="3" customFormat="1" x14ac:dyDescent="0.3"/>
    <row r="1351" s="3" customFormat="1" x14ac:dyDescent="0.3"/>
    <row r="1352" s="3" customFormat="1" x14ac:dyDescent="0.3"/>
    <row r="1353" s="3" customFormat="1" x14ac:dyDescent="0.3"/>
    <row r="1354" s="3" customFormat="1" x14ac:dyDescent="0.3"/>
    <row r="1355" s="3" customFormat="1" x14ac:dyDescent="0.3"/>
    <row r="1356" s="3" customFormat="1" x14ac:dyDescent="0.3"/>
    <row r="1357" s="3" customFormat="1" x14ac:dyDescent="0.3"/>
    <row r="1358" s="3" customFormat="1" x14ac:dyDescent="0.3"/>
    <row r="1359" s="3" customFormat="1" x14ac:dyDescent="0.3"/>
    <row r="1360" s="3" customFormat="1" x14ac:dyDescent="0.3"/>
    <row r="1361" s="3" customFormat="1" x14ac:dyDescent="0.3"/>
    <row r="1362" s="3" customFormat="1" x14ac:dyDescent="0.3"/>
    <row r="1363" s="3" customFormat="1" x14ac:dyDescent="0.3"/>
    <row r="1364" s="3" customFormat="1" x14ac:dyDescent="0.3"/>
    <row r="1365" s="3" customFormat="1" x14ac:dyDescent="0.3"/>
    <row r="1366" s="3" customFormat="1" x14ac:dyDescent="0.3"/>
    <row r="1367" s="3" customFormat="1" x14ac:dyDescent="0.3"/>
    <row r="1368" s="3" customFormat="1" x14ac:dyDescent="0.3"/>
    <row r="1369" s="3" customFormat="1" x14ac:dyDescent="0.3"/>
    <row r="1370" s="3" customFormat="1" x14ac:dyDescent="0.3"/>
    <row r="1371" s="3" customFormat="1" x14ac:dyDescent="0.3"/>
    <row r="1372" s="3" customFormat="1" x14ac:dyDescent="0.3"/>
    <row r="1373" s="3" customFormat="1" x14ac:dyDescent="0.3"/>
    <row r="1374" s="3" customFormat="1" x14ac:dyDescent="0.3"/>
    <row r="1375" s="3" customFormat="1" x14ac:dyDescent="0.3"/>
    <row r="1376" s="3" customFormat="1" x14ac:dyDescent="0.3"/>
    <row r="1377" s="3" customFormat="1" x14ac:dyDescent="0.3"/>
    <row r="1378" s="3" customFormat="1" x14ac:dyDescent="0.3"/>
    <row r="1379" s="3" customFormat="1" x14ac:dyDescent="0.3"/>
    <row r="1380" s="3" customFormat="1" x14ac:dyDescent="0.3"/>
    <row r="1381" s="3" customFormat="1" x14ac:dyDescent="0.3"/>
    <row r="1382" s="3" customFormat="1" x14ac:dyDescent="0.3"/>
    <row r="1383" s="3" customFormat="1" x14ac:dyDescent="0.3"/>
    <row r="1384" s="3" customFormat="1" x14ac:dyDescent="0.3"/>
    <row r="1385" s="3" customFormat="1" x14ac:dyDescent="0.3"/>
    <row r="1386" s="3" customFormat="1" x14ac:dyDescent="0.3"/>
    <row r="1387" s="3" customFormat="1" x14ac:dyDescent="0.3"/>
    <row r="1388" s="3" customFormat="1" x14ac:dyDescent="0.3"/>
    <row r="1389" s="3" customFormat="1" x14ac:dyDescent="0.3"/>
    <row r="1390" s="3" customFormat="1" x14ac:dyDescent="0.3"/>
    <row r="1391" s="3" customFormat="1" x14ac:dyDescent="0.3"/>
    <row r="1392" s="3" customFormat="1" x14ac:dyDescent="0.3"/>
    <row r="1393" s="3" customFormat="1" x14ac:dyDescent="0.3"/>
    <row r="1394" s="3" customFormat="1" x14ac:dyDescent="0.3"/>
    <row r="1395" s="3" customFormat="1" x14ac:dyDescent="0.3"/>
    <row r="1396" s="3" customFormat="1" x14ac:dyDescent="0.3"/>
    <row r="1397" s="3" customFormat="1" x14ac:dyDescent="0.3"/>
    <row r="1398" s="3" customFormat="1" x14ac:dyDescent="0.3"/>
    <row r="1399" s="3" customFormat="1" x14ac:dyDescent="0.3"/>
    <row r="1400" s="3" customFormat="1" x14ac:dyDescent="0.3"/>
    <row r="1401" s="3" customFormat="1" x14ac:dyDescent="0.3"/>
    <row r="1402" s="3" customFormat="1" x14ac:dyDescent="0.3"/>
    <row r="1403" s="3" customFormat="1" x14ac:dyDescent="0.3"/>
    <row r="1404" s="3" customFormat="1" x14ac:dyDescent="0.3"/>
    <row r="1405" s="3" customFormat="1" x14ac:dyDescent="0.3"/>
    <row r="1406" s="3" customFormat="1" x14ac:dyDescent="0.3"/>
    <row r="1407" s="3" customFormat="1" x14ac:dyDescent="0.3"/>
    <row r="1408" s="3" customFormat="1" x14ac:dyDescent="0.3"/>
    <row r="1409" s="3" customFormat="1" x14ac:dyDescent="0.3"/>
    <row r="1410" s="3" customFormat="1" x14ac:dyDescent="0.3"/>
    <row r="1411" s="3" customFormat="1" x14ac:dyDescent="0.3"/>
    <row r="1412" s="3" customFormat="1" x14ac:dyDescent="0.3"/>
    <row r="1413" s="3" customFormat="1" x14ac:dyDescent="0.3"/>
    <row r="1414" s="3" customFormat="1" x14ac:dyDescent="0.3"/>
    <row r="1415" s="3" customFormat="1" x14ac:dyDescent="0.3"/>
    <row r="1416" s="3" customFormat="1" x14ac:dyDescent="0.3"/>
    <row r="1417" s="3" customFormat="1" x14ac:dyDescent="0.3"/>
    <row r="1418" s="3" customFormat="1" x14ac:dyDescent="0.3"/>
    <row r="1419" s="3" customFormat="1" x14ac:dyDescent="0.3"/>
    <row r="1420" s="3" customFormat="1" x14ac:dyDescent="0.3"/>
    <row r="1421" s="3" customFormat="1" x14ac:dyDescent="0.3"/>
    <row r="1422" s="3" customFormat="1" x14ac:dyDescent="0.3"/>
    <row r="1423" s="3" customFormat="1" x14ac:dyDescent="0.3"/>
    <row r="1424" s="3" customFormat="1" x14ac:dyDescent="0.3"/>
    <row r="1425" s="3" customFormat="1" x14ac:dyDescent="0.3"/>
    <row r="1426" s="3" customFormat="1" x14ac:dyDescent="0.3"/>
    <row r="1427" s="3" customFormat="1" x14ac:dyDescent="0.3"/>
    <row r="1428" s="3" customFormat="1" x14ac:dyDescent="0.3"/>
    <row r="1429" s="3" customFormat="1" x14ac:dyDescent="0.3"/>
    <row r="1430" s="3" customFormat="1" x14ac:dyDescent="0.3"/>
    <row r="1431" s="3" customFormat="1" x14ac:dyDescent="0.3"/>
    <row r="1432" s="3" customFormat="1" x14ac:dyDescent="0.3"/>
    <row r="1433" s="3" customFormat="1" x14ac:dyDescent="0.3"/>
    <row r="1434" s="3" customFormat="1" x14ac:dyDescent="0.3"/>
    <row r="1435" s="3" customFormat="1" x14ac:dyDescent="0.3"/>
    <row r="1436" s="3" customFormat="1" x14ac:dyDescent="0.3"/>
    <row r="1437" s="3" customFormat="1" x14ac:dyDescent="0.3"/>
    <row r="1438" s="3" customFormat="1" x14ac:dyDescent="0.3"/>
    <row r="1439" s="3" customFormat="1" x14ac:dyDescent="0.3"/>
    <row r="1440" s="3" customFormat="1" x14ac:dyDescent="0.3"/>
    <row r="1441" s="3" customFormat="1" x14ac:dyDescent="0.3"/>
    <row r="1442" s="3" customFormat="1" x14ac:dyDescent="0.3"/>
    <row r="1443" s="3" customFormat="1" x14ac:dyDescent="0.3"/>
    <row r="1444" s="3" customFormat="1" x14ac:dyDescent="0.3"/>
    <row r="1445" s="3" customFormat="1" x14ac:dyDescent="0.3"/>
    <row r="1446" s="3" customFormat="1" x14ac:dyDescent="0.3"/>
    <row r="1447" s="3" customFormat="1" x14ac:dyDescent="0.3"/>
    <row r="1448" s="3" customFormat="1" x14ac:dyDescent="0.3"/>
    <row r="1449" s="3" customFormat="1" x14ac:dyDescent="0.3"/>
    <row r="1450" s="3" customFormat="1" x14ac:dyDescent="0.3"/>
    <row r="1451" s="3" customFormat="1" x14ac:dyDescent="0.3"/>
    <row r="1452" s="3" customFormat="1" x14ac:dyDescent="0.3"/>
    <row r="1453" s="3" customFormat="1" x14ac:dyDescent="0.3"/>
    <row r="1454" s="3" customFormat="1" x14ac:dyDescent="0.3"/>
    <row r="1455" s="3" customFormat="1" x14ac:dyDescent="0.3"/>
    <row r="1456" s="3" customFormat="1" x14ac:dyDescent="0.3"/>
    <row r="1457" s="3" customFormat="1" x14ac:dyDescent="0.3"/>
    <row r="1458" s="3" customFormat="1" x14ac:dyDescent="0.3"/>
    <row r="1459" s="3" customFormat="1" x14ac:dyDescent="0.3"/>
    <row r="1460" s="3" customFormat="1" x14ac:dyDescent="0.3"/>
    <row r="1461" s="3" customFormat="1" x14ac:dyDescent="0.3"/>
    <row r="1462" s="3" customFormat="1" x14ac:dyDescent="0.3"/>
    <row r="1463" s="3" customFormat="1" x14ac:dyDescent="0.3"/>
    <row r="1464" s="3" customFormat="1" x14ac:dyDescent="0.3"/>
    <row r="1465" s="3" customFormat="1" x14ac:dyDescent="0.3"/>
    <row r="1466" s="3" customFormat="1" x14ac:dyDescent="0.3"/>
    <row r="1467" s="3" customFormat="1" x14ac:dyDescent="0.3"/>
    <row r="1468" s="3" customFormat="1" x14ac:dyDescent="0.3"/>
    <row r="1469" s="3" customFormat="1" x14ac:dyDescent="0.3"/>
    <row r="1470" s="3" customFormat="1" x14ac:dyDescent="0.3"/>
    <row r="1471" s="3" customFormat="1" x14ac:dyDescent="0.3"/>
    <row r="1472" s="3" customFormat="1" x14ac:dyDescent="0.3"/>
    <row r="1473" s="3" customFormat="1" x14ac:dyDescent="0.3"/>
    <row r="1474" s="3" customFormat="1" x14ac:dyDescent="0.3"/>
    <row r="1475" s="3" customFormat="1" x14ac:dyDescent="0.3"/>
    <row r="1476" s="3" customFormat="1" x14ac:dyDescent="0.3"/>
    <row r="1477" s="3" customFormat="1" x14ac:dyDescent="0.3"/>
    <row r="1478" s="3" customFormat="1" x14ac:dyDescent="0.3"/>
    <row r="1479" s="3" customFormat="1" x14ac:dyDescent="0.3"/>
    <row r="1480" s="3" customFormat="1" x14ac:dyDescent="0.3"/>
    <row r="1481" s="3" customFormat="1" x14ac:dyDescent="0.3"/>
    <row r="1482" s="3" customFormat="1" x14ac:dyDescent="0.3"/>
    <row r="1483" s="3" customFormat="1" x14ac:dyDescent="0.3"/>
    <row r="1484" s="3" customFormat="1" x14ac:dyDescent="0.3"/>
    <row r="1485" s="3" customFormat="1" x14ac:dyDescent="0.3"/>
    <row r="1486" s="3" customFormat="1" x14ac:dyDescent="0.3"/>
    <row r="1487" s="3" customFormat="1" x14ac:dyDescent="0.3"/>
    <row r="1488" s="3" customFormat="1" x14ac:dyDescent="0.3"/>
    <row r="1489" s="3" customFormat="1" x14ac:dyDescent="0.3"/>
    <row r="1490" s="3" customFormat="1" x14ac:dyDescent="0.3"/>
    <row r="1491" s="3" customFormat="1" x14ac:dyDescent="0.3"/>
    <row r="1492" s="3" customFormat="1" x14ac:dyDescent="0.3"/>
    <row r="1493" s="3" customFormat="1" x14ac:dyDescent="0.3"/>
    <row r="1494" s="3" customFormat="1" x14ac:dyDescent="0.3"/>
    <row r="1495" s="3" customFormat="1" x14ac:dyDescent="0.3"/>
    <row r="1496" s="3" customFormat="1" x14ac:dyDescent="0.3"/>
    <row r="1497" s="3" customFormat="1" x14ac:dyDescent="0.3"/>
    <row r="1498" s="3" customFormat="1" x14ac:dyDescent="0.3"/>
    <row r="1499" s="3" customFormat="1" x14ac:dyDescent="0.3"/>
    <row r="1500" s="3" customFormat="1" x14ac:dyDescent="0.3"/>
    <row r="1501" s="3" customFormat="1" x14ac:dyDescent="0.3"/>
    <row r="1502" s="3" customFormat="1" x14ac:dyDescent="0.3"/>
    <row r="1503" s="3" customFormat="1" x14ac:dyDescent="0.3"/>
    <row r="1504" s="3" customFormat="1" x14ac:dyDescent="0.3"/>
    <row r="1505" s="3" customFormat="1" x14ac:dyDescent="0.3"/>
    <row r="1506" s="3" customFormat="1" x14ac:dyDescent="0.3"/>
    <row r="1507" s="3" customFormat="1" x14ac:dyDescent="0.3"/>
    <row r="1508" s="3" customFormat="1" x14ac:dyDescent="0.3"/>
    <row r="1509" s="3" customFormat="1" x14ac:dyDescent="0.3"/>
    <row r="1510" s="3" customFormat="1" x14ac:dyDescent="0.3"/>
    <row r="1511" s="3" customFormat="1" x14ac:dyDescent="0.3"/>
    <row r="1512" s="3" customFormat="1" x14ac:dyDescent="0.3"/>
    <row r="1513" s="3" customFormat="1" x14ac:dyDescent="0.3"/>
    <row r="1514" s="3" customFormat="1" x14ac:dyDescent="0.3"/>
    <row r="1515" s="3" customFormat="1" x14ac:dyDescent="0.3"/>
    <row r="1516" s="3" customFormat="1" x14ac:dyDescent="0.3"/>
    <row r="1517" s="3" customFormat="1" x14ac:dyDescent="0.3"/>
    <row r="1518" s="3" customFormat="1" x14ac:dyDescent="0.3"/>
    <row r="1519" s="3" customFormat="1" x14ac:dyDescent="0.3"/>
    <row r="1520" s="3" customFormat="1" x14ac:dyDescent="0.3"/>
    <row r="1521" s="3" customFormat="1" x14ac:dyDescent="0.3"/>
    <row r="1522" s="3" customFormat="1" x14ac:dyDescent="0.3"/>
    <row r="1523" s="3" customFormat="1" x14ac:dyDescent="0.3"/>
    <row r="1524" s="3" customFormat="1" x14ac:dyDescent="0.3"/>
    <row r="1525" s="3" customFormat="1" x14ac:dyDescent="0.3"/>
    <row r="1526" s="3" customFormat="1" x14ac:dyDescent="0.3"/>
    <row r="1527" s="3" customFormat="1" x14ac:dyDescent="0.3"/>
    <row r="1528" s="3" customFormat="1" x14ac:dyDescent="0.3"/>
    <row r="1529" s="3" customFormat="1" x14ac:dyDescent="0.3"/>
    <row r="1530" s="3" customFormat="1" x14ac:dyDescent="0.3"/>
    <row r="1531" s="3" customFormat="1" x14ac:dyDescent="0.3"/>
    <row r="1532" s="3" customFormat="1" x14ac:dyDescent="0.3"/>
    <row r="1533" s="3" customFormat="1" x14ac:dyDescent="0.3"/>
    <row r="1534" s="3" customFormat="1" x14ac:dyDescent="0.3"/>
    <row r="1535" s="3" customFormat="1" x14ac:dyDescent="0.3"/>
    <row r="1536" s="3" customFormat="1" x14ac:dyDescent="0.3"/>
    <row r="1537" s="3" customFormat="1" x14ac:dyDescent="0.3"/>
    <row r="1538" s="3" customFormat="1" x14ac:dyDescent="0.3"/>
    <row r="1539" s="3" customFormat="1" x14ac:dyDescent="0.3"/>
    <row r="1540" s="3" customFormat="1" x14ac:dyDescent="0.3"/>
    <row r="1541" s="3" customFormat="1" x14ac:dyDescent="0.3"/>
    <row r="1542" s="3" customFormat="1" x14ac:dyDescent="0.3"/>
    <row r="1543" s="3" customFormat="1" x14ac:dyDescent="0.3"/>
    <row r="1544" s="3" customFormat="1" x14ac:dyDescent="0.3"/>
    <row r="1545" s="3" customFormat="1" x14ac:dyDescent="0.3"/>
    <row r="1546" s="3" customFormat="1" x14ac:dyDescent="0.3"/>
    <row r="1547" s="3" customFormat="1" x14ac:dyDescent="0.3"/>
    <row r="1548" s="3" customFormat="1" x14ac:dyDescent="0.3"/>
    <row r="1549" s="3" customFormat="1" x14ac:dyDescent="0.3"/>
    <row r="1550" s="3" customFormat="1" x14ac:dyDescent="0.3"/>
    <row r="1551" s="3" customFormat="1" x14ac:dyDescent="0.3"/>
    <row r="1552" s="3" customFormat="1" x14ac:dyDescent="0.3"/>
    <row r="1553" s="3" customFormat="1" x14ac:dyDescent="0.3"/>
    <row r="1554" s="3" customFormat="1" x14ac:dyDescent="0.3"/>
    <row r="1555" s="3" customFormat="1" x14ac:dyDescent="0.3"/>
    <row r="1556" s="3" customFormat="1" x14ac:dyDescent="0.3"/>
    <row r="1557" s="3" customFormat="1" x14ac:dyDescent="0.3"/>
    <row r="1558" s="3" customFormat="1" x14ac:dyDescent="0.3"/>
    <row r="1559" s="3" customFormat="1" x14ac:dyDescent="0.3"/>
    <row r="1560" s="3" customFormat="1" x14ac:dyDescent="0.3"/>
    <row r="1561" s="3" customFormat="1" x14ac:dyDescent="0.3"/>
    <row r="1562" s="3" customFormat="1" x14ac:dyDescent="0.3"/>
    <row r="1563" s="3" customFormat="1" x14ac:dyDescent="0.3"/>
    <row r="1564" s="3" customFormat="1" x14ac:dyDescent="0.3"/>
    <row r="1565" s="3" customFormat="1" x14ac:dyDescent="0.3"/>
    <row r="1566" s="3" customFormat="1" x14ac:dyDescent="0.3"/>
    <row r="1567" s="3" customFormat="1" x14ac:dyDescent="0.3"/>
    <row r="1568" s="3" customFormat="1" x14ac:dyDescent="0.3"/>
    <row r="1569" s="3" customFormat="1" x14ac:dyDescent="0.3"/>
    <row r="1570" s="3" customFormat="1" x14ac:dyDescent="0.3"/>
    <row r="1571" s="3" customFormat="1" x14ac:dyDescent="0.3"/>
    <row r="1572" s="3" customFormat="1" x14ac:dyDescent="0.3"/>
    <row r="1573" s="3" customFormat="1" x14ac:dyDescent="0.3"/>
    <row r="1574" s="3" customFormat="1" x14ac:dyDescent="0.3"/>
    <row r="1575" s="3" customFormat="1" x14ac:dyDescent="0.3"/>
    <row r="1576" s="3" customFormat="1" x14ac:dyDescent="0.3"/>
    <row r="1577" s="3" customFormat="1" x14ac:dyDescent="0.3"/>
    <row r="1578" s="3" customFormat="1" x14ac:dyDescent="0.3"/>
    <row r="1579" s="3" customFormat="1" x14ac:dyDescent="0.3"/>
    <row r="1580" s="3" customFormat="1" x14ac:dyDescent="0.3"/>
    <row r="1581" s="3" customFormat="1" x14ac:dyDescent="0.3"/>
    <row r="1582" s="3" customFormat="1" x14ac:dyDescent="0.3"/>
    <row r="1583" s="3" customFormat="1" x14ac:dyDescent="0.3"/>
    <row r="1584" s="3" customFormat="1" x14ac:dyDescent="0.3"/>
    <row r="1585" s="3" customFormat="1" x14ac:dyDescent="0.3"/>
    <row r="1586" s="3" customFormat="1" x14ac:dyDescent="0.3"/>
    <row r="1587" s="3" customFormat="1" x14ac:dyDescent="0.3"/>
    <row r="1588" s="3" customFormat="1" x14ac:dyDescent="0.3"/>
    <row r="1589" s="3" customFormat="1" x14ac:dyDescent="0.3"/>
    <row r="1590" s="3" customFormat="1" x14ac:dyDescent="0.3"/>
    <row r="1591" s="3" customFormat="1" x14ac:dyDescent="0.3"/>
    <row r="1592" s="3" customFormat="1" x14ac:dyDescent="0.3"/>
    <row r="1593" s="3" customFormat="1" x14ac:dyDescent="0.3"/>
    <row r="1594" s="3" customFormat="1" x14ac:dyDescent="0.3"/>
    <row r="1595" s="3" customFormat="1" x14ac:dyDescent="0.3"/>
    <row r="1596" s="3" customFormat="1" x14ac:dyDescent="0.3"/>
    <row r="1597" s="3" customFormat="1" x14ac:dyDescent="0.3"/>
    <row r="1598" s="3" customFormat="1" x14ac:dyDescent="0.3"/>
    <row r="1599" s="3" customFormat="1" x14ac:dyDescent="0.3"/>
    <row r="1600" s="3" customFormat="1" x14ac:dyDescent="0.3"/>
    <row r="1601" s="3" customFormat="1" x14ac:dyDescent="0.3"/>
    <row r="1602" s="3" customFormat="1" x14ac:dyDescent="0.3"/>
    <row r="1603" s="3" customFormat="1" x14ac:dyDescent="0.3"/>
    <row r="1604" s="3" customFormat="1" x14ac:dyDescent="0.3"/>
    <row r="1605" s="3" customFormat="1" x14ac:dyDescent="0.3"/>
    <row r="1606" s="3" customFormat="1" x14ac:dyDescent="0.3"/>
    <row r="1607" s="3" customFormat="1" x14ac:dyDescent="0.3"/>
    <row r="1608" s="3" customFormat="1" x14ac:dyDescent="0.3"/>
    <row r="1609" s="3" customFormat="1" x14ac:dyDescent="0.3"/>
    <row r="1610" s="3" customFormat="1" x14ac:dyDescent="0.3"/>
    <row r="1611" s="3" customFormat="1" x14ac:dyDescent="0.3"/>
    <row r="1612" s="3" customFormat="1" x14ac:dyDescent="0.3"/>
    <row r="1613" s="3" customFormat="1" x14ac:dyDescent="0.3"/>
    <row r="1614" s="3" customFormat="1" x14ac:dyDescent="0.3"/>
    <row r="1615" s="3" customFormat="1" x14ac:dyDescent="0.3"/>
    <row r="1616" s="3" customFormat="1" x14ac:dyDescent="0.3"/>
    <row r="1617" s="3" customFormat="1" x14ac:dyDescent="0.3"/>
    <row r="1618" s="3" customFormat="1" x14ac:dyDescent="0.3"/>
    <row r="1619" s="3" customFormat="1" x14ac:dyDescent="0.3"/>
    <row r="1620" s="3" customFormat="1" x14ac:dyDescent="0.3"/>
    <row r="1621" s="3" customFormat="1" x14ac:dyDescent="0.3"/>
    <row r="1622" s="3" customFormat="1" x14ac:dyDescent="0.3"/>
    <row r="1623" s="3" customFormat="1" x14ac:dyDescent="0.3"/>
    <row r="1624" s="3" customFormat="1" x14ac:dyDescent="0.3"/>
    <row r="1625" s="3" customFormat="1" x14ac:dyDescent="0.3"/>
    <row r="1626" s="3" customFormat="1" x14ac:dyDescent="0.3"/>
    <row r="1627" s="3" customFormat="1" x14ac:dyDescent="0.3"/>
    <row r="1628" s="3" customFormat="1" x14ac:dyDescent="0.3"/>
    <row r="1629" s="3" customFormat="1" x14ac:dyDescent="0.3"/>
    <row r="1630" s="3" customFormat="1" x14ac:dyDescent="0.3"/>
    <row r="1631" s="3" customFormat="1" x14ac:dyDescent="0.3"/>
    <row r="1632" s="3" customFormat="1" x14ac:dyDescent="0.3"/>
    <row r="1633" s="3" customFormat="1" x14ac:dyDescent="0.3"/>
    <row r="1634" s="3" customFormat="1" x14ac:dyDescent="0.3"/>
    <row r="1635" s="3" customFormat="1" x14ac:dyDescent="0.3"/>
    <row r="1636" s="3" customFormat="1" x14ac:dyDescent="0.3"/>
    <row r="1637" s="3" customFormat="1" x14ac:dyDescent="0.3"/>
    <row r="1638" s="3" customFormat="1" x14ac:dyDescent="0.3"/>
    <row r="1639" s="3" customFormat="1" x14ac:dyDescent="0.3"/>
    <row r="1640" s="3" customFormat="1" x14ac:dyDescent="0.3"/>
    <row r="1641" s="3" customFormat="1" x14ac:dyDescent="0.3"/>
    <row r="1642" s="3" customFormat="1" x14ac:dyDescent="0.3"/>
    <row r="1643" s="3" customFormat="1" x14ac:dyDescent="0.3"/>
    <row r="1644" s="3" customFormat="1" x14ac:dyDescent="0.3"/>
    <row r="1645" s="3" customFormat="1" x14ac:dyDescent="0.3"/>
    <row r="1646" s="3" customFormat="1" x14ac:dyDescent="0.3"/>
    <row r="1647" s="3" customFormat="1" x14ac:dyDescent="0.3"/>
    <row r="1648" s="3" customFormat="1" x14ac:dyDescent="0.3"/>
    <row r="1649" s="3" customFormat="1" x14ac:dyDescent="0.3"/>
    <row r="1650" s="3" customFormat="1" x14ac:dyDescent="0.3"/>
    <row r="1651" s="3" customFormat="1" x14ac:dyDescent="0.3"/>
    <row r="1652" s="3" customFormat="1" x14ac:dyDescent="0.3"/>
    <row r="1653" s="3" customFormat="1" x14ac:dyDescent="0.3"/>
    <row r="1654" s="3" customFormat="1" x14ac:dyDescent="0.3"/>
    <row r="1655" s="3" customFormat="1" x14ac:dyDescent="0.3"/>
    <row r="1656" s="3" customFormat="1" x14ac:dyDescent="0.3"/>
    <row r="1657" s="3" customFormat="1" x14ac:dyDescent="0.3"/>
    <row r="1658" s="3" customFormat="1" x14ac:dyDescent="0.3"/>
    <row r="1659" s="3" customFormat="1" x14ac:dyDescent="0.3"/>
    <row r="1660" s="3" customFormat="1" x14ac:dyDescent="0.3"/>
    <row r="1661" s="3" customFormat="1" x14ac:dyDescent="0.3"/>
    <row r="1662" s="3" customFormat="1" x14ac:dyDescent="0.3"/>
    <row r="1663" s="3" customFormat="1" x14ac:dyDescent="0.3"/>
    <row r="1664" s="3" customFormat="1" x14ac:dyDescent="0.3"/>
    <row r="1665" s="3" customFormat="1" x14ac:dyDescent="0.3"/>
    <row r="1666" s="3" customFormat="1" x14ac:dyDescent="0.3"/>
    <row r="1667" s="3" customFormat="1" x14ac:dyDescent="0.3"/>
    <row r="1668" s="3" customFormat="1" x14ac:dyDescent="0.3"/>
    <row r="1669" s="3" customFormat="1" x14ac:dyDescent="0.3"/>
    <row r="1670" s="3" customFormat="1" x14ac:dyDescent="0.3"/>
    <row r="1671" s="3" customFormat="1" x14ac:dyDescent="0.3"/>
    <row r="1672" s="3" customFormat="1" x14ac:dyDescent="0.3"/>
    <row r="1673" s="3" customFormat="1" x14ac:dyDescent="0.3"/>
    <row r="1674" s="3" customFormat="1" x14ac:dyDescent="0.3"/>
    <row r="1675" s="3" customFormat="1" x14ac:dyDescent="0.3"/>
    <row r="1676" s="3" customFormat="1" x14ac:dyDescent="0.3"/>
    <row r="1677" s="3" customFormat="1" x14ac:dyDescent="0.3"/>
    <row r="1678" s="3" customFormat="1" x14ac:dyDescent="0.3"/>
    <row r="1679" s="3" customFormat="1" x14ac:dyDescent="0.3"/>
    <row r="1680" s="3" customFormat="1" x14ac:dyDescent="0.3"/>
    <row r="1681" s="3" customFormat="1" x14ac:dyDescent="0.3"/>
    <row r="1682" s="3" customFormat="1" x14ac:dyDescent="0.3"/>
    <row r="1683" s="3" customFormat="1" x14ac:dyDescent="0.3"/>
    <row r="1684" s="3" customFormat="1" x14ac:dyDescent="0.3"/>
    <row r="1685" s="3" customFormat="1" x14ac:dyDescent="0.3"/>
    <row r="1686" s="3" customFormat="1" x14ac:dyDescent="0.3"/>
    <row r="1687" s="3" customFormat="1" x14ac:dyDescent="0.3"/>
    <row r="1688" s="3" customFormat="1" x14ac:dyDescent="0.3"/>
    <row r="1689" s="3" customFormat="1" x14ac:dyDescent="0.3"/>
    <row r="1690" s="3" customFormat="1" x14ac:dyDescent="0.3"/>
    <row r="1691" s="3" customFormat="1" x14ac:dyDescent="0.3"/>
    <row r="1692" s="3" customFormat="1" x14ac:dyDescent="0.3"/>
    <row r="1693" s="3" customFormat="1" x14ac:dyDescent="0.3"/>
    <row r="1694" s="3" customFormat="1" x14ac:dyDescent="0.3"/>
    <row r="1695" s="3" customFormat="1" x14ac:dyDescent="0.3"/>
    <row r="1696" s="3" customFormat="1" x14ac:dyDescent="0.3"/>
    <row r="1697" s="3" customFormat="1" x14ac:dyDescent="0.3"/>
    <row r="1698" s="3" customFormat="1" x14ac:dyDescent="0.3"/>
    <row r="1699" s="3" customFormat="1" x14ac:dyDescent="0.3"/>
    <row r="1700" s="3" customFormat="1" x14ac:dyDescent="0.3"/>
    <row r="1701" s="3" customFormat="1" x14ac:dyDescent="0.3"/>
    <row r="1702" s="3" customFormat="1" x14ac:dyDescent="0.3"/>
    <row r="1703" s="3" customFormat="1" x14ac:dyDescent="0.3"/>
    <row r="1704" s="3" customFormat="1" x14ac:dyDescent="0.3"/>
    <row r="1705" s="3" customFormat="1" x14ac:dyDescent="0.3"/>
    <row r="1706" s="3" customFormat="1" x14ac:dyDescent="0.3"/>
    <row r="1707" s="3" customFormat="1" x14ac:dyDescent="0.3"/>
    <row r="1708" s="3" customFormat="1" x14ac:dyDescent="0.3"/>
    <row r="1709" s="3" customFormat="1" x14ac:dyDescent="0.3"/>
    <row r="1710" s="3" customFormat="1" x14ac:dyDescent="0.3"/>
    <row r="1711" s="3" customFormat="1" x14ac:dyDescent="0.3"/>
    <row r="1712" s="3" customFormat="1" x14ac:dyDescent="0.3"/>
    <row r="1713" s="3" customFormat="1" x14ac:dyDescent="0.3"/>
    <row r="1714" s="3" customFormat="1" x14ac:dyDescent="0.3"/>
    <row r="1715" s="3" customFormat="1" x14ac:dyDescent="0.3"/>
    <row r="1716" s="3" customFormat="1" x14ac:dyDescent="0.3"/>
    <row r="1717" s="3" customFormat="1" x14ac:dyDescent="0.3"/>
    <row r="1718" s="3" customFormat="1" x14ac:dyDescent="0.3"/>
    <row r="1719" s="3" customFormat="1" x14ac:dyDescent="0.3"/>
    <row r="1720" s="3" customFormat="1" x14ac:dyDescent="0.3"/>
    <row r="1721" s="3" customFormat="1" x14ac:dyDescent="0.3"/>
    <row r="1722" s="3" customFormat="1" x14ac:dyDescent="0.3"/>
    <row r="1723" s="3" customFormat="1" x14ac:dyDescent="0.3"/>
    <row r="1724" s="3" customFormat="1" x14ac:dyDescent="0.3"/>
    <row r="1725" s="3" customFormat="1" x14ac:dyDescent="0.3"/>
    <row r="1726" s="3" customFormat="1" x14ac:dyDescent="0.3"/>
    <row r="1727" s="3" customFormat="1" x14ac:dyDescent="0.3"/>
    <row r="1728" s="3" customFormat="1" x14ac:dyDescent="0.3"/>
    <row r="1729" s="3" customFormat="1" x14ac:dyDescent="0.3"/>
    <row r="1730" s="3" customFormat="1" x14ac:dyDescent="0.3"/>
    <row r="1731" s="3" customFormat="1" x14ac:dyDescent="0.3"/>
    <row r="1732" s="3" customFormat="1" x14ac:dyDescent="0.3"/>
    <row r="1733" s="3" customFormat="1" x14ac:dyDescent="0.3"/>
    <row r="1734" s="3" customFormat="1" x14ac:dyDescent="0.3"/>
    <row r="1735" s="3" customFormat="1" x14ac:dyDescent="0.3"/>
    <row r="1736" s="3" customFormat="1" x14ac:dyDescent="0.3"/>
    <row r="1737" s="3" customFormat="1" x14ac:dyDescent="0.3"/>
    <row r="1738" s="3" customFormat="1" x14ac:dyDescent="0.3"/>
    <row r="1739" s="3" customFormat="1" x14ac:dyDescent="0.3"/>
    <row r="1740" s="3" customFormat="1" x14ac:dyDescent="0.3"/>
    <row r="1741" s="3" customFormat="1" x14ac:dyDescent="0.3"/>
    <row r="1742" s="3" customFormat="1" x14ac:dyDescent="0.3"/>
    <row r="1743" s="3" customFormat="1" x14ac:dyDescent="0.3"/>
    <row r="1744" s="3" customFormat="1" x14ac:dyDescent="0.3"/>
    <row r="1745" s="3" customFormat="1" x14ac:dyDescent="0.3"/>
    <row r="1746" s="3" customFormat="1" x14ac:dyDescent="0.3"/>
    <row r="1747" s="3" customFormat="1" x14ac:dyDescent="0.3"/>
    <row r="1748" s="3" customFormat="1" x14ac:dyDescent="0.3"/>
    <row r="1749" s="3" customFormat="1" x14ac:dyDescent="0.3"/>
    <row r="1750" s="3" customFormat="1" x14ac:dyDescent="0.3"/>
    <row r="1751" s="3" customFormat="1" x14ac:dyDescent="0.3"/>
    <row r="1752" s="3" customFormat="1" x14ac:dyDescent="0.3"/>
    <row r="1753" s="3" customFormat="1" x14ac:dyDescent="0.3"/>
    <row r="1754" s="3" customFormat="1" x14ac:dyDescent="0.3"/>
    <row r="1755" s="3" customFormat="1" x14ac:dyDescent="0.3"/>
    <row r="1756" s="3" customFormat="1" x14ac:dyDescent="0.3"/>
    <row r="1757" s="3" customFormat="1" x14ac:dyDescent="0.3"/>
    <row r="1758" s="3" customFormat="1" x14ac:dyDescent="0.3"/>
    <row r="1759" s="3" customFormat="1" x14ac:dyDescent="0.3"/>
    <row r="1760" s="3" customFormat="1" x14ac:dyDescent="0.3"/>
    <row r="1761" s="3" customFormat="1" x14ac:dyDescent="0.3"/>
    <row r="1762" s="3" customFormat="1" x14ac:dyDescent="0.3"/>
    <row r="1763" s="3" customFormat="1" x14ac:dyDescent="0.3"/>
    <row r="1764" s="3" customFormat="1" x14ac:dyDescent="0.3"/>
    <row r="1765" s="3" customFormat="1" x14ac:dyDescent="0.3"/>
    <row r="1766" s="3" customFormat="1" x14ac:dyDescent="0.3"/>
    <row r="1767" s="3" customFormat="1" x14ac:dyDescent="0.3"/>
    <row r="1768" s="3" customFormat="1" x14ac:dyDescent="0.3"/>
    <row r="1769" s="3" customFormat="1" x14ac:dyDescent="0.3"/>
    <row r="1770" s="3" customFormat="1" x14ac:dyDescent="0.3"/>
    <row r="1771" s="3" customFormat="1" x14ac:dyDescent="0.3"/>
    <row r="1772" s="3" customFormat="1" x14ac:dyDescent="0.3"/>
    <row r="1773" s="3" customFormat="1" x14ac:dyDescent="0.3"/>
    <row r="1774" s="3" customFormat="1" x14ac:dyDescent="0.3"/>
    <row r="1775" s="3" customFormat="1" x14ac:dyDescent="0.3"/>
    <row r="1776" s="3" customFormat="1" x14ac:dyDescent="0.3"/>
    <row r="1777" s="3" customFormat="1" x14ac:dyDescent="0.3"/>
    <row r="1778" s="3" customFormat="1" x14ac:dyDescent="0.3"/>
    <row r="1779" s="3" customFormat="1" x14ac:dyDescent="0.3"/>
    <row r="1780" s="3" customFormat="1" x14ac:dyDescent="0.3"/>
    <row r="1781" s="3" customFormat="1" x14ac:dyDescent="0.3"/>
    <row r="1782" s="3" customFormat="1" x14ac:dyDescent="0.3"/>
    <row r="1783" s="3" customFormat="1" x14ac:dyDescent="0.3"/>
    <row r="1784" s="3" customFormat="1" x14ac:dyDescent="0.3"/>
    <row r="1785" s="3" customFormat="1" x14ac:dyDescent="0.3"/>
    <row r="1786" s="3" customFormat="1" x14ac:dyDescent="0.3"/>
    <row r="1787" s="3" customFormat="1" x14ac:dyDescent="0.3"/>
    <row r="1788" s="3" customFormat="1" x14ac:dyDescent="0.3"/>
    <row r="1789" s="3" customFormat="1" x14ac:dyDescent="0.3"/>
    <row r="1790" s="3" customFormat="1" x14ac:dyDescent="0.3"/>
    <row r="1791" s="3" customFormat="1" x14ac:dyDescent="0.3"/>
    <row r="1792" s="3" customFormat="1" x14ac:dyDescent="0.3"/>
    <row r="1793" s="3" customFormat="1" x14ac:dyDescent="0.3"/>
    <row r="1794" s="3" customFormat="1" x14ac:dyDescent="0.3"/>
    <row r="1795" s="3" customFormat="1" x14ac:dyDescent="0.3"/>
    <row r="1796" s="3" customFormat="1" x14ac:dyDescent="0.3"/>
    <row r="1797" s="3" customFormat="1" x14ac:dyDescent="0.3"/>
    <row r="1798" s="3" customFormat="1" x14ac:dyDescent="0.3"/>
    <row r="1799" s="3" customFormat="1" x14ac:dyDescent="0.3"/>
    <row r="1800" s="3" customFormat="1" x14ac:dyDescent="0.3"/>
    <row r="1801" s="3" customFormat="1" x14ac:dyDescent="0.3"/>
    <row r="1802" s="3" customFormat="1" x14ac:dyDescent="0.3"/>
    <row r="1803" s="3" customFormat="1" x14ac:dyDescent="0.3"/>
    <row r="1804" s="3" customFormat="1" x14ac:dyDescent="0.3"/>
    <row r="1805" s="3" customFormat="1" x14ac:dyDescent="0.3"/>
    <row r="1806" s="3" customFormat="1" x14ac:dyDescent="0.3"/>
    <row r="1807" s="3" customFormat="1" x14ac:dyDescent="0.3"/>
    <row r="1808" s="3" customFormat="1" x14ac:dyDescent="0.3"/>
    <row r="1809" s="3" customFormat="1" x14ac:dyDescent="0.3"/>
    <row r="1810" s="3" customFormat="1" x14ac:dyDescent="0.3"/>
    <row r="1811" s="3" customFormat="1" x14ac:dyDescent="0.3"/>
    <row r="1812" s="3" customFormat="1" x14ac:dyDescent="0.3"/>
    <row r="1813" s="3" customFormat="1" x14ac:dyDescent="0.3"/>
    <row r="1814" s="3" customFormat="1" x14ac:dyDescent="0.3"/>
    <row r="1815" s="3" customFormat="1" x14ac:dyDescent="0.3"/>
    <row r="1816" s="3" customFormat="1" x14ac:dyDescent="0.3"/>
    <row r="1817" s="3" customFormat="1" x14ac:dyDescent="0.3"/>
    <row r="1818" s="3" customFormat="1" x14ac:dyDescent="0.3"/>
    <row r="1819" s="3" customFormat="1" x14ac:dyDescent="0.3"/>
    <row r="1820" s="3" customFormat="1" x14ac:dyDescent="0.3"/>
    <row r="1821" s="3" customFormat="1" x14ac:dyDescent="0.3"/>
    <row r="1822" s="3" customFormat="1" x14ac:dyDescent="0.3"/>
    <row r="1823" s="3" customFormat="1" x14ac:dyDescent="0.3"/>
    <row r="1824" s="3" customFormat="1" x14ac:dyDescent="0.3"/>
    <row r="1825" s="3" customFormat="1" x14ac:dyDescent="0.3"/>
    <row r="1826" s="3" customFormat="1" x14ac:dyDescent="0.3"/>
    <row r="1827" s="3" customFormat="1" x14ac:dyDescent="0.3"/>
    <row r="1828" s="3" customFormat="1" x14ac:dyDescent="0.3"/>
    <row r="1829" s="3" customFormat="1" x14ac:dyDescent="0.3"/>
    <row r="1830" s="3" customFormat="1" x14ac:dyDescent="0.3"/>
    <row r="1831" s="3" customFormat="1" x14ac:dyDescent="0.3"/>
    <row r="1832" s="3" customFormat="1" x14ac:dyDescent="0.3"/>
    <row r="1833" s="3" customFormat="1" x14ac:dyDescent="0.3"/>
    <row r="1834" s="3" customFormat="1" x14ac:dyDescent="0.3"/>
    <row r="1835" s="3" customFormat="1" x14ac:dyDescent="0.3"/>
    <row r="1836" s="3" customFormat="1" x14ac:dyDescent="0.3"/>
    <row r="1837" s="3" customFormat="1" x14ac:dyDescent="0.3"/>
    <row r="1838" s="3" customFormat="1" x14ac:dyDescent="0.3"/>
    <row r="1839" s="3" customFormat="1" x14ac:dyDescent="0.3"/>
    <row r="1840" s="3" customFormat="1" x14ac:dyDescent="0.3"/>
    <row r="1841" s="3" customFormat="1" x14ac:dyDescent="0.3"/>
    <row r="1842" s="3" customFormat="1" x14ac:dyDescent="0.3"/>
    <row r="1843" s="3" customFormat="1" x14ac:dyDescent="0.3"/>
    <row r="1844" s="3" customFormat="1" x14ac:dyDescent="0.3"/>
    <row r="1845" s="3" customFormat="1" x14ac:dyDescent="0.3"/>
    <row r="1846" s="3" customFormat="1" x14ac:dyDescent="0.3"/>
    <row r="1847" s="3" customFormat="1" x14ac:dyDescent="0.3"/>
    <row r="1848" s="3" customFormat="1" x14ac:dyDescent="0.3"/>
    <row r="1849" s="3" customFormat="1" x14ac:dyDescent="0.3"/>
    <row r="1850" s="3" customFormat="1" x14ac:dyDescent="0.3"/>
    <row r="1851" s="3" customFormat="1" x14ac:dyDescent="0.3"/>
    <row r="1852" s="3" customFormat="1" x14ac:dyDescent="0.3"/>
    <row r="1853" s="3" customFormat="1" x14ac:dyDescent="0.3"/>
    <row r="1854" s="3" customFormat="1" x14ac:dyDescent="0.3"/>
    <row r="1855" s="3" customFormat="1" x14ac:dyDescent="0.3"/>
    <row r="1856" s="3" customFormat="1" x14ac:dyDescent="0.3"/>
    <row r="1857" s="3" customFormat="1" x14ac:dyDescent="0.3"/>
    <row r="1858" s="3" customFormat="1" x14ac:dyDescent="0.3"/>
    <row r="1859" s="3" customFormat="1" x14ac:dyDescent="0.3"/>
    <row r="1860" s="3" customFormat="1" x14ac:dyDescent="0.3"/>
    <row r="1861" s="3" customFormat="1" x14ac:dyDescent="0.3"/>
    <row r="1862" s="3" customFormat="1" x14ac:dyDescent="0.3"/>
    <row r="1863" s="3" customFormat="1" x14ac:dyDescent="0.3"/>
    <row r="1864" s="3" customFormat="1" x14ac:dyDescent="0.3"/>
    <row r="1865" s="3" customFormat="1" x14ac:dyDescent="0.3"/>
    <row r="1866" s="3" customFormat="1" x14ac:dyDescent="0.3"/>
    <row r="1867" s="3" customFormat="1" x14ac:dyDescent="0.3"/>
    <row r="1868" s="3" customFormat="1" x14ac:dyDescent="0.3"/>
    <row r="1869" s="3" customFormat="1" x14ac:dyDescent="0.3"/>
    <row r="1870" s="3" customFormat="1" x14ac:dyDescent="0.3"/>
    <row r="1871" s="3" customFormat="1" x14ac:dyDescent="0.3"/>
    <row r="1872" s="3" customFormat="1" x14ac:dyDescent="0.3"/>
    <row r="1873" s="3" customFormat="1" x14ac:dyDescent="0.3"/>
    <row r="1874" s="3" customFormat="1" x14ac:dyDescent="0.3"/>
    <row r="1875" s="3" customFormat="1" x14ac:dyDescent="0.3"/>
    <row r="1876" s="3" customFormat="1" x14ac:dyDescent="0.3"/>
    <row r="1877" s="3" customFormat="1" x14ac:dyDescent="0.3"/>
    <row r="1878" s="3" customFormat="1" x14ac:dyDescent="0.3"/>
    <row r="1879" s="3" customFormat="1" x14ac:dyDescent="0.3"/>
    <row r="1880" s="3" customFormat="1" x14ac:dyDescent="0.3"/>
    <row r="1881" s="3" customFormat="1" x14ac:dyDescent="0.3"/>
    <row r="1882" s="3" customFormat="1" x14ac:dyDescent="0.3"/>
    <row r="1883" s="3" customFormat="1" x14ac:dyDescent="0.3"/>
    <row r="1884" s="3" customFormat="1" x14ac:dyDescent="0.3"/>
    <row r="1885" s="3" customFormat="1" x14ac:dyDescent="0.3"/>
    <row r="1886" s="3" customFormat="1" x14ac:dyDescent="0.3"/>
    <row r="1887" s="3" customFormat="1" x14ac:dyDescent="0.3"/>
    <row r="1888" s="3" customFormat="1" x14ac:dyDescent="0.3"/>
    <row r="1889" s="3" customFormat="1" x14ac:dyDescent="0.3"/>
    <row r="1890" s="3" customFormat="1" x14ac:dyDescent="0.3"/>
    <row r="1891" s="3" customFormat="1" x14ac:dyDescent="0.3"/>
    <row r="1892" s="3" customFormat="1" x14ac:dyDescent="0.3"/>
    <row r="1893" s="3" customFormat="1" x14ac:dyDescent="0.3"/>
    <row r="1894" s="3" customFormat="1" x14ac:dyDescent="0.3"/>
    <row r="1895" s="3" customFormat="1" x14ac:dyDescent="0.3"/>
    <row r="1896" s="3" customFormat="1" x14ac:dyDescent="0.3"/>
    <row r="1897" s="3" customFormat="1" x14ac:dyDescent="0.3"/>
    <row r="1898" s="3" customFormat="1" x14ac:dyDescent="0.3"/>
    <row r="1899" s="3" customFormat="1" x14ac:dyDescent="0.3"/>
    <row r="1900" s="3" customFormat="1" x14ac:dyDescent="0.3"/>
    <row r="1901" s="3" customFormat="1" x14ac:dyDescent="0.3"/>
    <row r="1902" s="3" customFormat="1" x14ac:dyDescent="0.3"/>
    <row r="1903" s="3" customFormat="1" x14ac:dyDescent="0.3"/>
    <row r="1904" s="3" customFormat="1" x14ac:dyDescent="0.3"/>
    <row r="1905" s="3" customFormat="1" x14ac:dyDescent="0.3"/>
    <row r="1906" s="3" customFormat="1" x14ac:dyDescent="0.3"/>
    <row r="1907" s="3" customFormat="1" x14ac:dyDescent="0.3"/>
    <row r="1908" s="3" customFormat="1" x14ac:dyDescent="0.3"/>
    <row r="1909" s="3" customFormat="1" x14ac:dyDescent="0.3"/>
    <row r="1910" s="3" customFormat="1" x14ac:dyDescent="0.3"/>
    <row r="1911" s="3" customFormat="1" x14ac:dyDescent="0.3"/>
    <row r="1912" s="3" customFormat="1" x14ac:dyDescent="0.3"/>
    <row r="1913" s="3" customFormat="1" x14ac:dyDescent="0.3"/>
    <row r="1914" s="3" customFormat="1" x14ac:dyDescent="0.3"/>
    <row r="1915" s="3" customFormat="1" x14ac:dyDescent="0.3"/>
    <row r="1916" s="3" customFormat="1" x14ac:dyDescent="0.3"/>
    <row r="1917" s="3" customFormat="1" x14ac:dyDescent="0.3"/>
    <row r="1918" s="3" customFormat="1" x14ac:dyDescent="0.3"/>
    <row r="1919" s="3" customFormat="1" x14ac:dyDescent="0.3"/>
    <row r="1920" s="3" customFormat="1" x14ac:dyDescent="0.3"/>
    <row r="1921" s="3" customFormat="1" x14ac:dyDescent="0.3"/>
    <row r="1922" s="3" customFormat="1" x14ac:dyDescent="0.3"/>
    <row r="1923" s="3" customFormat="1" x14ac:dyDescent="0.3"/>
    <row r="1924" s="3" customFormat="1" x14ac:dyDescent="0.3"/>
    <row r="1925" s="3" customFormat="1" x14ac:dyDescent="0.3"/>
    <row r="1926" s="3" customFormat="1" x14ac:dyDescent="0.3"/>
    <row r="1927" s="3" customFormat="1" x14ac:dyDescent="0.3"/>
    <row r="1928" s="3" customFormat="1" x14ac:dyDescent="0.3"/>
    <row r="1929" s="3" customFormat="1" x14ac:dyDescent="0.3"/>
    <row r="1930" s="3" customFormat="1" x14ac:dyDescent="0.3"/>
    <row r="1931" s="3" customFormat="1" x14ac:dyDescent="0.3"/>
    <row r="1932" s="3" customFormat="1" x14ac:dyDescent="0.3"/>
    <row r="1933" s="3" customFormat="1" x14ac:dyDescent="0.3"/>
    <row r="1934" s="3" customFormat="1" x14ac:dyDescent="0.3"/>
    <row r="1935" s="3" customFormat="1" x14ac:dyDescent="0.3"/>
    <row r="1936" s="3" customFormat="1" x14ac:dyDescent="0.3"/>
    <row r="1937" s="3" customFormat="1" x14ac:dyDescent="0.3"/>
    <row r="1938" s="3" customFormat="1" x14ac:dyDescent="0.3"/>
    <row r="1939" s="3" customFormat="1" x14ac:dyDescent="0.3"/>
    <row r="1940" s="3" customFormat="1" x14ac:dyDescent="0.3"/>
    <row r="1941" s="3" customFormat="1" x14ac:dyDescent="0.3"/>
    <row r="1942" s="3" customFormat="1" x14ac:dyDescent="0.3"/>
    <row r="1943" s="3" customFormat="1" x14ac:dyDescent="0.3"/>
    <row r="1944" s="3" customFormat="1" x14ac:dyDescent="0.3"/>
    <row r="1945" s="3" customFormat="1" x14ac:dyDescent="0.3"/>
    <row r="1946" s="3" customFormat="1" x14ac:dyDescent="0.3"/>
    <row r="1947" s="3" customFormat="1" x14ac:dyDescent="0.3"/>
    <row r="1948" s="3" customFormat="1" x14ac:dyDescent="0.3"/>
    <row r="1949" s="3" customFormat="1" x14ac:dyDescent="0.3"/>
    <row r="1950" s="3" customFormat="1" x14ac:dyDescent="0.3"/>
    <row r="1951" s="3" customFormat="1" x14ac:dyDescent="0.3"/>
    <row r="1952" s="3" customFormat="1" x14ac:dyDescent="0.3"/>
    <row r="1953" s="3" customFormat="1" x14ac:dyDescent="0.3"/>
    <row r="1954" s="3" customFormat="1" x14ac:dyDescent="0.3"/>
    <row r="1955" s="3" customFormat="1" x14ac:dyDescent="0.3"/>
    <row r="1956" s="3" customFormat="1" x14ac:dyDescent="0.3"/>
    <row r="1957" s="3" customFormat="1" x14ac:dyDescent="0.3"/>
    <row r="1958" s="3" customFormat="1" x14ac:dyDescent="0.3"/>
    <row r="1959" s="3" customFormat="1" x14ac:dyDescent="0.3"/>
    <row r="1960" s="3" customFormat="1" x14ac:dyDescent="0.3"/>
    <row r="1961" s="3" customFormat="1" x14ac:dyDescent="0.3"/>
    <row r="1962" s="3" customFormat="1" x14ac:dyDescent="0.3"/>
    <row r="1963" s="3" customFormat="1" x14ac:dyDescent="0.3"/>
    <row r="1964" s="3" customFormat="1" x14ac:dyDescent="0.3"/>
    <row r="1965" s="3" customFormat="1" x14ac:dyDescent="0.3"/>
    <row r="1966" s="3" customFormat="1" x14ac:dyDescent="0.3"/>
    <row r="1967" s="3" customFormat="1" x14ac:dyDescent="0.3"/>
    <row r="1968" s="3" customFormat="1" x14ac:dyDescent="0.3"/>
    <row r="1969" s="3" customFormat="1" x14ac:dyDescent="0.3"/>
    <row r="1970" s="3" customFormat="1" x14ac:dyDescent="0.3"/>
    <row r="1971" s="3" customFormat="1" x14ac:dyDescent="0.3"/>
    <row r="1972" s="3" customFormat="1" x14ac:dyDescent="0.3"/>
    <row r="1973" s="3" customFormat="1" x14ac:dyDescent="0.3"/>
    <row r="1974" s="3" customFormat="1" x14ac:dyDescent="0.3"/>
    <row r="1975" s="3" customFormat="1" x14ac:dyDescent="0.3"/>
    <row r="1976" s="3" customFormat="1" x14ac:dyDescent="0.3"/>
    <row r="1977" s="3" customFormat="1" x14ac:dyDescent="0.3"/>
    <row r="1978" s="3" customFormat="1" x14ac:dyDescent="0.3"/>
    <row r="1979" s="3" customFormat="1" x14ac:dyDescent="0.3"/>
    <row r="1980" s="3" customFormat="1" x14ac:dyDescent="0.3"/>
    <row r="1981" s="3" customFormat="1" x14ac:dyDescent="0.3"/>
    <row r="1982" s="3" customFormat="1" x14ac:dyDescent="0.3"/>
    <row r="1983" s="3" customFormat="1" x14ac:dyDescent="0.3"/>
    <row r="1984" s="3" customFormat="1" x14ac:dyDescent="0.3"/>
    <row r="1985" s="3" customFormat="1" x14ac:dyDescent="0.3"/>
    <row r="1986" s="3" customFormat="1" x14ac:dyDescent="0.3"/>
    <row r="1987" s="3" customFormat="1" x14ac:dyDescent="0.3"/>
    <row r="1988" s="3" customFormat="1" x14ac:dyDescent="0.3"/>
    <row r="1989" s="3" customFormat="1" x14ac:dyDescent="0.3"/>
    <row r="1990" s="3" customFormat="1" x14ac:dyDescent="0.3"/>
    <row r="1991" s="3" customFormat="1" x14ac:dyDescent="0.3"/>
    <row r="1992" s="3" customFormat="1" x14ac:dyDescent="0.3"/>
    <row r="1993" s="3" customFormat="1" x14ac:dyDescent="0.3"/>
    <row r="1994" s="3" customFormat="1" x14ac:dyDescent="0.3"/>
    <row r="1995" s="3" customFormat="1" x14ac:dyDescent="0.3"/>
    <row r="1996" s="3" customFormat="1" x14ac:dyDescent="0.3"/>
    <row r="1997" s="3" customFormat="1" x14ac:dyDescent="0.3"/>
    <row r="1998" s="3" customFormat="1" x14ac:dyDescent="0.3"/>
    <row r="1999" s="3" customFormat="1" x14ac:dyDescent="0.3"/>
    <row r="2000" s="3" customFormat="1" x14ac:dyDescent="0.3"/>
    <row r="2001" s="3" customFormat="1" x14ac:dyDescent="0.3"/>
    <row r="2002" s="3" customFormat="1" x14ac:dyDescent="0.3"/>
    <row r="2003" s="3" customFormat="1" x14ac:dyDescent="0.3"/>
    <row r="2004" s="3" customFormat="1" x14ac:dyDescent="0.3"/>
    <row r="2005" s="3" customFormat="1" x14ac:dyDescent="0.3"/>
    <row r="2006" s="3" customFormat="1" x14ac:dyDescent="0.3"/>
    <row r="2007" s="3" customFormat="1" x14ac:dyDescent="0.3"/>
    <row r="2008" s="3" customFormat="1" x14ac:dyDescent="0.3"/>
    <row r="2009" s="3" customFormat="1" x14ac:dyDescent="0.3"/>
    <row r="2010" s="3" customFormat="1" x14ac:dyDescent="0.3"/>
    <row r="2011" s="3" customFormat="1" x14ac:dyDescent="0.3"/>
    <row r="2012" s="3" customFormat="1" x14ac:dyDescent="0.3"/>
    <row r="2013" s="3" customFormat="1" x14ac:dyDescent="0.3"/>
    <row r="2014" s="3" customFormat="1" x14ac:dyDescent="0.3"/>
    <row r="2015" s="3" customFormat="1" x14ac:dyDescent="0.3"/>
    <row r="2016" s="3" customFormat="1" x14ac:dyDescent="0.3"/>
    <row r="2017" s="3" customFormat="1" x14ac:dyDescent="0.3"/>
    <row r="2018" s="3" customFormat="1" x14ac:dyDescent="0.3"/>
    <row r="2019" s="3" customFormat="1" x14ac:dyDescent="0.3"/>
    <row r="2020" s="3" customFormat="1" x14ac:dyDescent="0.3"/>
    <row r="2021" s="3" customFormat="1" x14ac:dyDescent="0.3"/>
    <row r="2022" s="3" customFormat="1" x14ac:dyDescent="0.3"/>
    <row r="2023" s="3" customFormat="1" x14ac:dyDescent="0.3"/>
    <row r="2024" s="3" customFormat="1" x14ac:dyDescent="0.3"/>
    <row r="2025" s="3" customFormat="1" x14ac:dyDescent="0.3"/>
    <row r="2026" s="3" customFormat="1" x14ac:dyDescent="0.3"/>
    <row r="2027" s="3" customFormat="1" x14ac:dyDescent="0.3"/>
    <row r="2028" s="3" customFormat="1" x14ac:dyDescent="0.3"/>
    <row r="2029" s="3" customFormat="1" x14ac:dyDescent="0.3"/>
    <row r="2030" s="3" customFormat="1" x14ac:dyDescent="0.3"/>
    <row r="2031" s="3" customFormat="1" x14ac:dyDescent="0.3"/>
    <row r="2032" s="3" customFormat="1" x14ac:dyDescent="0.3"/>
    <row r="2033" s="3" customFormat="1" x14ac:dyDescent="0.3"/>
    <row r="2034" s="3" customFormat="1" x14ac:dyDescent="0.3"/>
    <row r="2035" s="3" customFormat="1" x14ac:dyDescent="0.3"/>
    <row r="2036" s="3" customFormat="1" x14ac:dyDescent="0.3"/>
    <row r="2037" s="3" customFormat="1" x14ac:dyDescent="0.3"/>
    <row r="2038" s="3" customFormat="1" x14ac:dyDescent="0.3"/>
    <row r="2039" s="3" customFormat="1" x14ac:dyDescent="0.3"/>
    <row r="2040" s="3" customFormat="1" x14ac:dyDescent="0.3"/>
    <row r="2041" s="3" customFormat="1" x14ac:dyDescent="0.3"/>
    <row r="2042" s="3" customFormat="1" x14ac:dyDescent="0.3"/>
    <row r="2043" s="3" customFormat="1" x14ac:dyDescent="0.3"/>
    <row r="2044" s="3" customFormat="1" x14ac:dyDescent="0.3"/>
    <row r="2045" s="3" customFormat="1" x14ac:dyDescent="0.3"/>
    <row r="2046" s="3" customFormat="1" x14ac:dyDescent="0.3"/>
    <row r="2047" s="3" customFormat="1" x14ac:dyDescent="0.3"/>
    <row r="2048" s="3" customFormat="1" x14ac:dyDescent="0.3"/>
    <row r="2049" s="3" customFormat="1" x14ac:dyDescent="0.3"/>
    <row r="2050" s="3" customFormat="1" x14ac:dyDescent="0.3"/>
    <row r="2051" s="3" customFormat="1" x14ac:dyDescent="0.3"/>
    <row r="2052" s="3" customFormat="1" x14ac:dyDescent="0.3"/>
    <row r="2053" s="3" customFormat="1" x14ac:dyDescent="0.3"/>
    <row r="2054" s="3" customFormat="1" x14ac:dyDescent="0.3"/>
    <row r="2055" s="3" customFormat="1" x14ac:dyDescent="0.3"/>
    <row r="2056" s="3" customFormat="1" x14ac:dyDescent="0.3"/>
    <row r="2057" s="3" customFormat="1" x14ac:dyDescent="0.3"/>
    <row r="2058" s="3" customFormat="1" x14ac:dyDescent="0.3"/>
    <row r="2059" s="3" customFormat="1" x14ac:dyDescent="0.3"/>
    <row r="2060" s="3" customFormat="1" x14ac:dyDescent="0.3"/>
    <row r="2061" s="3" customFormat="1" x14ac:dyDescent="0.3"/>
    <row r="2062" s="3" customFormat="1" x14ac:dyDescent="0.3"/>
    <row r="2063" s="3" customFormat="1" x14ac:dyDescent="0.3"/>
    <row r="2064" s="3" customFormat="1" x14ac:dyDescent="0.3"/>
    <row r="2065" s="3" customFormat="1" x14ac:dyDescent="0.3"/>
    <row r="2066" s="3" customFormat="1" x14ac:dyDescent="0.3"/>
    <row r="2067" s="3" customFormat="1" x14ac:dyDescent="0.3"/>
    <row r="2068" s="3" customFormat="1" x14ac:dyDescent="0.3"/>
    <row r="2069" s="3" customFormat="1" x14ac:dyDescent="0.3"/>
    <row r="2070" s="3" customFormat="1" x14ac:dyDescent="0.3"/>
    <row r="2071" s="3" customFormat="1" x14ac:dyDescent="0.3"/>
    <row r="2072" s="3" customFormat="1" x14ac:dyDescent="0.3"/>
    <row r="2073" s="3" customFormat="1" x14ac:dyDescent="0.3"/>
    <row r="2074" s="3" customFormat="1" x14ac:dyDescent="0.3"/>
    <row r="2075" s="3" customFormat="1" x14ac:dyDescent="0.3"/>
    <row r="2076" s="3" customFormat="1" x14ac:dyDescent="0.3"/>
    <row r="2077" s="3" customFormat="1" x14ac:dyDescent="0.3"/>
    <row r="2078" s="3" customFormat="1" x14ac:dyDescent="0.3"/>
    <row r="2079" s="3" customFormat="1" x14ac:dyDescent="0.3"/>
    <row r="2080" s="3" customFormat="1" x14ac:dyDescent="0.3"/>
    <row r="2081" s="3" customFormat="1" x14ac:dyDescent="0.3"/>
    <row r="2082" s="3" customFormat="1" x14ac:dyDescent="0.3"/>
    <row r="2083" s="3" customFormat="1" x14ac:dyDescent="0.3"/>
    <row r="2084" s="3" customFormat="1" x14ac:dyDescent="0.3"/>
    <row r="2085" s="3" customFormat="1" x14ac:dyDescent="0.3"/>
    <row r="2086" s="3" customFormat="1" x14ac:dyDescent="0.3"/>
    <row r="2087" s="3" customFormat="1" x14ac:dyDescent="0.3"/>
    <row r="2088" s="3" customFormat="1" x14ac:dyDescent="0.3"/>
    <row r="2089" s="3" customFormat="1" x14ac:dyDescent="0.3"/>
    <row r="2090" s="3" customFormat="1" x14ac:dyDescent="0.3"/>
    <row r="2091" s="3" customFormat="1" x14ac:dyDescent="0.3"/>
    <row r="2092" s="3" customFormat="1" x14ac:dyDescent="0.3"/>
    <row r="2093" s="3" customFormat="1" x14ac:dyDescent="0.3"/>
    <row r="2094" s="3" customFormat="1" x14ac:dyDescent="0.3"/>
    <row r="2095" s="3" customFormat="1" x14ac:dyDescent="0.3"/>
    <row r="2096" s="3" customFormat="1" x14ac:dyDescent="0.3"/>
    <row r="2097" s="3" customFormat="1" x14ac:dyDescent="0.3"/>
    <row r="2098" s="3" customFormat="1" x14ac:dyDescent="0.3"/>
    <row r="2099" s="3" customFormat="1" x14ac:dyDescent="0.3"/>
    <row r="2100" s="3" customFormat="1" x14ac:dyDescent="0.3"/>
    <row r="2101" s="3" customFormat="1" x14ac:dyDescent="0.3"/>
    <row r="2102" s="3" customFormat="1" x14ac:dyDescent="0.3"/>
    <row r="2103" s="3" customFormat="1" x14ac:dyDescent="0.3"/>
    <row r="2104" s="3" customFormat="1" x14ac:dyDescent="0.3"/>
    <row r="2105" s="3" customFormat="1" x14ac:dyDescent="0.3"/>
    <row r="2106" s="3" customFormat="1" x14ac:dyDescent="0.3"/>
    <row r="2107" s="3" customFormat="1" x14ac:dyDescent="0.3"/>
    <row r="2108" s="3" customFormat="1" x14ac:dyDescent="0.3"/>
    <row r="2109" s="3" customFormat="1" x14ac:dyDescent="0.3"/>
    <row r="2110" s="3" customFormat="1" x14ac:dyDescent="0.3"/>
    <row r="2111" s="3" customFormat="1" x14ac:dyDescent="0.3"/>
    <row r="2112" s="3" customFormat="1" x14ac:dyDescent="0.3"/>
    <row r="2113" s="3" customFormat="1" x14ac:dyDescent="0.3"/>
    <row r="2114" s="3" customFormat="1" x14ac:dyDescent="0.3"/>
    <row r="2115" s="3" customFormat="1" x14ac:dyDescent="0.3"/>
    <row r="2116" s="3" customFormat="1" x14ac:dyDescent="0.3"/>
    <row r="2117" s="3" customFormat="1" x14ac:dyDescent="0.3"/>
    <row r="2118" s="3" customFormat="1" x14ac:dyDescent="0.3"/>
    <row r="2119" s="3" customFormat="1" x14ac:dyDescent="0.3"/>
    <row r="2120" s="3" customFormat="1" x14ac:dyDescent="0.3"/>
    <row r="2121" s="3" customFormat="1" x14ac:dyDescent="0.3"/>
    <row r="2122" s="3" customFormat="1" x14ac:dyDescent="0.3"/>
    <row r="2123" s="3" customFormat="1" x14ac:dyDescent="0.3"/>
    <row r="2124" s="3" customFormat="1" x14ac:dyDescent="0.3"/>
    <row r="2125" s="3" customFormat="1" x14ac:dyDescent="0.3"/>
    <row r="2126" s="3" customFormat="1" x14ac:dyDescent="0.3"/>
    <row r="2127" s="3" customFormat="1" x14ac:dyDescent="0.3"/>
    <row r="2128" s="3" customFormat="1" x14ac:dyDescent="0.3"/>
    <row r="2129" s="3" customFormat="1" x14ac:dyDescent="0.3"/>
    <row r="2130" s="3" customFormat="1" x14ac:dyDescent="0.3"/>
    <row r="2131" s="3" customFormat="1" x14ac:dyDescent="0.3"/>
    <row r="2132" s="3" customFormat="1" x14ac:dyDescent="0.3"/>
    <row r="2133" s="3" customFormat="1" x14ac:dyDescent="0.3"/>
    <row r="2134" s="3" customFormat="1" x14ac:dyDescent="0.3"/>
    <row r="2135" s="3" customFormat="1" x14ac:dyDescent="0.3"/>
    <row r="2136" s="3" customFormat="1" x14ac:dyDescent="0.3"/>
    <row r="2137" s="3" customFormat="1" x14ac:dyDescent="0.3"/>
    <row r="2138" s="3" customFormat="1" x14ac:dyDescent="0.3"/>
    <row r="2139" s="3" customFormat="1" x14ac:dyDescent="0.3"/>
    <row r="2140" s="3" customFormat="1" x14ac:dyDescent="0.3"/>
    <row r="2141" s="3" customFormat="1" x14ac:dyDescent="0.3"/>
    <row r="2142" s="3" customFormat="1" x14ac:dyDescent="0.3"/>
    <row r="2143" s="3" customFormat="1" x14ac:dyDescent="0.3"/>
    <row r="2144" s="3" customFormat="1" x14ac:dyDescent="0.3"/>
    <row r="2145" s="3" customFormat="1" x14ac:dyDescent="0.3"/>
    <row r="2146" s="3" customFormat="1" x14ac:dyDescent="0.3"/>
    <row r="2147" s="3" customFormat="1" x14ac:dyDescent="0.3"/>
    <row r="2148" s="3" customFormat="1" x14ac:dyDescent="0.3"/>
    <row r="2149" s="3" customFormat="1" x14ac:dyDescent="0.3"/>
    <row r="2150" s="3" customFormat="1" x14ac:dyDescent="0.3"/>
    <row r="2151" s="3" customFormat="1" x14ac:dyDescent="0.3"/>
    <row r="2152" s="3" customFormat="1" x14ac:dyDescent="0.3"/>
    <row r="2153" s="3" customFormat="1" x14ac:dyDescent="0.3"/>
    <row r="2154" s="3" customFormat="1" x14ac:dyDescent="0.3"/>
    <row r="2155" s="3" customFormat="1" x14ac:dyDescent="0.3"/>
    <row r="2156" s="3" customFormat="1" x14ac:dyDescent="0.3"/>
    <row r="2157" s="3" customFormat="1" x14ac:dyDescent="0.3"/>
    <row r="2158" s="3" customFormat="1" x14ac:dyDescent="0.3"/>
    <row r="2159" s="3" customFormat="1" x14ac:dyDescent="0.3"/>
    <row r="2160" s="3" customFormat="1" x14ac:dyDescent="0.3"/>
    <row r="2161" s="3" customFormat="1" x14ac:dyDescent="0.3"/>
    <row r="2162" s="3" customFormat="1" x14ac:dyDescent="0.3"/>
    <row r="2163" s="3" customFormat="1" x14ac:dyDescent="0.3"/>
    <row r="2164" s="3" customFormat="1" x14ac:dyDescent="0.3"/>
    <row r="2165" s="3" customFormat="1" x14ac:dyDescent="0.3"/>
    <row r="2166" s="3" customFormat="1" x14ac:dyDescent="0.3"/>
    <row r="2167" s="3" customFormat="1" x14ac:dyDescent="0.3"/>
    <row r="2168" s="3" customFormat="1" x14ac:dyDescent="0.3"/>
    <row r="2169" s="3" customFormat="1" x14ac:dyDescent="0.3"/>
    <row r="2170" s="3" customFormat="1" x14ac:dyDescent="0.3"/>
    <row r="2171" s="3" customFormat="1" x14ac:dyDescent="0.3"/>
    <row r="2172" s="3" customFormat="1" x14ac:dyDescent="0.3"/>
    <row r="2173" s="3" customFormat="1" x14ac:dyDescent="0.3"/>
    <row r="2174" s="3" customFormat="1" x14ac:dyDescent="0.3"/>
    <row r="2175" s="3" customFormat="1" x14ac:dyDescent="0.3"/>
    <row r="2176" s="3" customFormat="1" x14ac:dyDescent="0.3"/>
    <row r="2177" s="3" customFormat="1" x14ac:dyDescent="0.3"/>
    <row r="2178" s="3" customFormat="1" x14ac:dyDescent="0.3"/>
    <row r="2179" s="3" customFormat="1" x14ac:dyDescent="0.3"/>
    <row r="2180" s="3" customFormat="1" x14ac:dyDescent="0.3"/>
    <row r="2181" s="3" customFormat="1" x14ac:dyDescent="0.3"/>
    <row r="2182" s="3" customFormat="1" x14ac:dyDescent="0.3"/>
    <row r="2183" s="3" customFormat="1" x14ac:dyDescent="0.3"/>
    <row r="2184" s="3" customFormat="1" x14ac:dyDescent="0.3"/>
    <row r="2185" s="3" customFormat="1" x14ac:dyDescent="0.3"/>
    <row r="2186" s="3" customFormat="1" x14ac:dyDescent="0.3"/>
    <row r="2187" s="3" customFormat="1" x14ac:dyDescent="0.3"/>
    <row r="2188" s="3" customFormat="1" x14ac:dyDescent="0.3"/>
    <row r="2189" s="3" customFormat="1" x14ac:dyDescent="0.3"/>
    <row r="2190" s="3" customFormat="1" x14ac:dyDescent="0.3"/>
    <row r="2191" s="3" customFormat="1" x14ac:dyDescent="0.3"/>
    <row r="2192" s="3" customFormat="1" x14ac:dyDescent="0.3"/>
    <row r="2193" s="3" customFormat="1" x14ac:dyDescent="0.3"/>
    <row r="2194" s="3" customFormat="1" x14ac:dyDescent="0.3"/>
    <row r="2195" s="3" customFormat="1" x14ac:dyDescent="0.3"/>
    <row r="2196" s="3" customFormat="1" x14ac:dyDescent="0.3"/>
    <row r="2197" s="3" customFormat="1" x14ac:dyDescent="0.3"/>
    <row r="2198" s="3" customFormat="1" x14ac:dyDescent="0.3"/>
    <row r="2199" s="3" customFormat="1" x14ac:dyDescent="0.3"/>
    <row r="2200" s="3" customFormat="1" x14ac:dyDescent="0.3"/>
    <row r="2201" s="3" customFormat="1" x14ac:dyDescent="0.3"/>
    <row r="2202" s="3" customFormat="1" x14ac:dyDescent="0.3"/>
    <row r="2203" s="3" customFormat="1" x14ac:dyDescent="0.3"/>
    <row r="2204" s="3" customFormat="1" x14ac:dyDescent="0.3"/>
    <row r="2205" s="3" customFormat="1" x14ac:dyDescent="0.3"/>
    <row r="2206" s="3" customFormat="1" x14ac:dyDescent="0.3"/>
    <row r="2207" s="3" customFormat="1" x14ac:dyDescent="0.3"/>
    <row r="2208" s="3" customFormat="1" x14ac:dyDescent="0.3"/>
    <row r="2209" s="3" customFormat="1" x14ac:dyDescent="0.3"/>
    <row r="2210" s="3" customFormat="1" x14ac:dyDescent="0.3"/>
    <row r="2211" s="3" customFormat="1" x14ac:dyDescent="0.3"/>
    <row r="2212" s="3" customFormat="1" x14ac:dyDescent="0.3"/>
    <row r="2213" s="3" customFormat="1" x14ac:dyDescent="0.3"/>
    <row r="2214" s="3" customFormat="1" x14ac:dyDescent="0.3"/>
    <row r="2215" s="3" customFormat="1" x14ac:dyDescent="0.3"/>
    <row r="2216" s="3" customFormat="1" x14ac:dyDescent="0.3"/>
    <row r="2217" s="3" customFormat="1" x14ac:dyDescent="0.3"/>
    <row r="2218" s="3" customFormat="1" x14ac:dyDescent="0.3"/>
    <row r="2219" s="3" customFormat="1" x14ac:dyDescent="0.3"/>
    <row r="2220" s="3" customFormat="1" x14ac:dyDescent="0.3"/>
    <row r="2221" s="3" customFormat="1" x14ac:dyDescent="0.3"/>
    <row r="2222" s="3" customFormat="1" x14ac:dyDescent="0.3"/>
    <row r="2223" s="3" customFormat="1" x14ac:dyDescent="0.3"/>
    <row r="2224" s="3" customFormat="1" x14ac:dyDescent="0.3"/>
    <row r="2225" s="3" customFormat="1" x14ac:dyDescent="0.3"/>
    <row r="2226" s="3" customFormat="1" x14ac:dyDescent="0.3"/>
    <row r="2227" s="3" customFormat="1" x14ac:dyDescent="0.3"/>
    <row r="2228" s="3" customFormat="1" x14ac:dyDescent="0.3"/>
    <row r="2229" s="3" customFormat="1" x14ac:dyDescent="0.3"/>
    <row r="2230" s="3" customFormat="1" x14ac:dyDescent="0.3"/>
    <row r="2231" s="3" customFormat="1" x14ac:dyDescent="0.3"/>
    <row r="2232" s="3" customFormat="1" x14ac:dyDescent="0.3"/>
    <row r="2233" s="3" customFormat="1" x14ac:dyDescent="0.3"/>
    <row r="2234" s="3" customFormat="1" x14ac:dyDescent="0.3"/>
    <row r="2235" s="3" customFormat="1" x14ac:dyDescent="0.3"/>
    <row r="2236" s="3" customFormat="1" x14ac:dyDescent="0.3"/>
    <row r="2237" s="3" customFormat="1" x14ac:dyDescent="0.3"/>
    <row r="2238" s="3" customFormat="1" x14ac:dyDescent="0.3"/>
    <row r="2239" s="3" customFormat="1" x14ac:dyDescent="0.3"/>
    <row r="2240" s="3" customFormat="1" x14ac:dyDescent="0.3"/>
    <row r="2241" s="3" customFormat="1" x14ac:dyDescent="0.3"/>
    <row r="2242" s="3" customFormat="1" x14ac:dyDescent="0.3"/>
    <row r="2243" s="3" customFormat="1" x14ac:dyDescent="0.3"/>
    <row r="2244" s="3" customFormat="1" x14ac:dyDescent="0.3"/>
    <row r="2245" s="3" customFormat="1" x14ac:dyDescent="0.3"/>
    <row r="2246" s="3" customFormat="1" x14ac:dyDescent="0.3"/>
    <row r="2247" s="3" customFormat="1" x14ac:dyDescent="0.3"/>
    <row r="2248" s="3" customFormat="1" x14ac:dyDescent="0.3"/>
    <row r="2249" s="3" customFormat="1" x14ac:dyDescent="0.3"/>
    <row r="2250" s="3" customFormat="1" x14ac:dyDescent="0.3"/>
    <row r="2251" s="3" customFormat="1" x14ac:dyDescent="0.3"/>
    <row r="2252" s="3" customFormat="1" x14ac:dyDescent="0.3"/>
    <row r="2253" s="3" customFormat="1" x14ac:dyDescent="0.3"/>
    <row r="2254" s="3" customFormat="1" x14ac:dyDescent="0.3"/>
    <row r="2255" s="3" customFormat="1" x14ac:dyDescent="0.3"/>
    <row r="2256" s="3" customFormat="1" x14ac:dyDescent="0.3"/>
    <row r="2257" s="3" customFormat="1" x14ac:dyDescent="0.3"/>
    <row r="2258" s="3" customFormat="1" x14ac:dyDescent="0.3"/>
    <row r="2259" s="3" customFormat="1" x14ac:dyDescent="0.3"/>
    <row r="2260" s="3" customFormat="1" x14ac:dyDescent="0.3"/>
    <row r="2261" s="3" customFormat="1" x14ac:dyDescent="0.3"/>
    <row r="2262" s="3" customFormat="1" x14ac:dyDescent="0.3"/>
    <row r="2263" s="3" customFormat="1" x14ac:dyDescent="0.3"/>
    <row r="2264" s="3" customFormat="1" x14ac:dyDescent="0.3"/>
    <row r="2265" s="3" customFormat="1" x14ac:dyDescent="0.3"/>
    <row r="2266" s="3" customFormat="1" x14ac:dyDescent="0.3"/>
    <row r="2267" s="3" customFormat="1" x14ac:dyDescent="0.3"/>
    <row r="2268" s="3" customFormat="1" x14ac:dyDescent="0.3"/>
    <row r="2269" s="3" customFormat="1" x14ac:dyDescent="0.3"/>
    <row r="2270" s="3" customFormat="1" x14ac:dyDescent="0.3"/>
    <row r="2271" s="3" customFormat="1" x14ac:dyDescent="0.3"/>
    <row r="2272" s="3" customFormat="1" x14ac:dyDescent="0.3"/>
    <row r="2273" s="3" customFormat="1" x14ac:dyDescent="0.3"/>
    <row r="2274" s="3" customFormat="1" x14ac:dyDescent="0.3"/>
    <row r="2275" s="3" customFormat="1" x14ac:dyDescent="0.3"/>
    <row r="2276" s="3" customFormat="1" x14ac:dyDescent="0.3"/>
    <row r="2277" s="3" customFormat="1" x14ac:dyDescent="0.3"/>
    <row r="2278" s="3" customFormat="1" x14ac:dyDescent="0.3"/>
    <row r="2279" s="3" customFormat="1" x14ac:dyDescent="0.3"/>
    <row r="2280" s="3" customFormat="1" x14ac:dyDescent="0.3"/>
    <row r="2281" s="3" customFormat="1" x14ac:dyDescent="0.3"/>
    <row r="2282" s="3" customFormat="1" x14ac:dyDescent="0.3"/>
    <row r="2283" s="3" customFormat="1" x14ac:dyDescent="0.3"/>
    <row r="2284" s="3" customFormat="1" x14ac:dyDescent="0.3"/>
    <row r="2285" s="3" customFormat="1" x14ac:dyDescent="0.3"/>
    <row r="2286" s="3" customFormat="1" x14ac:dyDescent="0.3"/>
    <row r="2287" s="3" customFormat="1" x14ac:dyDescent="0.3"/>
    <row r="2288" s="3" customFormat="1" x14ac:dyDescent="0.3"/>
    <row r="2289" s="3" customFormat="1" x14ac:dyDescent="0.3"/>
    <row r="2290" s="3" customFormat="1" x14ac:dyDescent="0.3"/>
    <row r="2291" s="3" customFormat="1" x14ac:dyDescent="0.3"/>
    <row r="2292" s="3" customFormat="1" x14ac:dyDescent="0.3"/>
    <row r="2293" s="3" customFormat="1" x14ac:dyDescent="0.3"/>
    <row r="2294" s="3" customFormat="1" x14ac:dyDescent="0.3"/>
    <row r="2295" s="3" customFormat="1" x14ac:dyDescent="0.3"/>
    <row r="2296" s="3" customFormat="1" x14ac:dyDescent="0.3"/>
    <row r="2297" s="3" customFormat="1" x14ac:dyDescent="0.3"/>
    <row r="2298" s="3" customFormat="1" x14ac:dyDescent="0.3"/>
    <row r="2299" s="3" customFormat="1" x14ac:dyDescent="0.3"/>
    <row r="2300" s="3" customFormat="1" x14ac:dyDescent="0.3"/>
    <row r="2301" s="3" customFormat="1" x14ac:dyDescent="0.3"/>
    <row r="2302" s="3" customFormat="1" x14ac:dyDescent="0.3"/>
    <row r="2303" s="3" customFormat="1" x14ac:dyDescent="0.3"/>
    <row r="2304" s="3" customFormat="1" x14ac:dyDescent="0.3"/>
    <row r="2305" s="3" customFormat="1" x14ac:dyDescent="0.3"/>
    <row r="2306" s="3" customFormat="1" x14ac:dyDescent="0.3"/>
    <row r="2307" s="3" customFormat="1" x14ac:dyDescent="0.3"/>
    <row r="2308" s="3" customFormat="1" x14ac:dyDescent="0.3"/>
    <row r="2309" s="3" customFormat="1" x14ac:dyDescent="0.3"/>
    <row r="2310" s="3" customFormat="1" x14ac:dyDescent="0.3"/>
    <row r="2311" s="3" customFormat="1" x14ac:dyDescent="0.3"/>
    <row r="2312" s="3" customFormat="1" x14ac:dyDescent="0.3"/>
    <row r="2313" s="3" customFormat="1" x14ac:dyDescent="0.3"/>
    <row r="2314" s="3" customFormat="1" x14ac:dyDescent="0.3"/>
    <row r="2315" s="3" customFormat="1" x14ac:dyDescent="0.3"/>
    <row r="2316" s="3" customFormat="1" x14ac:dyDescent="0.3"/>
    <row r="2317" s="3" customFormat="1" x14ac:dyDescent="0.3"/>
    <row r="2318" s="3" customFormat="1" x14ac:dyDescent="0.3"/>
    <row r="2319" s="3" customFormat="1" x14ac:dyDescent="0.3"/>
    <row r="2320" s="3" customFormat="1" x14ac:dyDescent="0.3"/>
    <row r="2321" s="3" customFormat="1" x14ac:dyDescent="0.3"/>
    <row r="2322" s="3" customFormat="1" x14ac:dyDescent="0.3"/>
    <row r="2323" s="3" customFormat="1" x14ac:dyDescent="0.3"/>
    <row r="2324" s="3" customFormat="1" x14ac:dyDescent="0.3"/>
    <row r="2325" s="3" customFormat="1" x14ac:dyDescent="0.3"/>
    <row r="2326" s="3" customFormat="1" x14ac:dyDescent="0.3"/>
    <row r="2327" s="3" customFormat="1" x14ac:dyDescent="0.3"/>
    <row r="2328" s="3" customFormat="1" x14ac:dyDescent="0.3"/>
    <row r="2329" s="3" customFormat="1" x14ac:dyDescent="0.3"/>
    <row r="2330" s="3" customFormat="1" x14ac:dyDescent="0.3"/>
    <row r="2331" s="3" customFormat="1" x14ac:dyDescent="0.3"/>
    <row r="2332" s="3" customFormat="1" x14ac:dyDescent="0.3"/>
    <row r="2333" s="3" customFormat="1" x14ac:dyDescent="0.3"/>
    <row r="2334" s="3" customFormat="1" x14ac:dyDescent="0.3"/>
    <row r="2335" s="3" customFormat="1" x14ac:dyDescent="0.3"/>
    <row r="2336" s="3" customFormat="1" x14ac:dyDescent="0.3"/>
    <row r="2337" s="3" customFormat="1" x14ac:dyDescent="0.3"/>
    <row r="2338" s="3" customFormat="1" x14ac:dyDescent="0.3"/>
    <row r="2339" s="3" customFormat="1" x14ac:dyDescent="0.3"/>
    <row r="2340" s="3" customFormat="1" x14ac:dyDescent="0.3"/>
    <row r="2341" s="3" customFormat="1" x14ac:dyDescent="0.3"/>
    <row r="2342" s="3" customFormat="1" x14ac:dyDescent="0.3"/>
    <row r="2343" s="3" customFormat="1" x14ac:dyDescent="0.3"/>
    <row r="2344" s="3" customFormat="1" x14ac:dyDescent="0.3"/>
    <row r="2345" s="3" customFormat="1" x14ac:dyDescent="0.3"/>
    <row r="2346" s="3" customFormat="1" x14ac:dyDescent="0.3"/>
    <row r="2347" s="3" customFormat="1" x14ac:dyDescent="0.3"/>
    <row r="2348" s="3" customFormat="1" x14ac:dyDescent="0.3"/>
    <row r="2349" s="3" customFormat="1" x14ac:dyDescent="0.3"/>
    <row r="2350" s="3" customFormat="1" x14ac:dyDescent="0.3"/>
    <row r="2351" s="3" customFormat="1" x14ac:dyDescent="0.3"/>
    <row r="2352" s="3" customFormat="1" x14ac:dyDescent="0.3"/>
    <row r="2353" s="3" customFormat="1" x14ac:dyDescent="0.3"/>
    <row r="2354" s="3" customFormat="1" x14ac:dyDescent="0.3"/>
    <row r="2355" s="3" customFormat="1" x14ac:dyDescent="0.3"/>
    <row r="2356" s="3" customFormat="1" x14ac:dyDescent="0.3"/>
    <row r="2357" s="3" customFormat="1" x14ac:dyDescent="0.3"/>
    <row r="2358" s="3" customFormat="1" x14ac:dyDescent="0.3"/>
    <row r="2359" s="3" customFormat="1" x14ac:dyDescent="0.3"/>
    <row r="2360" s="3" customFormat="1" x14ac:dyDescent="0.3"/>
    <row r="2361" s="3" customFormat="1" x14ac:dyDescent="0.3"/>
    <row r="2362" s="3" customFormat="1" x14ac:dyDescent="0.3"/>
    <row r="2363" s="3" customFormat="1" x14ac:dyDescent="0.3"/>
    <row r="2364" s="3" customFormat="1" x14ac:dyDescent="0.3"/>
    <row r="2365" s="3" customFormat="1" x14ac:dyDescent="0.3"/>
    <row r="2366" s="3" customFormat="1" x14ac:dyDescent="0.3"/>
    <row r="2367" s="3" customFormat="1" x14ac:dyDescent="0.3"/>
    <row r="2368" s="3" customFormat="1" x14ac:dyDescent="0.3"/>
    <row r="2369" s="3" customFormat="1" x14ac:dyDescent="0.3"/>
    <row r="2370" s="3" customFormat="1" x14ac:dyDescent="0.3"/>
    <row r="2371" s="3" customFormat="1" x14ac:dyDescent="0.3"/>
    <row r="2372" s="3" customFormat="1" x14ac:dyDescent="0.3"/>
    <row r="2373" s="3" customFormat="1" x14ac:dyDescent="0.3"/>
    <row r="2374" s="3" customFormat="1" x14ac:dyDescent="0.3"/>
    <row r="2375" s="3" customFormat="1" x14ac:dyDescent="0.3"/>
    <row r="2376" s="3" customFormat="1" x14ac:dyDescent="0.3"/>
    <row r="2377" s="3" customFormat="1" x14ac:dyDescent="0.3"/>
    <row r="2378" s="3" customFormat="1" x14ac:dyDescent="0.3"/>
    <row r="2379" s="3" customFormat="1" x14ac:dyDescent="0.3"/>
    <row r="2380" s="3" customFormat="1" x14ac:dyDescent="0.3"/>
    <row r="2381" s="3" customFormat="1" x14ac:dyDescent="0.3"/>
    <row r="2382" s="3" customFormat="1" x14ac:dyDescent="0.3"/>
    <row r="2383" s="3" customFormat="1" x14ac:dyDescent="0.3"/>
    <row r="2384" s="3" customFormat="1" x14ac:dyDescent="0.3"/>
    <row r="2385" s="3" customFormat="1" x14ac:dyDescent="0.3"/>
    <row r="2386" s="3" customFormat="1" x14ac:dyDescent="0.3"/>
    <row r="2387" s="3" customFormat="1" x14ac:dyDescent="0.3"/>
    <row r="2388" s="3" customFormat="1" x14ac:dyDescent="0.3"/>
    <row r="2389" s="3" customFormat="1" x14ac:dyDescent="0.3"/>
    <row r="2390" s="3" customFormat="1" x14ac:dyDescent="0.3"/>
    <row r="2391" s="3" customFormat="1" x14ac:dyDescent="0.3"/>
    <row r="2392" s="3" customFormat="1" x14ac:dyDescent="0.3"/>
    <row r="2393" s="3" customFormat="1" x14ac:dyDescent="0.3"/>
    <row r="2394" s="3" customFormat="1" x14ac:dyDescent="0.3"/>
    <row r="2395" s="3" customFormat="1" x14ac:dyDescent="0.3"/>
    <row r="2396" s="3" customFormat="1" x14ac:dyDescent="0.3"/>
    <row r="2397" s="3" customFormat="1" x14ac:dyDescent="0.3"/>
    <row r="2398" s="3" customFormat="1" x14ac:dyDescent="0.3"/>
    <row r="2399" s="3" customFormat="1" x14ac:dyDescent="0.3"/>
    <row r="2400" s="3" customFormat="1" x14ac:dyDescent="0.3"/>
    <row r="2401" s="3" customFormat="1" x14ac:dyDescent="0.3"/>
    <row r="2402" s="3" customFormat="1" x14ac:dyDescent="0.3"/>
    <row r="2403" s="3" customFormat="1" x14ac:dyDescent="0.3"/>
    <row r="2404" s="3" customFormat="1" x14ac:dyDescent="0.3"/>
    <row r="2405" s="3" customFormat="1" x14ac:dyDescent="0.3"/>
    <row r="2406" s="3" customFormat="1" x14ac:dyDescent="0.3"/>
    <row r="2407" s="3" customFormat="1" x14ac:dyDescent="0.3"/>
    <row r="2408" s="3" customFormat="1" x14ac:dyDescent="0.3"/>
    <row r="2409" s="3" customFormat="1" x14ac:dyDescent="0.3"/>
    <row r="2410" s="3" customFormat="1" x14ac:dyDescent="0.3"/>
    <row r="2411" s="3" customFormat="1" x14ac:dyDescent="0.3"/>
    <row r="2412" s="3" customFormat="1" x14ac:dyDescent="0.3"/>
    <row r="2413" s="3" customFormat="1" x14ac:dyDescent="0.3"/>
    <row r="2414" s="3" customFormat="1" x14ac:dyDescent="0.3"/>
    <row r="2415" s="3" customFormat="1" x14ac:dyDescent="0.3"/>
    <row r="2416" s="3" customFormat="1" x14ac:dyDescent="0.3"/>
    <row r="2417" s="3" customFormat="1" x14ac:dyDescent="0.3"/>
    <row r="2418" s="3" customFormat="1" x14ac:dyDescent="0.3"/>
    <row r="2419" s="3" customFormat="1" x14ac:dyDescent="0.3"/>
    <row r="2420" s="3" customFormat="1" x14ac:dyDescent="0.3"/>
    <row r="2421" s="3" customFormat="1" x14ac:dyDescent="0.3"/>
    <row r="2422" s="3" customFormat="1" x14ac:dyDescent="0.3"/>
    <row r="2423" s="3" customFormat="1" x14ac:dyDescent="0.3"/>
    <row r="2424" s="3" customFormat="1" x14ac:dyDescent="0.3"/>
    <row r="2425" s="3" customFormat="1" x14ac:dyDescent="0.3"/>
    <row r="2426" s="3" customFormat="1" x14ac:dyDescent="0.3"/>
    <row r="2427" s="3" customFormat="1" x14ac:dyDescent="0.3"/>
    <row r="2428" s="3" customFormat="1" x14ac:dyDescent="0.3"/>
    <row r="2429" s="3" customFormat="1" x14ac:dyDescent="0.3"/>
    <row r="2430" s="3" customFormat="1" x14ac:dyDescent="0.3"/>
    <row r="2431" s="3" customFormat="1" x14ac:dyDescent="0.3"/>
    <row r="2432" s="3" customFormat="1" x14ac:dyDescent="0.3"/>
    <row r="2433" s="3" customFormat="1" x14ac:dyDescent="0.3"/>
    <row r="2434" s="3" customFormat="1" x14ac:dyDescent="0.3"/>
    <row r="2435" s="3" customFormat="1" x14ac:dyDescent="0.3"/>
    <row r="2436" s="3" customFormat="1" x14ac:dyDescent="0.3"/>
    <row r="2437" s="3" customFormat="1" x14ac:dyDescent="0.3"/>
    <row r="2438" s="3" customFormat="1" x14ac:dyDescent="0.3"/>
    <row r="2439" s="3" customFormat="1" x14ac:dyDescent="0.3"/>
    <row r="2440" s="3" customFormat="1" x14ac:dyDescent="0.3"/>
    <row r="2441" s="3" customFormat="1" x14ac:dyDescent="0.3"/>
    <row r="2442" s="3" customFormat="1" x14ac:dyDescent="0.3"/>
    <row r="2443" s="3" customFormat="1" x14ac:dyDescent="0.3"/>
    <row r="2444" s="3" customFormat="1" x14ac:dyDescent="0.3"/>
    <row r="2445" s="3" customFormat="1" x14ac:dyDescent="0.3"/>
    <row r="2446" s="3" customFormat="1" x14ac:dyDescent="0.3"/>
    <row r="2447" s="3" customFormat="1" x14ac:dyDescent="0.3"/>
    <row r="2448" s="3" customFormat="1" x14ac:dyDescent="0.3"/>
    <row r="2449" s="3" customFormat="1" x14ac:dyDescent="0.3"/>
    <row r="2450" s="3" customFormat="1" x14ac:dyDescent="0.3"/>
    <row r="2451" s="3" customFormat="1" x14ac:dyDescent="0.3"/>
    <row r="2452" s="3" customFormat="1" x14ac:dyDescent="0.3"/>
    <row r="2453" s="3" customFormat="1" x14ac:dyDescent="0.3"/>
    <row r="2454" s="3" customFormat="1" x14ac:dyDescent="0.3"/>
    <row r="2455" s="3" customFormat="1" x14ac:dyDescent="0.3"/>
    <row r="2456" s="3" customFormat="1" x14ac:dyDescent="0.3"/>
    <row r="2457" s="3" customFormat="1" x14ac:dyDescent="0.3"/>
    <row r="2458" s="3" customFormat="1" x14ac:dyDescent="0.3"/>
    <row r="2459" s="3" customFormat="1" x14ac:dyDescent="0.3"/>
    <row r="2460" s="3" customFormat="1" x14ac:dyDescent="0.3"/>
    <row r="2461" s="3" customFormat="1" x14ac:dyDescent="0.3"/>
    <row r="2462" s="3" customFormat="1" x14ac:dyDescent="0.3"/>
    <row r="2463" s="3" customFormat="1" x14ac:dyDescent="0.3"/>
    <row r="2464" s="3" customFormat="1" x14ac:dyDescent="0.3"/>
    <row r="2465" s="3" customFormat="1" x14ac:dyDescent="0.3"/>
    <row r="2466" s="3" customFormat="1" x14ac:dyDescent="0.3"/>
    <row r="2467" s="3" customFormat="1" x14ac:dyDescent="0.3"/>
    <row r="2468" s="3" customFormat="1" x14ac:dyDescent="0.3"/>
    <row r="2469" s="3" customFormat="1" x14ac:dyDescent="0.3"/>
    <row r="2470" s="3" customFormat="1" x14ac:dyDescent="0.3"/>
    <row r="2471" s="3" customFormat="1" x14ac:dyDescent="0.3"/>
    <row r="2472" s="3" customFormat="1" x14ac:dyDescent="0.3"/>
    <row r="2473" s="3" customFormat="1" x14ac:dyDescent="0.3"/>
    <row r="2474" s="3" customFormat="1" x14ac:dyDescent="0.3"/>
    <row r="2475" s="3" customFormat="1" x14ac:dyDescent="0.3"/>
    <row r="2476" s="3" customFormat="1" x14ac:dyDescent="0.3"/>
    <row r="2477" s="3" customFormat="1" x14ac:dyDescent="0.3"/>
    <row r="2478" s="3" customFormat="1" x14ac:dyDescent="0.3"/>
    <row r="2479" s="3" customFormat="1" x14ac:dyDescent="0.3"/>
    <row r="2480" s="3" customFormat="1" x14ac:dyDescent="0.3"/>
    <row r="2481" s="3" customFormat="1" x14ac:dyDescent="0.3"/>
    <row r="2482" s="3" customFormat="1" x14ac:dyDescent="0.3"/>
    <row r="2483" s="3" customFormat="1" x14ac:dyDescent="0.3"/>
    <row r="2484" s="3" customFormat="1" x14ac:dyDescent="0.3"/>
    <row r="2485" s="3" customFormat="1" x14ac:dyDescent="0.3"/>
    <row r="2486" s="3" customFormat="1" x14ac:dyDescent="0.3"/>
    <row r="2487" s="3" customFormat="1" x14ac:dyDescent="0.3"/>
    <row r="2488" s="3" customFormat="1" x14ac:dyDescent="0.3"/>
    <row r="2489" s="3" customFormat="1" x14ac:dyDescent="0.3"/>
    <row r="2490" s="3" customFormat="1" x14ac:dyDescent="0.3"/>
    <row r="2491" s="3" customFormat="1" x14ac:dyDescent="0.3"/>
    <row r="2492" s="3" customFormat="1" x14ac:dyDescent="0.3"/>
    <row r="2493" s="3" customFormat="1" x14ac:dyDescent="0.3"/>
    <row r="2494" s="3" customFormat="1" x14ac:dyDescent="0.3"/>
    <row r="2495" s="3" customFormat="1" x14ac:dyDescent="0.3"/>
    <row r="2496" s="3" customFormat="1" x14ac:dyDescent="0.3"/>
    <row r="2497" s="3" customFormat="1" x14ac:dyDescent="0.3"/>
    <row r="2498" s="3" customFormat="1" x14ac:dyDescent="0.3"/>
    <row r="2499" s="3" customFormat="1" x14ac:dyDescent="0.3"/>
    <row r="2500" s="3" customFormat="1" x14ac:dyDescent="0.3"/>
    <row r="2501" s="3" customFormat="1" x14ac:dyDescent="0.3"/>
    <row r="2502" s="3" customFormat="1" x14ac:dyDescent="0.3"/>
    <row r="2503" s="3" customFormat="1" x14ac:dyDescent="0.3"/>
    <row r="2504" s="3" customFormat="1" x14ac:dyDescent="0.3"/>
    <row r="2505" s="3" customFormat="1" x14ac:dyDescent="0.3"/>
    <row r="2506" s="3" customFormat="1" x14ac:dyDescent="0.3"/>
    <row r="2507" s="3" customFormat="1" x14ac:dyDescent="0.3"/>
    <row r="2508" s="3" customFormat="1" x14ac:dyDescent="0.3"/>
    <row r="2509" s="3" customFormat="1" x14ac:dyDescent="0.3"/>
    <row r="2510" s="3" customFormat="1" x14ac:dyDescent="0.3"/>
    <row r="2511" s="3" customFormat="1" x14ac:dyDescent="0.3"/>
    <row r="2512" s="3" customFormat="1" x14ac:dyDescent="0.3"/>
    <row r="2513" s="3" customFormat="1" x14ac:dyDescent="0.3"/>
    <row r="2514" s="3" customFormat="1" x14ac:dyDescent="0.3"/>
    <row r="2515" s="3" customFormat="1" x14ac:dyDescent="0.3"/>
    <row r="2516" s="3" customFormat="1" x14ac:dyDescent="0.3"/>
    <row r="2517" s="3" customFormat="1" x14ac:dyDescent="0.3"/>
    <row r="2518" s="3" customFormat="1" x14ac:dyDescent="0.3"/>
    <row r="2519" s="3" customFormat="1" x14ac:dyDescent="0.3"/>
    <row r="2520" s="3" customFormat="1" x14ac:dyDescent="0.3"/>
    <row r="2521" s="3" customFormat="1" x14ac:dyDescent="0.3"/>
    <row r="2522" s="3" customFormat="1" x14ac:dyDescent="0.3"/>
    <row r="2523" s="3" customFormat="1" x14ac:dyDescent="0.3"/>
    <row r="2524" s="3" customFormat="1" x14ac:dyDescent="0.3"/>
    <row r="2525" s="3" customFormat="1" x14ac:dyDescent="0.3"/>
    <row r="2526" s="3" customFormat="1" x14ac:dyDescent="0.3"/>
    <row r="2527" s="3" customFormat="1" x14ac:dyDescent="0.3"/>
    <row r="2528" s="3" customFormat="1" x14ac:dyDescent="0.3"/>
    <row r="2529" s="3" customFormat="1" x14ac:dyDescent="0.3"/>
    <row r="2530" s="3" customFormat="1" x14ac:dyDescent="0.3"/>
    <row r="2531" s="3" customFormat="1" x14ac:dyDescent="0.3"/>
    <row r="2532" s="3" customFormat="1" x14ac:dyDescent="0.3"/>
    <row r="2533" s="3" customFormat="1" x14ac:dyDescent="0.3"/>
    <row r="2534" s="3" customFormat="1" x14ac:dyDescent="0.3"/>
    <row r="2535" s="3" customFormat="1" x14ac:dyDescent="0.3"/>
    <row r="2536" s="3" customFormat="1" x14ac:dyDescent="0.3"/>
    <row r="2537" s="3" customFormat="1" x14ac:dyDescent="0.3"/>
    <row r="2538" s="3" customFormat="1" x14ac:dyDescent="0.3"/>
    <row r="2539" s="3" customFormat="1" x14ac:dyDescent="0.3"/>
    <row r="2540" s="3" customFormat="1" x14ac:dyDescent="0.3"/>
    <row r="2541" s="3" customFormat="1" x14ac:dyDescent="0.3"/>
    <row r="2542" s="3" customFormat="1" x14ac:dyDescent="0.3"/>
    <row r="2543" s="3" customFormat="1" x14ac:dyDescent="0.3"/>
    <row r="2544" s="3" customFormat="1" x14ac:dyDescent="0.3"/>
    <row r="2545" s="3" customFormat="1" x14ac:dyDescent="0.3"/>
    <row r="2546" s="3" customFormat="1" x14ac:dyDescent="0.3"/>
    <row r="2547" s="3" customFormat="1" x14ac:dyDescent="0.3"/>
    <row r="2548" s="3" customFormat="1" x14ac:dyDescent="0.3"/>
    <row r="2549" s="3" customFormat="1" x14ac:dyDescent="0.3"/>
    <row r="2550" s="3" customFormat="1" x14ac:dyDescent="0.3"/>
    <row r="2551" s="3" customFormat="1" x14ac:dyDescent="0.3"/>
    <row r="2552" s="3" customFormat="1" x14ac:dyDescent="0.3"/>
    <row r="2553" s="3" customFormat="1" x14ac:dyDescent="0.3"/>
    <row r="2554" s="3" customFormat="1" x14ac:dyDescent="0.3"/>
    <row r="2555" s="3" customFormat="1" x14ac:dyDescent="0.3"/>
    <row r="2556" s="3" customFormat="1" x14ac:dyDescent="0.3"/>
    <row r="2557" s="3" customFormat="1" x14ac:dyDescent="0.3"/>
    <row r="2558" s="3" customFormat="1" x14ac:dyDescent="0.3"/>
    <row r="2559" s="3" customFormat="1" x14ac:dyDescent="0.3"/>
    <row r="2560" s="3" customFormat="1" x14ac:dyDescent="0.3"/>
    <row r="2561" s="3" customFormat="1" x14ac:dyDescent="0.3"/>
    <row r="2562" s="3" customFormat="1" x14ac:dyDescent="0.3"/>
    <row r="2563" s="3" customFormat="1" x14ac:dyDescent="0.3"/>
    <row r="2564" s="3" customFormat="1" x14ac:dyDescent="0.3"/>
    <row r="2565" s="3" customFormat="1" x14ac:dyDescent="0.3"/>
    <row r="2566" s="3" customFormat="1" x14ac:dyDescent="0.3"/>
    <row r="2567" s="3" customFormat="1" x14ac:dyDescent="0.3"/>
    <row r="2568" s="3" customFormat="1" x14ac:dyDescent="0.3"/>
    <row r="2569" s="3" customFormat="1" x14ac:dyDescent="0.3"/>
    <row r="2570" s="3" customFormat="1" x14ac:dyDescent="0.3"/>
    <row r="2571" s="3" customFormat="1" x14ac:dyDescent="0.3"/>
    <row r="2572" s="3" customFormat="1" x14ac:dyDescent="0.3"/>
    <row r="2573" s="3" customFormat="1" x14ac:dyDescent="0.3"/>
    <row r="2574" s="3" customFormat="1" x14ac:dyDescent="0.3"/>
    <row r="2575" s="3" customFormat="1" x14ac:dyDescent="0.3"/>
    <row r="2576" s="3" customFormat="1" x14ac:dyDescent="0.3"/>
    <row r="2577" s="3" customFormat="1" x14ac:dyDescent="0.3"/>
    <row r="2578" s="3" customFormat="1" x14ac:dyDescent="0.3"/>
    <row r="2579" s="3" customFormat="1" x14ac:dyDescent="0.3"/>
    <row r="2580" s="3" customFormat="1" x14ac:dyDescent="0.3"/>
    <row r="2581" s="3" customFormat="1" x14ac:dyDescent="0.3"/>
    <row r="2582" s="3" customFormat="1" x14ac:dyDescent="0.3"/>
    <row r="2583" s="3" customFormat="1" x14ac:dyDescent="0.3"/>
    <row r="2584" s="3" customFormat="1" x14ac:dyDescent="0.3"/>
    <row r="2585" s="3" customFormat="1" x14ac:dyDescent="0.3"/>
    <row r="2586" s="3" customFormat="1" x14ac:dyDescent="0.3"/>
    <row r="2587" s="3" customFormat="1" x14ac:dyDescent="0.3"/>
    <row r="2588" s="3" customFormat="1" x14ac:dyDescent="0.3"/>
    <row r="2589" s="3" customFormat="1" x14ac:dyDescent="0.3"/>
    <row r="2590" s="3" customFormat="1" x14ac:dyDescent="0.3"/>
    <row r="2591" s="3" customFormat="1" x14ac:dyDescent="0.3"/>
    <row r="2592" s="3" customFormat="1" x14ac:dyDescent="0.3"/>
    <row r="2593" s="3" customFormat="1" x14ac:dyDescent="0.3"/>
    <row r="2594" s="3" customFormat="1" x14ac:dyDescent="0.3"/>
    <row r="2595" s="3" customFormat="1" x14ac:dyDescent="0.3"/>
    <row r="2596" s="3" customFormat="1" x14ac:dyDescent="0.3"/>
    <row r="2597" s="3" customFormat="1" x14ac:dyDescent="0.3"/>
    <row r="2598" s="3" customFormat="1" x14ac:dyDescent="0.3"/>
    <row r="2599" s="3" customFormat="1" x14ac:dyDescent="0.3"/>
    <row r="2600" s="3" customFormat="1" x14ac:dyDescent="0.3"/>
    <row r="2601" s="3" customFormat="1" x14ac:dyDescent="0.3"/>
  </sheetData>
  <pageMargins left="0.7" right="0.7" top="0.75" bottom="0.75" header="0.3" footer="0.3"/>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Sales</vt:lpstr>
      <vt:lpstr>SalesByCategory</vt:lpstr>
      <vt:lpstr>ProfitGained</vt:lpstr>
      <vt:lpstr>MonthlySales</vt:lpstr>
      <vt:lpstr>Top5Cust</vt:lpstr>
      <vt:lpstr>SalesByState</vt:lpstr>
      <vt:lpstr>CustomerCount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krithi M</dc:creator>
  <cp:lastModifiedBy>krithi M</cp:lastModifiedBy>
  <dcterms:created xsi:type="dcterms:W3CDTF">2026-01-08T01:16:00Z</dcterms:created>
  <dcterms:modified xsi:type="dcterms:W3CDTF">2026-01-23T13:06:47Z</dcterms:modified>
</cp:coreProperties>
</file>